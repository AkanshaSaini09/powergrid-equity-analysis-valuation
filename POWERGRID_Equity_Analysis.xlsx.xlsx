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college\MBA\FIIB DELHI\class lectures\Term 3\EABV\"/>
    </mc:Choice>
  </mc:AlternateContent>
  <xr:revisionPtr revIDLastSave="0" documentId="13_ncr:1_{D12CEFFE-105C-49CC-B028-A33B13984A3A}" xr6:coauthVersionLast="47" xr6:coauthVersionMax="47" xr10:uidLastSave="{00000000-0000-0000-0000-000000000000}"/>
  <bookViews>
    <workbookView xWindow="-98" yWindow="-98" windowWidth="21795" windowHeight="12975" firstSheet="15" activeTab="19" xr2:uid="{00000000-000D-0000-FFFF-FFFF00000000}"/>
  </bookViews>
  <sheets>
    <sheet name="Introduction" sheetId="26" r:id="rId1"/>
    <sheet name="Sources" sheetId="12" r:id="rId2"/>
    <sheet name="Industry analysis" sheetId="3" r:id="rId3"/>
    <sheet name="About Company" sheetId="1" r:id="rId4"/>
    <sheet name="Economic analysis" sheetId="2" r:id="rId5"/>
    <sheet name="Company Beta" sheetId="4" r:id="rId6"/>
    <sheet name="Income Statement" sheetId="5" r:id="rId7"/>
    <sheet name="Balance Sheet" sheetId="6" r:id="rId8"/>
    <sheet name="CashFlow Statement" sheetId="7" r:id="rId9"/>
    <sheet name="Assumptions" sheetId="11" r:id="rId10"/>
    <sheet name="Financial Statement" sheetId="22" r:id="rId11"/>
    <sheet name="PPE schedule " sheetId="21" r:id="rId12"/>
    <sheet name="WACC" sheetId="27" r:id="rId13"/>
    <sheet name="DCF valuation" sheetId="28" r:id="rId14"/>
    <sheet name="DDM Model" sheetId="9" r:id="rId15"/>
    <sheet name="EVA Model" sheetId="10" r:id="rId16"/>
    <sheet name="FCFF" sheetId="19" r:id="rId17"/>
    <sheet name="H Model" sheetId="24" r:id="rId18"/>
    <sheet name="Relative Valuation" sheetId="25" r:id="rId19"/>
    <sheet name="All ratios forecasted" sheetId="30" r:id="rId20"/>
    <sheet name="Peer Master Data" sheetId="29" r:id="rId21"/>
  </sheets>
  <externalReferences>
    <externalReference r:id="rId22"/>
    <externalReference r:id="rId2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0" i="11" l="1"/>
  <c r="I62" i="11" s="1"/>
  <c r="I11" i="21"/>
  <c r="B10" i="21"/>
  <c r="I11" i="11"/>
  <c r="I10" i="11"/>
  <c r="I13" i="11"/>
  <c r="C3" i="11"/>
  <c r="B18" i="27"/>
  <c r="C29" i="30"/>
  <c r="D29" i="30"/>
  <c r="E29" i="30"/>
  <c r="F29" i="30"/>
  <c r="G29" i="30"/>
  <c r="B29" i="30"/>
  <c r="C25" i="30"/>
  <c r="D25" i="30"/>
  <c r="E25" i="30"/>
  <c r="F25" i="30"/>
  <c r="G25" i="30"/>
  <c r="B25" i="30"/>
  <c r="C23" i="30"/>
  <c r="D23" i="30"/>
  <c r="E23" i="30"/>
  <c r="F23" i="30"/>
  <c r="G23" i="30"/>
  <c r="B23" i="30"/>
  <c r="C22" i="30"/>
  <c r="D22" i="30"/>
  <c r="E22" i="30"/>
  <c r="F22" i="30"/>
  <c r="G22" i="30"/>
  <c r="B22" i="30"/>
  <c r="C21" i="30"/>
  <c r="D21" i="30"/>
  <c r="E21" i="30"/>
  <c r="F21" i="30"/>
  <c r="G21" i="30"/>
  <c r="B21" i="30"/>
  <c r="C20" i="30"/>
  <c r="D20" i="30"/>
  <c r="E20" i="30"/>
  <c r="F20" i="30"/>
  <c r="G20" i="30"/>
  <c r="B20" i="30"/>
  <c r="C16" i="30"/>
  <c r="D16" i="30"/>
  <c r="E16" i="30"/>
  <c r="F16" i="30"/>
  <c r="G16" i="30"/>
  <c r="B16" i="30"/>
  <c r="G17" i="30"/>
  <c r="C17" i="30"/>
  <c r="D17" i="30"/>
  <c r="E17" i="30"/>
  <c r="F17" i="30"/>
  <c r="B17" i="30"/>
  <c r="C15" i="30"/>
  <c r="D15" i="30"/>
  <c r="E15" i="30"/>
  <c r="F15" i="30"/>
  <c r="G15" i="30"/>
  <c r="B15" i="30"/>
  <c r="C14" i="30"/>
  <c r="D14" i="30"/>
  <c r="E14" i="30"/>
  <c r="F14" i="30"/>
  <c r="G14" i="30"/>
  <c r="B14" i="30"/>
  <c r="C13" i="30"/>
  <c r="D13" i="30"/>
  <c r="E13" i="30"/>
  <c r="F13" i="30"/>
  <c r="G13" i="30"/>
  <c r="B13" i="30"/>
  <c r="C6" i="30"/>
  <c r="D6" i="30"/>
  <c r="E6" i="30"/>
  <c r="F6" i="30"/>
  <c r="G6" i="30"/>
  <c r="B6" i="30"/>
  <c r="C5" i="30"/>
  <c r="D5" i="30"/>
  <c r="E5" i="30"/>
  <c r="F5" i="30"/>
  <c r="G5" i="30"/>
  <c r="B5" i="30"/>
  <c r="C11" i="30"/>
  <c r="D11" i="30"/>
  <c r="E11" i="30"/>
  <c r="F11" i="30"/>
  <c r="G11" i="30"/>
  <c r="B11" i="30"/>
  <c r="C12" i="30"/>
  <c r="D12" i="30"/>
  <c r="E12" i="30"/>
  <c r="F12" i="30"/>
  <c r="G12" i="30"/>
  <c r="B12" i="30"/>
  <c r="C8" i="30"/>
  <c r="D8" i="30"/>
  <c r="E8" i="30"/>
  <c r="F8" i="30"/>
  <c r="G8" i="30"/>
  <c r="B8" i="30"/>
  <c r="C7" i="30"/>
  <c r="D7" i="30"/>
  <c r="E7" i="30"/>
  <c r="F7" i="30"/>
  <c r="G7" i="30"/>
  <c r="B7" i="30"/>
  <c r="C4" i="30"/>
  <c r="D4" i="30"/>
  <c r="E4" i="30"/>
  <c r="F4" i="30"/>
  <c r="G4" i="30"/>
  <c r="B4" i="30"/>
  <c r="B24" i="30"/>
  <c r="D6" i="21"/>
  <c r="E6" i="21"/>
  <c r="F6" i="21"/>
  <c r="G6" i="21"/>
  <c r="H6" i="21"/>
  <c r="C6" i="21"/>
  <c r="B6" i="21"/>
  <c r="C30" i="30"/>
  <c r="D30" i="30"/>
  <c r="E30" i="30"/>
  <c r="F30" i="30"/>
  <c r="G30" i="30"/>
  <c r="B30" i="30"/>
  <c r="C31" i="30"/>
  <c r="D31" i="30"/>
  <c r="E31" i="30"/>
  <c r="F31" i="30"/>
  <c r="G31" i="30"/>
  <c r="B31" i="30"/>
  <c r="C32" i="30"/>
  <c r="D32" i="30"/>
  <c r="E32" i="30"/>
  <c r="F32" i="30"/>
  <c r="G32" i="30"/>
  <c r="B32" i="30"/>
  <c r="C33" i="30"/>
  <c r="D33" i="30"/>
  <c r="E33" i="30"/>
  <c r="F33" i="30"/>
  <c r="G33" i="30"/>
  <c r="B33" i="30"/>
  <c r="C34" i="30"/>
  <c r="D34" i="30"/>
  <c r="E34" i="30"/>
  <c r="F34" i="30"/>
  <c r="G34" i="30"/>
  <c r="B34" i="30"/>
  <c r="E17" i="9"/>
  <c r="E16" i="9"/>
  <c r="E15" i="9"/>
  <c r="E14" i="9"/>
  <c r="E13" i="9"/>
  <c r="E12" i="9"/>
  <c r="E11" i="9"/>
  <c r="C6" i="24"/>
  <c r="E5" i="24"/>
  <c r="F5" i="24"/>
  <c r="G5" i="24"/>
  <c r="D5" i="24"/>
  <c r="C5" i="24"/>
  <c r="B26" i="19"/>
  <c r="F15" i="19"/>
  <c r="E15" i="19"/>
  <c r="D15" i="19"/>
  <c r="C15" i="19"/>
  <c r="B15" i="19"/>
  <c r="B6" i="19"/>
  <c r="C6" i="19" s="1"/>
  <c r="C5" i="19"/>
  <c r="D5" i="19"/>
  <c r="E5" i="19"/>
  <c r="F5" i="19"/>
  <c r="G5" i="19"/>
  <c r="H5" i="19"/>
  <c r="I5" i="19"/>
  <c r="J5" i="19"/>
  <c r="K5" i="19"/>
  <c r="L5" i="19"/>
  <c r="M5" i="19"/>
  <c r="B5" i="19"/>
  <c r="J50" i="22"/>
  <c r="K50" i="22"/>
  <c r="L50" i="22"/>
  <c r="M50" i="22"/>
  <c r="C50" i="22"/>
  <c r="D50" i="22"/>
  <c r="E50" i="22"/>
  <c r="F50" i="22"/>
  <c r="G50" i="22"/>
  <c r="H50" i="22"/>
  <c r="I50" i="22"/>
  <c r="B50" i="22"/>
  <c r="C23" i="28"/>
  <c r="D23" i="28"/>
  <c r="E23" i="28"/>
  <c r="F23" i="28"/>
  <c r="B23" i="28"/>
  <c r="C21" i="28"/>
  <c r="D21" i="28"/>
  <c r="E21" i="28"/>
  <c r="F21" i="28"/>
  <c r="B21" i="28"/>
  <c r="D18" i="28"/>
  <c r="E18" i="28"/>
  <c r="F18" i="28"/>
  <c r="C18" i="28"/>
  <c r="B18" i="28"/>
  <c r="C4" i="28"/>
  <c r="C5" i="28"/>
  <c r="B6" i="27"/>
  <c r="I9" i="21"/>
  <c r="J9" i="21"/>
  <c r="K9" i="21"/>
  <c r="L9" i="21"/>
  <c r="M9" i="21"/>
  <c r="E9" i="21"/>
  <c r="F9" i="21"/>
  <c r="G9" i="21"/>
  <c r="H9" i="21"/>
  <c r="D9" i="21"/>
  <c r="C9" i="21"/>
  <c r="B9" i="21"/>
  <c r="C7" i="21"/>
  <c r="D7" i="21"/>
  <c r="E7" i="21"/>
  <c r="F7" i="21"/>
  <c r="G7" i="21"/>
  <c r="H7" i="21"/>
  <c r="I7" i="21"/>
  <c r="J7" i="21"/>
  <c r="K7" i="21"/>
  <c r="L7" i="21"/>
  <c r="M7" i="21"/>
  <c r="B7" i="21"/>
  <c r="C5" i="21"/>
  <c r="D5" i="21"/>
  <c r="E5" i="21"/>
  <c r="F5" i="21"/>
  <c r="G5" i="21"/>
  <c r="H5" i="21"/>
  <c r="I5" i="21"/>
  <c r="J5" i="21"/>
  <c r="K5" i="21"/>
  <c r="L5" i="21"/>
  <c r="M5" i="21"/>
  <c r="B5" i="21"/>
  <c r="B19" i="10"/>
  <c r="H31" i="10"/>
  <c r="G31" i="10"/>
  <c r="F31" i="10"/>
  <c r="E31" i="10"/>
  <c r="D31" i="10"/>
  <c r="C31" i="10"/>
  <c r="B31" i="10"/>
  <c r="H27" i="10"/>
  <c r="G27" i="10"/>
  <c r="G28" i="10" s="1"/>
  <c r="G30" i="10" s="1"/>
  <c r="F27" i="10"/>
  <c r="E27" i="10"/>
  <c r="D27" i="10"/>
  <c r="C27" i="10"/>
  <c r="B27" i="10"/>
  <c r="H26" i="10"/>
  <c r="G26" i="10"/>
  <c r="F26" i="10"/>
  <c r="E26" i="10"/>
  <c r="D26" i="10"/>
  <c r="C26" i="10"/>
  <c r="B26" i="10"/>
  <c r="B21" i="10"/>
  <c r="H14" i="10"/>
  <c r="H38" i="10" s="1"/>
  <c r="G14" i="10"/>
  <c r="G38" i="10" s="1"/>
  <c r="F14" i="10"/>
  <c r="F38" i="10" s="1"/>
  <c r="E14" i="10"/>
  <c r="E38" i="10" s="1"/>
  <c r="D14" i="10"/>
  <c r="D38" i="10" s="1"/>
  <c r="C14" i="10"/>
  <c r="C38" i="10" s="1"/>
  <c r="B14" i="10"/>
  <c r="B38" i="10" s="1"/>
  <c r="H7" i="10"/>
  <c r="H36" i="10" s="1"/>
  <c r="G7" i="10"/>
  <c r="G36" i="10" s="1"/>
  <c r="F7" i="10"/>
  <c r="F36" i="10" s="1"/>
  <c r="E7" i="10"/>
  <c r="E36" i="10" s="1"/>
  <c r="D7" i="10"/>
  <c r="D36" i="10" s="1"/>
  <c r="C7" i="10"/>
  <c r="C36" i="10" s="1"/>
  <c r="B7" i="10"/>
  <c r="B36" i="10" s="1"/>
  <c r="D6" i="19" l="1"/>
  <c r="E6" i="19" s="1"/>
  <c r="F6" i="19" s="1"/>
  <c r="C7" i="19"/>
  <c r="C11" i="19" s="1"/>
  <c r="C16" i="19" s="1"/>
  <c r="B7" i="19"/>
  <c r="H28" i="10"/>
  <c r="H30" i="10" s="1"/>
  <c r="F28" i="10"/>
  <c r="F29" i="10" s="1"/>
  <c r="B28" i="10"/>
  <c r="B29" i="10" s="1"/>
  <c r="E28" i="10"/>
  <c r="E30" i="10" s="1"/>
  <c r="B30" i="10"/>
  <c r="C28" i="10"/>
  <c r="C29" i="10" s="1"/>
  <c r="D28" i="10"/>
  <c r="D29" i="10"/>
  <c r="D30" i="10"/>
  <c r="E29" i="10"/>
  <c r="F30" i="10"/>
  <c r="G29" i="10"/>
  <c r="G32" i="10" s="1"/>
  <c r="G37" i="10" s="1"/>
  <c r="G39" i="10" s="1"/>
  <c r="G40" i="10" s="1"/>
  <c r="G41" i="10" s="1"/>
  <c r="D7" i="19" l="1"/>
  <c r="D11" i="19" s="1"/>
  <c r="D16" i="19" s="1"/>
  <c r="E7" i="19"/>
  <c r="E11" i="19" s="1"/>
  <c r="E16" i="19" s="1"/>
  <c r="F7" i="19"/>
  <c r="F11" i="19" s="1"/>
  <c r="F16" i="19" s="1"/>
  <c r="B21" i="19" s="1"/>
  <c r="B22" i="19" s="1"/>
  <c r="B23" i="19" s="1"/>
  <c r="G6" i="19"/>
  <c r="B11" i="19"/>
  <c r="B16" i="19" s="1"/>
  <c r="F32" i="10"/>
  <c r="F37" i="10" s="1"/>
  <c r="F39" i="10" s="1"/>
  <c r="F40" i="10" s="1"/>
  <c r="F41" i="10" s="1"/>
  <c r="H29" i="10"/>
  <c r="H32" i="10" s="1"/>
  <c r="H37" i="10" s="1"/>
  <c r="H39" i="10" s="1"/>
  <c r="H40" i="10" s="1"/>
  <c r="H41" i="10" s="1"/>
  <c r="E32" i="10"/>
  <c r="E37" i="10" s="1"/>
  <c r="E39" i="10" s="1"/>
  <c r="E40" i="10" s="1"/>
  <c r="E41" i="10" s="1"/>
  <c r="B32" i="10"/>
  <c r="B37" i="10" s="1"/>
  <c r="B39" i="10" s="1"/>
  <c r="B40" i="10" s="1"/>
  <c r="B41" i="10" s="1"/>
  <c r="C30" i="10"/>
  <c r="C32" i="10" s="1"/>
  <c r="C37" i="10" s="1"/>
  <c r="C39" i="10" s="1"/>
  <c r="C40" i="10" s="1"/>
  <c r="C41" i="10" s="1"/>
  <c r="D32" i="10"/>
  <c r="D37" i="10" s="1"/>
  <c r="D39" i="10" s="1"/>
  <c r="D40" i="10" s="1"/>
  <c r="D41" i="10" s="1"/>
  <c r="D45" i="9"/>
  <c r="D36" i="9"/>
  <c r="D30" i="9"/>
  <c r="D28" i="9"/>
  <c r="E22" i="9"/>
  <c r="D22" i="9"/>
  <c r="E21" i="9"/>
  <c r="D21" i="9"/>
  <c r="E20" i="9"/>
  <c r="D20" i="9"/>
  <c r="E19" i="9"/>
  <c r="D19" i="9"/>
  <c r="E18" i="9"/>
  <c r="D18" i="9"/>
  <c r="C18" i="9"/>
  <c r="C19" i="9" s="1"/>
  <c r="C20" i="9" s="1"/>
  <c r="C21" i="9" s="1"/>
  <c r="C22" i="9" s="1"/>
  <c r="B18" i="9"/>
  <c r="F18" i="9" s="1"/>
  <c r="D17" i="9"/>
  <c r="D16" i="9"/>
  <c r="D15" i="9"/>
  <c r="D14" i="9"/>
  <c r="D13" i="9"/>
  <c r="D12" i="9"/>
  <c r="B17" i="19" l="1"/>
  <c r="B24" i="19" s="1"/>
  <c r="B25" i="19" s="1"/>
  <c r="B27" i="19" s="1"/>
  <c r="B29" i="19" s="1"/>
  <c r="B31" i="19" s="1"/>
  <c r="G7" i="19"/>
  <c r="G11" i="19" s="1"/>
  <c r="H6" i="19"/>
  <c r="B19" i="9"/>
  <c r="I6" i="19" l="1"/>
  <c r="H7" i="19"/>
  <c r="H11" i="19" s="1"/>
  <c r="F19" i="9"/>
  <c r="B20" i="9"/>
  <c r="K51" i="24"/>
  <c r="J51" i="24"/>
  <c r="I51" i="24"/>
  <c r="H51" i="24"/>
  <c r="G51" i="24"/>
  <c r="F51" i="24"/>
  <c r="E51" i="24"/>
  <c r="D51" i="24"/>
  <c r="C51" i="24"/>
  <c r="K50" i="24"/>
  <c r="J50" i="24"/>
  <c r="I50" i="24"/>
  <c r="H50" i="24"/>
  <c r="G50" i="24"/>
  <c r="F50" i="24"/>
  <c r="E50" i="24"/>
  <c r="D50" i="24"/>
  <c r="C50" i="24"/>
  <c r="K49" i="24"/>
  <c r="J49" i="24"/>
  <c r="I49" i="24"/>
  <c r="H49" i="24"/>
  <c r="G49" i="24"/>
  <c r="F49" i="24"/>
  <c r="E49" i="24"/>
  <c r="D49" i="24"/>
  <c r="C49" i="24"/>
  <c r="K48" i="24"/>
  <c r="J48" i="24"/>
  <c r="I48" i="24"/>
  <c r="H48" i="24"/>
  <c r="G48" i="24"/>
  <c r="F48" i="24"/>
  <c r="E48" i="24"/>
  <c r="D48" i="24"/>
  <c r="C48" i="24"/>
  <c r="K47" i="24"/>
  <c r="J47" i="24"/>
  <c r="I47" i="24"/>
  <c r="H47" i="24"/>
  <c r="G47" i="24"/>
  <c r="F47" i="24"/>
  <c r="E47" i="24"/>
  <c r="D47" i="24"/>
  <c r="C47" i="24"/>
  <c r="K42" i="24"/>
  <c r="J42" i="24"/>
  <c r="I42" i="24"/>
  <c r="H42" i="24"/>
  <c r="G42" i="24"/>
  <c r="F42" i="24"/>
  <c r="E42" i="24"/>
  <c r="D42" i="24"/>
  <c r="C42" i="24"/>
  <c r="K41" i="24"/>
  <c r="J41" i="24"/>
  <c r="I41" i="24"/>
  <c r="H41" i="24"/>
  <c r="G41" i="24"/>
  <c r="F41" i="24"/>
  <c r="E41" i="24"/>
  <c r="D41" i="24"/>
  <c r="C41" i="24"/>
  <c r="K40" i="24"/>
  <c r="J40" i="24"/>
  <c r="I40" i="24"/>
  <c r="H40" i="24"/>
  <c r="G40" i="24"/>
  <c r="F40" i="24"/>
  <c r="E40" i="24"/>
  <c r="D40" i="24"/>
  <c r="C40" i="24"/>
  <c r="K39" i="24"/>
  <c r="J39" i="24"/>
  <c r="I39" i="24"/>
  <c r="H39" i="24"/>
  <c r="G39" i="24"/>
  <c r="F39" i="24"/>
  <c r="E39" i="24"/>
  <c r="D39" i="24"/>
  <c r="C39" i="24"/>
  <c r="K38" i="24"/>
  <c r="J38" i="24"/>
  <c r="I38" i="24"/>
  <c r="H38" i="24"/>
  <c r="G38" i="24"/>
  <c r="F38" i="24"/>
  <c r="E38" i="24"/>
  <c r="D38" i="24"/>
  <c r="C38" i="24"/>
  <c r="C32" i="24"/>
  <c r="C33" i="24" s="1"/>
  <c r="C31" i="24"/>
  <c r="C30" i="24"/>
  <c r="C29" i="24"/>
  <c r="C28" i="24"/>
  <c r="J6" i="19" l="1"/>
  <c r="I7" i="19"/>
  <c r="I11" i="19" s="1"/>
  <c r="B21" i="9"/>
  <c r="F20" i="9"/>
  <c r="J9" i="25"/>
  <c r="D9" i="25"/>
  <c r="E9" i="25" s="1"/>
  <c r="J8" i="25"/>
  <c r="R5" i="25" s="1"/>
  <c r="D8" i="25"/>
  <c r="E8" i="25" s="1"/>
  <c r="J7" i="25"/>
  <c r="D7" i="25"/>
  <c r="E7" i="25" s="1"/>
  <c r="R6" i="25"/>
  <c r="M6" i="25"/>
  <c r="U3" i="25" s="1"/>
  <c r="L6" i="25"/>
  <c r="T3" i="25" s="1"/>
  <c r="J6" i="25"/>
  <c r="E6" i="25"/>
  <c r="K6" i="25" s="1"/>
  <c r="S3" i="25" s="1"/>
  <c r="D6" i="25"/>
  <c r="J5" i="25"/>
  <c r="R2" i="25" s="1"/>
  <c r="D5" i="25"/>
  <c r="E5" i="25" s="1"/>
  <c r="R4" i="25"/>
  <c r="R3" i="25"/>
  <c r="C36" i="28"/>
  <c r="C34" i="28"/>
  <c r="C32" i="28"/>
  <c r="G27" i="28"/>
  <c r="F27" i="28"/>
  <c r="E27" i="28"/>
  <c r="D27" i="28"/>
  <c r="C27" i="28"/>
  <c r="B27" i="28"/>
  <c r="K26" i="28"/>
  <c r="G26" i="28"/>
  <c r="K25" i="28"/>
  <c r="G25" i="28"/>
  <c r="F25" i="28"/>
  <c r="E25" i="28"/>
  <c r="D25" i="28"/>
  <c r="C25" i="28"/>
  <c r="B25" i="28"/>
  <c r="K23" i="28"/>
  <c r="K21" i="28"/>
  <c r="K20" i="28"/>
  <c r="F20" i="28"/>
  <c r="F24" i="28" s="1"/>
  <c r="F28" i="28" s="1"/>
  <c r="E20" i="28"/>
  <c r="E24" i="28" s="1"/>
  <c r="D20" i="28"/>
  <c r="D24" i="28" s="1"/>
  <c r="C20" i="28"/>
  <c r="C24" i="28" s="1"/>
  <c r="B20" i="28"/>
  <c r="B24" i="28" s="1"/>
  <c r="F19" i="28"/>
  <c r="E19" i="28"/>
  <c r="D19" i="28"/>
  <c r="C19" i="28"/>
  <c r="B19" i="28"/>
  <c r="L4" i="28"/>
  <c r="L2" i="28"/>
  <c r="E24" i="27"/>
  <c r="G18" i="27"/>
  <c r="E23" i="27" s="1"/>
  <c r="B10" i="27"/>
  <c r="B7" i="27"/>
  <c r="B8" i="27" s="1"/>
  <c r="C8" i="21"/>
  <c r="D8" i="21"/>
  <c r="E8" i="21"/>
  <c r="F8" i="21"/>
  <c r="G8" i="21"/>
  <c r="H8" i="21"/>
  <c r="B8" i="21"/>
  <c r="E10" i="21"/>
  <c r="F10" i="21"/>
  <c r="G10" i="21"/>
  <c r="H10" i="21"/>
  <c r="D10" i="21"/>
  <c r="C10" i="21"/>
  <c r="I93" i="22"/>
  <c r="I85" i="22"/>
  <c r="I86" i="22" s="1"/>
  <c r="I77" i="22"/>
  <c r="I62" i="22"/>
  <c r="J62" i="22" s="1"/>
  <c r="K62" i="22" s="1"/>
  <c r="L62" i="22" s="1"/>
  <c r="M62" i="22" s="1"/>
  <c r="I61" i="22"/>
  <c r="J61" i="22" s="1"/>
  <c r="K61" i="22" s="1"/>
  <c r="L61" i="22" s="1"/>
  <c r="M61" i="22" s="1"/>
  <c r="I60" i="22"/>
  <c r="J60" i="22" s="1"/>
  <c r="I59" i="22"/>
  <c r="I63" i="22" s="1"/>
  <c r="I56" i="22"/>
  <c r="J56" i="22" s="1"/>
  <c r="K56" i="22" s="1"/>
  <c r="L56" i="22" s="1"/>
  <c r="M56" i="22" s="1"/>
  <c r="I55" i="22"/>
  <c r="J55" i="22" s="1"/>
  <c r="K55" i="22" s="1"/>
  <c r="L55" i="22" s="1"/>
  <c r="M55" i="22" s="1"/>
  <c r="I54" i="22"/>
  <c r="J54" i="22" s="1"/>
  <c r="K54" i="22" s="1"/>
  <c r="L54" i="22" s="1"/>
  <c r="M54" i="22" s="1"/>
  <c r="I53" i="22"/>
  <c r="I48" i="22"/>
  <c r="J48" i="22" s="1"/>
  <c r="K48" i="22" s="1"/>
  <c r="L48" i="22" s="1"/>
  <c r="M48" i="22" s="1"/>
  <c r="I47" i="22"/>
  <c r="J47" i="22" s="1"/>
  <c r="I46" i="22"/>
  <c r="I79" i="22" s="1"/>
  <c r="I45" i="22"/>
  <c r="J45" i="22" s="1"/>
  <c r="I42" i="22"/>
  <c r="J42" i="22" s="1"/>
  <c r="K42" i="22" s="1"/>
  <c r="L42" i="22" s="1"/>
  <c r="M42" i="22" s="1"/>
  <c r="I41" i="22"/>
  <c r="J41" i="22" s="1"/>
  <c r="K41" i="22" s="1"/>
  <c r="L41" i="22" s="1"/>
  <c r="M41" i="22" s="1"/>
  <c r="I40" i="22"/>
  <c r="I43" i="22" s="1"/>
  <c r="I39" i="22"/>
  <c r="J39" i="22" s="1"/>
  <c r="I35" i="22"/>
  <c r="J35" i="22" s="1"/>
  <c r="M22" i="22"/>
  <c r="L22" i="22"/>
  <c r="K22" i="22"/>
  <c r="J22" i="22"/>
  <c r="I22" i="22"/>
  <c r="I20" i="22"/>
  <c r="I88" i="22" s="1"/>
  <c r="I17" i="22"/>
  <c r="J17" i="22" s="1"/>
  <c r="I14" i="22"/>
  <c r="J14" i="22" s="1"/>
  <c r="K14" i="22" s="1"/>
  <c r="L14" i="22" s="1"/>
  <c r="M14" i="22" s="1"/>
  <c r="I13" i="22"/>
  <c r="J13" i="22" s="1"/>
  <c r="K13" i="22" s="1"/>
  <c r="L13" i="22" s="1"/>
  <c r="M13" i="22" s="1"/>
  <c r="I10" i="22"/>
  <c r="J10" i="22" s="1"/>
  <c r="K10" i="22" s="1"/>
  <c r="L10" i="22" s="1"/>
  <c r="M10" i="22" s="1"/>
  <c r="I9" i="22"/>
  <c r="J9" i="22" s="1"/>
  <c r="C3" i="22"/>
  <c r="K6" i="19" l="1"/>
  <c r="J7" i="19"/>
  <c r="J11" i="19" s="1"/>
  <c r="B9" i="27"/>
  <c r="F21" i="9"/>
  <c r="B22" i="9"/>
  <c r="M7" i="25"/>
  <c r="U4" i="25" s="1"/>
  <c r="L7" i="25"/>
  <c r="T4" i="25" s="1"/>
  <c r="K7" i="25"/>
  <c r="S4" i="25" s="1"/>
  <c r="M8" i="25"/>
  <c r="U5" i="25" s="1"/>
  <c r="L8" i="25"/>
  <c r="T5" i="25" s="1"/>
  <c r="K8" i="25"/>
  <c r="S5" i="25" s="1"/>
  <c r="L5" i="25"/>
  <c r="M5" i="25"/>
  <c r="K5" i="25"/>
  <c r="M9" i="25"/>
  <c r="U6" i="25" s="1"/>
  <c r="L9" i="25"/>
  <c r="T6" i="25" s="1"/>
  <c r="K9" i="25"/>
  <c r="S6" i="25" s="1"/>
  <c r="J10" i="25"/>
  <c r="J11" i="25"/>
  <c r="B28" i="28"/>
  <c r="K27" i="28"/>
  <c r="C28" i="28"/>
  <c r="E28" i="28"/>
  <c r="D28" i="28"/>
  <c r="G24" i="28"/>
  <c r="J2" i="27"/>
  <c r="C23" i="27"/>
  <c r="G23" i="27" s="1"/>
  <c r="J40" i="22"/>
  <c r="K40" i="22" s="1"/>
  <c r="L40" i="22" s="1"/>
  <c r="M40" i="22" s="1"/>
  <c r="I73" i="22"/>
  <c r="I57" i="22"/>
  <c r="I65" i="22" s="1"/>
  <c r="J20" i="22"/>
  <c r="J73" i="22" s="1"/>
  <c r="K9" i="22"/>
  <c r="J11" i="22"/>
  <c r="J15" i="22" s="1"/>
  <c r="J18" i="22" s="1"/>
  <c r="K35" i="22"/>
  <c r="K17" i="22"/>
  <c r="J72" i="22"/>
  <c r="J77" i="22"/>
  <c r="K60" i="22"/>
  <c r="J43" i="22"/>
  <c r="K39" i="22"/>
  <c r="K45" i="22"/>
  <c r="K47" i="22"/>
  <c r="J80" i="22"/>
  <c r="I72" i="22"/>
  <c r="J53" i="22"/>
  <c r="J88" i="22"/>
  <c r="I49" i="22"/>
  <c r="J59" i="22"/>
  <c r="J85" i="22"/>
  <c r="I11" i="22"/>
  <c r="I15" i="22" s="1"/>
  <c r="I18" i="22" s="1"/>
  <c r="I21" i="22" s="1"/>
  <c r="I80" i="22"/>
  <c r="I78" i="22"/>
  <c r="J46" i="22"/>
  <c r="J49" i="22" s="1"/>
  <c r="K7" i="19" l="1"/>
  <c r="K11" i="19" s="1"/>
  <c r="L6" i="19"/>
  <c r="K16" i="28"/>
  <c r="C24" i="27"/>
  <c r="G24" i="27" s="1"/>
  <c r="G25" i="27" s="1"/>
  <c r="J3" i="27"/>
  <c r="D27" i="9"/>
  <c r="D29" i="9" s="1"/>
  <c r="D31" i="9" s="1"/>
  <c r="D34" i="9" s="1"/>
  <c r="D37" i="9" s="1"/>
  <c r="D41" i="9" s="1"/>
  <c r="F22" i="9"/>
  <c r="F24" i="9"/>
  <c r="D40" i="9" s="1"/>
  <c r="M10" i="25"/>
  <c r="M11" i="25"/>
  <c r="U2" i="25"/>
  <c r="L11" i="25"/>
  <c r="T2" i="25"/>
  <c r="L10" i="25"/>
  <c r="S2" i="25"/>
  <c r="K10" i="25"/>
  <c r="K11" i="25"/>
  <c r="K17" i="28"/>
  <c r="G28" i="28"/>
  <c r="K18" i="28" s="1"/>
  <c r="I81" i="22"/>
  <c r="J21" i="22"/>
  <c r="J71" i="22" s="1"/>
  <c r="J74" i="22" s="1"/>
  <c r="K20" i="22"/>
  <c r="L20" i="22" s="1"/>
  <c r="K72" i="22"/>
  <c r="L17" i="22"/>
  <c r="J86" i="22"/>
  <c r="K85" i="22"/>
  <c r="K43" i="22"/>
  <c r="L39" i="22"/>
  <c r="L9" i="22"/>
  <c r="K11" i="22"/>
  <c r="K15" i="22" s="1"/>
  <c r="K18" i="22" s="1"/>
  <c r="J63" i="22"/>
  <c r="J78" i="22"/>
  <c r="K59" i="22"/>
  <c r="L35" i="22"/>
  <c r="K80" i="22"/>
  <c r="L47" i="22"/>
  <c r="L45" i="22"/>
  <c r="J79" i="22"/>
  <c r="K46" i="22"/>
  <c r="K49" i="22" s="1"/>
  <c r="I23" i="22"/>
  <c r="I82" i="22" s="1"/>
  <c r="I71" i="22"/>
  <c r="I74" i="22" s="1"/>
  <c r="L60" i="22"/>
  <c r="K77" i="22"/>
  <c r="J57" i="22"/>
  <c r="K53" i="22"/>
  <c r="M6" i="19" l="1"/>
  <c r="M7" i="19" s="1"/>
  <c r="M11" i="19" s="1"/>
  <c r="L7" i="19"/>
  <c r="L11" i="19" s="1"/>
  <c r="K19" i="28"/>
  <c r="K22" i="28" s="1"/>
  <c r="K24" i="28" s="1"/>
  <c r="F33" i="28" s="1"/>
  <c r="D42" i="9"/>
  <c r="D50" i="9" s="1"/>
  <c r="J81" i="22"/>
  <c r="I83" i="22"/>
  <c r="J23" i="22"/>
  <c r="J82" i="22" s="1"/>
  <c r="J83" i="22" s="1"/>
  <c r="K21" i="22"/>
  <c r="K23" i="22" s="1"/>
  <c r="K73" i="22"/>
  <c r="K88" i="22"/>
  <c r="M35" i="22"/>
  <c r="K78" i="22"/>
  <c r="K81" i="22" s="1"/>
  <c r="L59" i="22"/>
  <c r="K63" i="22"/>
  <c r="J65" i="22"/>
  <c r="M9" i="22"/>
  <c r="M11" i="22" s="1"/>
  <c r="M15" i="22" s="1"/>
  <c r="M18" i="22" s="1"/>
  <c r="L11" i="22"/>
  <c r="L15" i="22" s="1"/>
  <c r="L18" i="22" s="1"/>
  <c r="L21" i="22" s="1"/>
  <c r="M45" i="22"/>
  <c r="I25" i="22"/>
  <c r="K86" i="22"/>
  <c r="L85" i="22"/>
  <c r="L80" i="22"/>
  <c r="M47" i="22"/>
  <c r="M80" i="22" s="1"/>
  <c r="K79" i="22"/>
  <c r="L46" i="22"/>
  <c r="K57" i="22"/>
  <c r="L53" i="22"/>
  <c r="L73" i="22"/>
  <c r="L88" i="22"/>
  <c r="M20" i="22"/>
  <c r="M60" i="22"/>
  <c r="M77" i="22" s="1"/>
  <c r="L77" i="22"/>
  <c r="M39" i="22"/>
  <c r="M43" i="22" s="1"/>
  <c r="L43" i="22"/>
  <c r="M17" i="22"/>
  <c r="M72" i="22" s="1"/>
  <c r="L72" i="22"/>
  <c r="C35" i="28" l="1"/>
  <c r="C37" i="28"/>
  <c r="C33" i="28"/>
  <c r="L3" i="28" s="1"/>
  <c r="D47" i="9"/>
  <c r="D48" i="9"/>
  <c r="D49" i="9"/>
  <c r="D46" i="9"/>
  <c r="K65" i="22"/>
  <c r="K82" i="22"/>
  <c r="K25" i="22"/>
  <c r="K28" i="22" s="1"/>
  <c r="K71" i="22"/>
  <c r="K74" i="22" s="1"/>
  <c r="J25" i="22"/>
  <c r="J27" i="22" s="1"/>
  <c r="M21" i="22"/>
  <c r="M71" i="22" s="1"/>
  <c r="L71" i="22"/>
  <c r="L74" i="22" s="1"/>
  <c r="L23" i="22"/>
  <c r="L82" i="22" s="1"/>
  <c r="L86" i="22"/>
  <c r="M85" i="22"/>
  <c r="M86" i="22" s="1"/>
  <c r="L63" i="22"/>
  <c r="M59" i="22"/>
  <c r="L78" i="22"/>
  <c r="I27" i="22"/>
  <c r="I28" i="22"/>
  <c r="L57" i="22"/>
  <c r="M53" i="22"/>
  <c r="M57" i="22" s="1"/>
  <c r="L79" i="22"/>
  <c r="L81" i="22" s="1"/>
  <c r="M46" i="22"/>
  <c r="M79" i="22" s="1"/>
  <c r="M73" i="22"/>
  <c r="M88" i="22"/>
  <c r="L49" i="22"/>
  <c r="K83" i="22" l="1"/>
  <c r="M74" i="22"/>
  <c r="L65" i="22"/>
  <c r="M23" i="22"/>
  <c r="M82" i="22" s="1"/>
  <c r="J28" i="22"/>
  <c r="J29" i="22" s="1"/>
  <c r="K27" i="22"/>
  <c r="L25" i="22"/>
  <c r="L27" i="22" s="1"/>
  <c r="M49" i="22"/>
  <c r="I29" i="22"/>
  <c r="I89" i="22"/>
  <c r="I90" i="22" s="1"/>
  <c r="I92" i="22" s="1"/>
  <c r="I94" i="22" s="1"/>
  <c r="J93" i="22" s="1"/>
  <c r="I36" i="22"/>
  <c r="K29" i="22"/>
  <c r="K89" i="22"/>
  <c r="K90" i="22" s="1"/>
  <c r="M78" i="22"/>
  <c r="M81" i="22" s="1"/>
  <c r="M63" i="22"/>
  <c r="M65" i="22" s="1"/>
  <c r="L83" i="22"/>
  <c r="K92" i="22" l="1"/>
  <c r="L28" i="22"/>
  <c r="L29" i="22" s="1"/>
  <c r="M83" i="22"/>
  <c r="J89" i="22"/>
  <c r="J90" i="22" s="1"/>
  <c r="J92" i="22" s="1"/>
  <c r="J94" i="22" s="1"/>
  <c r="K93" i="22" s="1"/>
  <c r="M25" i="22"/>
  <c r="M27" i="22" s="1"/>
  <c r="I37" i="22"/>
  <c r="I51" i="22" s="1"/>
  <c r="J36" i="22"/>
  <c r="K94" i="22" l="1"/>
  <c r="L93" i="22" s="1"/>
  <c r="L89" i="22"/>
  <c r="L90" i="22" s="1"/>
  <c r="L92" i="22" s="1"/>
  <c r="M28" i="22"/>
  <c r="M89" i="22" s="1"/>
  <c r="M90" i="22" s="1"/>
  <c r="M92" i="22" s="1"/>
  <c r="L94" i="22"/>
  <c r="M93" i="22" s="1"/>
  <c r="K36" i="22"/>
  <c r="J37" i="22"/>
  <c r="J51" i="22" s="1"/>
  <c r="M29" i="22" l="1"/>
  <c r="M94" i="22"/>
  <c r="L36" i="22"/>
  <c r="K37" i="22"/>
  <c r="K51" i="22" s="1"/>
  <c r="M36" i="22" l="1"/>
  <c r="M37" i="22" s="1"/>
  <c r="M51" i="22" s="1"/>
  <c r="L37" i="22"/>
  <c r="L51" i="22" s="1"/>
  <c r="I69" i="11" l="1"/>
  <c r="J69" i="11" s="1"/>
  <c r="K69" i="11" s="1"/>
  <c r="L69" i="11" s="1"/>
  <c r="M69" i="11" s="1"/>
  <c r="I68" i="11"/>
  <c r="I66" i="11"/>
  <c r="J66" i="11" s="1"/>
  <c r="K66" i="11" s="1"/>
  <c r="L66" i="11" s="1"/>
  <c r="M66" i="11" s="1"/>
  <c r="I64" i="11"/>
  <c r="J64" i="11" s="1"/>
  <c r="K64" i="11" s="1"/>
  <c r="L64" i="11" s="1"/>
  <c r="M64" i="11" s="1"/>
  <c r="J60" i="11"/>
  <c r="K60" i="11" s="1"/>
  <c r="L60" i="11" s="1"/>
  <c r="M60" i="11" s="1"/>
  <c r="I57" i="11"/>
  <c r="I55" i="11"/>
  <c r="J55" i="11" s="1"/>
  <c r="K55" i="11" s="1"/>
  <c r="L55" i="11" s="1"/>
  <c r="M55" i="11" s="1"/>
  <c r="I54" i="11"/>
  <c r="J54" i="11" s="1"/>
  <c r="K54" i="11" s="1"/>
  <c r="L54" i="11" s="1"/>
  <c r="M54" i="11" s="1"/>
  <c r="I51" i="11"/>
  <c r="I48" i="11"/>
  <c r="I25" i="11"/>
  <c r="I22" i="11"/>
  <c r="J22" i="11" s="1"/>
  <c r="I19" i="11"/>
  <c r="I16" i="11"/>
  <c r="J16" i="11" s="1"/>
  <c r="J48" i="11" l="1"/>
  <c r="K48" i="11" s="1"/>
  <c r="K6" i="21" s="1"/>
  <c r="I6" i="21"/>
  <c r="I14" i="11"/>
  <c r="I58" i="11"/>
  <c r="I49" i="11"/>
  <c r="I52" i="11"/>
  <c r="J13" i="11"/>
  <c r="K13" i="11" s="1"/>
  <c r="L13" i="11" s="1"/>
  <c r="I20" i="11"/>
  <c r="I73" i="11"/>
  <c r="I70" i="11"/>
  <c r="I26" i="11"/>
  <c r="J68" i="11"/>
  <c r="J70" i="11" s="1"/>
  <c r="I28" i="11"/>
  <c r="I29" i="11" s="1"/>
  <c r="J10" i="11"/>
  <c r="K10" i="11" s="1"/>
  <c r="L10" i="11" s="1"/>
  <c r="J25" i="11"/>
  <c r="K25" i="11" s="1"/>
  <c r="J57" i="11"/>
  <c r="J51" i="11"/>
  <c r="K51" i="11" s="1"/>
  <c r="J19" i="11"/>
  <c r="K19" i="11" s="1"/>
  <c r="I17" i="11"/>
  <c r="K22" i="11"/>
  <c r="K16" i="11"/>
  <c r="I23" i="11"/>
  <c r="J58" i="11" l="1"/>
  <c r="I72" i="11"/>
  <c r="J49" i="11"/>
  <c r="J6" i="21"/>
  <c r="K26" i="11"/>
  <c r="K52" i="11"/>
  <c r="J14" i="11"/>
  <c r="I31" i="11"/>
  <c r="I32" i="11" s="1"/>
  <c r="K14" i="11"/>
  <c r="K68" i="11"/>
  <c r="J52" i="11"/>
  <c r="L25" i="11"/>
  <c r="L26" i="11" s="1"/>
  <c r="J11" i="11"/>
  <c r="L51" i="11"/>
  <c r="M51" i="11" s="1"/>
  <c r="K11" i="11"/>
  <c r="J28" i="11"/>
  <c r="J31" i="11" s="1"/>
  <c r="J17" i="11"/>
  <c r="J26" i="11"/>
  <c r="J62" i="11"/>
  <c r="J72" i="11" s="1"/>
  <c r="J23" i="11"/>
  <c r="K57" i="11"/>
  <c r="K62" i="11" s="1"/>
  <c r="J20" i="11"/>
  <c r="K20" i="11"/>
  <c r="L19" i="11"/>
  <c r="K70" i="11"/>
  <c r="L68" i="11"/>
  <c r="M13" i="11"/>
  <c r="L14" i="11"/>
  <c r="K23" i="11"/>
  <c r="L22" i="11"/>
  <c r="L16" i="11"/>
  <c r="K17" i="11"/>
  <c r="M10" i="11"/>
  <c r="L11" i="11"/>
  <c r="L48" i="11"/>
  <c r="L6" i="21" s="1"/>
  <c r="K49" i="11"/>
  <c r="K28" i="11"/>
  <c r="M13" i="4"/>
  <c r="M14" i="4"/>
  <c r="M12" i="4"/>
  <c r="M11"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345" i="4"/>
  <c r="E2346" i="4"/>
  <c r="E2347" i="4"/>
  <c r="E2348" i="4"/>
  <c r="E2349" i="4"/>
  <c r="E2350" i="4"/>
  <c r="E2351" i="4"/>
  <c r="E2352" i="4"/>
  <c r="E2353" i="4"/>
  <c r="E2354" i="4"/>
  <c r="E2355" i="4"/>
  <c r="E2356" i="4"/>
  <c r="E2357" i="4"/>
  <c r="E2358" i="4"/>
  <c r="E2359" i="4"/>
  <c r="E2360" i="4"/>
  <c r="E2361" i="4"/>
  <c r="E2362" i="4"/>
  <c r="E2363" i="4"/>
  <c r="E2364" i="4"/>
  <c r="E2365" i="4"/>
  <c r="E2366" i="4"/>
  <c r="E2367" i="4"/>
  <c r="E2368" i="4"/>
  <c r="E2369" i="4"/>
  <c r="E2370" i="4"/>
  <c r="E2371" i="4"/>
  <c r="E2372" i="4"/>
  <c r="E2373" i="4"/>
  <c r="E2374" i="4"/>
  <c r="E2375" i="4"/>
  <c r="E2376" i="4"/>
  <c r="E2377" i="4"/>
  <c r="E2378" i="4"/>
  <c r="E2379" i="4"/>
  <c r="E2380" i="4"/>
  <c r="E2381" i="4"/>
  <c r="E2382" i="4"/>
  <c r="E2383" i="4"/>
  <c r="E2384" i="4"/>
  <c r="E2385" i="4"/>
  <c r="E2386" i="4"/>
  <c r="E2387" i="4"/>
  <c r="E2388" i="4"/>
  <c r="E2389" i="4"/>
  <c r="E2390" i="4"/>
  <c r="E2391" i="4"/>
  <c r="E2392" i="4"/>
  <c r="E2393" i="4"/>
  <c r="E2394" i="4"/>
  <c r="E2395" i="4"/>
  <c r="E2396" i="4"/>
  <c r="E2397" i="4"/>
  <c r="E2398" i="4"/>
  <c r="E2399" i="4"/>
  <c r="E2400" i="4"/>
  <c r="E2401" i="4"/>
  <c r="E2402" i="4"/>
  <c r="E2403" i="4"/>
  <c r="E2404" i="4"/>
  <c r="E2405" i="4"/>
  <c r="E2406" i="4"/>
  <c r="E2407" i="4"/>
  <c r="E2408" i="4"/>
  <c r="E2409" i="4"/>
  <c r="E2410" i="4"/>
  <c r="E2411" i="4"/>
  <c r="E2412" i="4"/>
  <c r="E2413" i="4"/>
  <c r="E2414" i="4"/>
  <c r="E2415" i="4"/>
  <c r="E2416" i="4"/>
  <c r="E2417" i="4"/>
  <c r="E2418" i="4"/>
  <c r="E2419" i="4"/>
  <c r="E2420" i="4"/>
  <c r="E2421" i="4"/>
  <c r="E2422" i="4"/>
  <c r="E2423" i="4"/>
  <c r="E2424" i="4"/>
  <c r="E2425" i="4"/>
  <c r="E2426" i="4"/>
  <c r="E2427" i="4"/>
  <c r="E2428" i="4"/>
  <c r="E2429" i="4"/>
  <c r="E2430" i="4"/>
  <c r="E2431" i="4"/>
  <c r="E2432" i="4"/>
  <c r="E2433" i="4"/>
  <c r="E2434" i="4"/>
  <c r="E2435" i="4"/>
  <c r="E2436" i="4"/>
  <c r="E2437" i="4"/>
  <c r="E2438" i="4"/>
  <c r="E2439" i="4"/>
  <c r="E2440" i="4"/>
  <c r="E2441" i="4"/>
  <c r="E2442" i="4"/>
  <c r="E2443" i="4"/>
  <c r="E2444" i="4"/>
  <c r="E2445" i="4"/>
  <c r="E2446" i="4"/>
  <c r="E2447" i="4"/>
  <c r="E2448" i="4"/>
  <c r="E2449" i="4"/>
  <c r="E2450" i="4"/>
  <c r="E2451" i="4"/>
  <c r="E2452" i="4"/>
  <c r="E2453" i="4"/>
  <c r="E2454" i="4"/>
  <c r="E2455" i="4"/>
  <c r="E2456" i="4"/>
  <c r="E2457" i="4"/>
  <c r="E2458" i="4"/>
  <c r="E2459" i="4"/>
  <c r="E2460" i="4"/>
  <c r="E2461" i="4"/>
  <c r="E2462" i="4"/>
  <c r="E2463" i="4"/>
  <c r="E2464" i="4"/>
  <c r="E2465" i="4"/>
  <c r="E2466" i="4"/>
  <c r="E2467" i="4"/>
  <c r="E2468" i="4"/>
  <c r="E2469" i="4"/>
  <c r="E2470" i="4"/>
  <c r="E2471" i="4"/>
  <c r="E2472" i="4"/>
  <c r="E2473" i="4"/>
  <c r="E2474" i="4"/>
  <c r="E2475" i="4"/>
  <c r="E2476" i="4"/>
  <c r="E2477" i="4"/>
  <c r="E2478" i="4"/>
  <c r="E2479" i="4"/>
  <c r="E2480" i="4"/>
  <c r="E2481" i="4"/>
  <c r="E2482" i="4"/>
  <c r="E2483" i="4"/>
  <c r="E2484" i="4"/>
  <c r="E2485" i="4"/>
  <c r="E2486" i="4"/>
  <c r="E2487" i="4"/>
  <c r="E2488" i="4"/>
  <c r="E2489" i="4"/>
  <c r="E2490" i="4"/>
  <c r="E2491" i="4"/>
  <c r="E2492" i="4"/>
  <c r="E2493" i="4"/>
  <c r="E2494" i="4"/>
  <c r="E2495" i="4"/>
  <c r="E2496" i="4"/>
  <c r="E2497" i="4"/>
  <c r="E2498" i="4"/>
  <c r="E2499" i="4"/>
  <c r="E2500" i="4"/>
  <c r="E2501" i="4"/>
  <c r="E2502" i="4"/>
  <c r="E2503" i="4"/>
  <c r="E2504" i="4"/>
  <c r="E2505" i="4"/>
  <c r="E2506" i="4"/>
  <c r="E2507" i="4"/>
  <c r="E2508" i="4"/>
  <c r="E2509" i="4"/>
  <c r="E2510" i="4"/>
  <c r="E2511" i="4"/>
  <c r="E2512" i="4"/>
  <c r="E2513" i="4"/>
  <c r="E2514" i="4"/>
  <c r="E2515" i="4"/>
  <c r="E2516" i="4"/>
  <c r="E2517" i="4"/>
  <c r="E2518" i="4"/>
  <c r="E2519" i="4"/>
  <c r="E2520" i="4"/>
  <c r="E2521" i="4"/>
  <c r="E2522" i="4"/>
  <c r="E2523" i="4"/>
  <c r="E2524" i="4"/>
  <c r="E2525" i="4"/>
  <c r="E2526" i="4"/>
  <c r="E2527" i="4"/>
  <c r="E2528" i="4"/>
  <c r="E2529" i="4"/>
  <c r="E2530" i="4"/>
  <c r="E2531" i="4"/>
  <c r="E2532" i="4"/>
  <c r="E2533" i="4"/>
  <c r="E2534" i="4"/>
  <c r="E2535" i="4"/>
  <c r="E2536" i="4"/>
  <c r="E2537" i="4"/>
  <c r="E2538" i="4"/>
  <c r="E2539" i="4"/>
  <c r="E2540" i="4"/>
  <c r="E2541" i="4"/>
  <c r="E2542" i="4"/>
  <c r="E2543" i="4"/>
  <c r="E2544" i="4"/>
  <c r="E2545" i="4"/>
  <c r="E2546" i="4"/>
  <c r="E2547" i="4"/>
  <c r="E2548" i="4"/>
  <c r="E2549" i="4"/>
  <c r="E2550" i="4"/>
  <c r="E2551" i="4"/>
  <c r="E2552" i="4"/>
  <c r="E2553" i="4"/>
  <c r="E2554" i="4"/>
  <c r="E2555" i="4"/>
  <c r="E2556" i="4"/>
  <c r="E2557" i="4"/>
  <c r="E2558" i="4"/>
  <c r="E2559" i="4"/>
  <c r="E2560" i="4"/>
  <c r="E2561" i="4"/>
  <c r="E2562" i="4"/>
  <c r="E2563" i="4"/>
  <c r="E2564" i="4"/>
  <c r="E2565" i="4"/>
  <c r="E2566" i="4"/>
  <c r="E2567" i="4"/>
  <c r="E2568" i="4"/>
  <c r="E2569" i="4"/>
  <c r="E2570" i="4"/>
  <c r="E2571" i="4"/>
  <c r="E2572" i="4"/>
  <c r="E2573" i="4"/>
  <c r="E2574" i="4"/>
  <c r="E2575" i="4"/>
  <c r="E2576" i="4"/>
  <c r="E2577" i="4"/>
  <c r="E2578" i="4"/>
  <c r="E2579" i="4"/>
  <c r="E2580" i="4"/>
  <c r="E2581" i="4"/>
  <c r="E2582" i="4"/>
  <c r="E2583" i="4"/>
  <c r="E2584" i="4"/>
  <c r="E2585" i="4"/>
  <c r="E2586" i="4"/>
  <c r="E2587" i="4"/>
  <c r="E2588" i="4"/>
  <c r="E2589" i="4"/>
  <c r="E2590" i="4"/>
  <c r="E2591" i="4"/>
  <c r="E2592" i="4"/>
  <c r="E2593" i="4"/>
  <c r="E2594" i="4"/>
  <c r="E2595" i="4"/>
  <c r="E2596" i="4"/>
  <c r="E2597" i="4"/>
  <c r="E2598" i="4"/>
  <c r="E2599" i="4"/>
  <c r="E2600" i="4"/>
  <c r="E2601" i="4"/>
  <c r="E2602" i="4"/>
  <c r="E2603" i="4"/>
  <c r="E2604" i="4"/>
  <c r="E2605" i="4"/>
  <c r="E2606" i="4"/>
  <c r="E2607" i="4"/>
  <c r="E2608" i="4"/>
  <c r="E2609" i="4"/>
  <c r="E2610" i="4"/>
  <c r="E2611" i="4"/>
  <c r="E2612" i="4"/>
  <c r="E2613" i="4"/>
  <c r="E2614" i="4"/>
  <c r="E2615" i="4"/>
  <c r="E2616" i="4"/>
  <c r="E2617" i="4"/>
  <c r="E2618" i="4"/>
  <c r="E2619" i="4"/>
  <c r="E2620" i="4"/>
  <c r="E2621" i="4"/>
  <c r="E2622" i="4"/>
  <c r="E2623" i="4"/>
  <c r="E2624" i="4"/>
  <c r="E2625" i="4"/>
  <c r="E2626" i="4"/>
  <c r="E2627" i="4"/>
  <c r="E2628" i="4"/>
  <c r="E2629" i="4"/>
  <c r="E2630" i="4"/>
  <c r="E2631" i="4"/>
  <c r="E2632" i="4"/>
  <c r="E2633" i="4"/>
  <c r="E2634" i="4"/>
  <c r="E2635" i="4"/>
  <c r="E2636" i="4"/>
  <c r="E2637" i="4"/>
  <c r="E2638" i="4"/>
  <c r="E2639" i="4"/>
  <c r="E2640" i="4"/>
  <c r="E2641" i="4"/>
  <c r="E2642" i="4"/>
  <c r="E2643" i="4"/>
  <c r="E2644" i="4"/>
  <c r="E2645" i="4"/>
  <c r="E2646" i="4"/>
  <c r="E2647" i="4"/>
  <c r="E2648" i="4"/>
  <c r="E2649" i="4"/>
  <c r="E2650" i="4"/>
  <c r="E2651" i="4"/>
  <c r="E2652" i="4"/>
  <c r="E2653" i="4"/>
  <c r="E2654" i="4"/>
  <c r="E2655" i="4"/>
  <c r="E2656" i="4"/>
  <c r="E2657" i="4"/>
  <c r="E2658" i="4"/>
  <c r="E2659" i="4"/>
  <c r="E2660" i="4"/>
  <c r="E2661" i="4"/>
  <c r="E2662" i="4"/>
  <c r="E2663" i="4"/>
  <c r="E2664" i="4"/>
  <c r="E2665" i="4"/>
  <c r="E2666" i="4"/>
  <c r="E2667" i="4"/>
  <c r="E2668" i="4"/>
  <c r="E2669" i="4"/>
  <c r="E2670" i="4"/>
  <c r="E2671" i="4"/>
  <c r="E2672" i="4"/>
  <c r="E2673" i="4"/>
  <c r="E2674" i="4"/>
  <c r="E2675" i="4"/>
  <c r="E2676" i="4"/>
  <c r="E2677" i="4"/>
  <c r="E2678" i="4"/>
  <c r="E2679" i="4"/>
  <c r="E2680" i="4"/>
  <c r="E2681" i="4"/>
  <c r="E2682" i="4"/>
  <c r="E2683" i="4"/>
  <c r="E2684" i="4"/>
  <c r="E2685" i="4"/>
  <c r="E2686" i="4"/>
  <c r="E2687" i="4"/>
  <c r="E2688" i="4"/>
  <c r="E2689" i="4"/>
  <c r="E2690" i="4"/>
  <c r="E2691" i="4"/>
  <c r="E2692" i="4"/>
  <c r="E2693" i="4"/>
  <c r="E2694" i="4"/>
  <c r="E2695" i="4"/>
  <c r="E2696" i="4"/>
  <c r="E2697" i="4"/>
  <c r="E2698" i="4"/>
  <c r="E2699" i="4"/>
  <c r="E2700" i="4"/>
  <c r="E2701" i="4"/>
  <c r="E2702" i="4"/>
  <c r="E2703" i="4"/>
  <c r="E2704" i="4"/>
  <c r="E2705" i="4"/>
  <c r="E2706" i="4"/>
  <c r="E2707" i="4"/>
  <c r="E2708" i="4"/>
  <c r="E2709" i="4"/>
  <c r="E2710" i="4"/>
  <c r="E2711" i="4"/>
  <c r="E2712" i="4"/>
  <c r="E2713" i="4"/>
  <c r="E2714" i="4"/>
  <c r="E2715" i="4"/>
  <c r="E2716" i="4"/>
  <c r="E2717" i="4"/>
  <c r="E2718" i="4"/>
  <c r="E2719" i="4"/>
  <c r="E2720" i="4"/>
  <c r="E2721" i="4"/>
  <c r="E2722" i="4"/>
  <c r="E2723" i="4"/>
  <c r="E2724" i="4"/>
  <c r="E2725" i="4"/>
  <c r="E2726" i="4"/>
  <c r="E2727" i="4"/>
  <c r="E2728" i="4"/>
  <c r="E2729" i="4"/>
  <c r="E2730" i="4"/>
  <c r="E2731" i="4"/>
  <c r="E2732" i="4"/>
  <c r="E2733" i="4"/>
  <c r="E2734" i="4"/>
  <c r="E2735" i="4"/>
  <c r="E2736" i="4"/>
  <c r="E2737" i="4"/>
  <c r="E2738" i="4"/>
  <c r="E2739" i="4"/>
  <c r="E2740" i="4"/>
  <c r="E2741" i="4"/>
  <c r="E2742" i="4"/>
  <c r="E2743" i="4"/>
  <c r="E2744" i="4"/>
  <c r="E2745" i="4"/>
  <c r="E2746" i="4"/>
  <c r="E2747" i="4"/>
  <c r="E2748" i="4"/>
  <c r="E2749" i="4"/>
  <c r="E2750" i="4"/>
  <c r="E2751" i="4"/>
  <c r="E2752" i="4"/>
  <c r="E2753" i="4"/>
  <c r="E2754" i="4"/>
  <c r="E2755" i="4"/>
  <c r="E2756" i="4"/>
  <c r="E2757" i="4"/>
  <c r="E2758" i="4"/>
  <c r="E2759" i="4"/>
  <c r="E2760" i="4"/>
  <c r="E2761" i="4"/>
  <c r="E2762" i="4"/>
  <c r="E2763" i="4"/>
  <c r="E2764" i="4"/>
  <c r="E2765" i="4"/>
  <c r="E2766" i="4"/>
  <c r="E2767" i="4"/>
  <c r="E2768" i="4"/>
  <c r="E2769" i="4"/>
  <c r="E2770" i="4"/>
  <c r="E2771" i="4"/>
  <c r="E2772" i="4"/>
  <c r="E2773" i="4"/>
  <c r="E2774" i="4"/>
  <c r="E2775" i="4"/>
  <c r="E2776" i="4"/>
  <c r="E2777" i="4"/>
  <c r="E2778" i="4"/>
  <c r="E2779" i="4"/>
  <c r="E2780" i="4"/>
  <c r="E2781" i="4"/>
  <c r="E2782" i="4"/>
  <c r="E2783" i="4"/>
  <c r="E2784" i="4"/>
  <c r="E2785" i="4"/>
  <c r="E2786" i="4"/>
  <c r="E2787" i="4"/>
  <c r="E2788" i="4"/>
  <c r="E2789" i="4"/>
  <c r="E2790" i="4"/>
  <c r="E2791" i="4"/>
  <c r="E2792" i="4"/>
  <c r="E2793" i="4"/>
  <c r="E2794" i="4"/>
  <c r="E2795" i="4"/>
  <c r="E2796" i="4"/>
  <c r="E2797" i="4"/>
  <c r="E2798" i="4"/>
  <c r="E2799" i="4"/>
  <c r="E2800" i="4"/>
  <c r="E2801" i="4"/>
  <c r="E2802" i="4"/>
  <c r="E2803" i="4"/>
  <c r="E2804" i="4"/>
  <c r="E2805" i="4"/>
  <c r="E2806" i="4"/>
  <c r="E2807" i="4"/>
  <c r="E2808" i="4"/>
  <c r="E2809" i="4"/>
  <c r="E2810" i="4"/>
  <c r="E2811" i="4"/>
  <c r="E2812" i="4"/>
  <c r="E2813" i="4"/>
  <c r="E2814" i="4"/>
  <c r="E2815" i="4"/>
  <c r="E2816" i="4"/>
  <c r="E2817" i="4"/>
  <c r="E2818" i="4"/>
  <c r="E2819" i="4"/>
  <c r="E2820" i="4"/>
  <c r="E2821" i="4"/>
  <c r="E2822" i="4"/>
  <c r="E2823" i="4"/>
  <c r="E2824" i="4"/>
  <c r="E2825" i="4"/>
  <c r="E2826" i="4"/>
  <c r="E2827" i="4"/>
  <c r="E2828" i="4"/>
  <c r="E2829" i="4"/>
  <c r="E2830" i="4"/>
  <c r="E2831" i="4"/>
  <c r="E2832" i="4"/>
  <c r="E2833" i="4"/>
  <c r="E2834" i="4"/>
  <c r="E2835" i="4"/>
  <c r="E2836" i="4"/>
  <c r="E2837" i="4"/>
  <c r="E2838" i="4"/>
  <c r="E2839" i="4"/>
  <c r="E2840" i="4"/>
  <c r="E2841" i="4"/>
  <c r="E2842" i="4"/>
  <c r="E2843" i="4"/>
  <c r="E2844" i="4"/>
  <c r="E2845" i="4"/>
  <c r="E2846" i="4"/>
  <c r="E2847" i="4"/>
  <c r="E2848" i="4"/>
  <c r="E2849" i="4"/>
  <c r="E2850" i="4"/>
  <c r="E2851" i="4"/>
  <c r="E2852" i="4"/>
  <c r="E2853" i="4"/>
  <c r="E2854" i="4"/>
  <c r="E2855" i="4"/>
  <c r="E2856" i="4"/>
  <c r="E2857" i="4"/>
  <c r="E2858" i="4"/>
  <c r="E2859" i="4"/>
  <c r="E2860" i="4"/>
  <c r="E2861" i="4"/>
  <c r="E2862" i="4"/>
  <c r="E2863" i="4"/>
  <c r="E2864" i="4"/>
  <c r="E2865" i="4"/>
  <c r="E2866" i="4"/>
  <c r="E2867" i="4"/>
  <c r="E2868" i="4"/>
  <c r="E2869" i="4"/>
  <c r="E2870" i="4"/>
  <c r="E2871" i="4"/>
  <c r="E2872" i="4"/>
  <c r="E2873" i="4"/>
  <c r="E2874" i="4"/>
  <c r="E2875" i="4"/>
  <c r="E2876" i="4"/>
  <c r="E2877" i="4"/>
  <c r="E2878" i="4"/>
  <c r="E2879" i="4"/>
  <c r="E2880" i="4"/>
  <c r="E2881" i="4"/>
  <c r="E2882" i="4"/>
  <c r="E2883" i="4"/>
  <c r="E2884" i="4"/>
  <c r="E2885" i="4"/>
  <c r="E2886" i="4"/>
  <c r="E2887" i="4"/>
  <c r="E2888" i="4"/>
  <c r="E2889" i="4"/>
  <c r="E2890" i="4"/>
  <c r="E2891" i="4"/>
  <c r="E2892" i="4"/>
  <c r="E2893" i="4"/>
  <c r="E2894" i="4"/>
  <c r="E2895" i="4"/>
  <c r="E2896" i="4"/>
  <c r="E2897" i="4"/>
  <c r="E2898" i="4"/>
  <c r="E2899" i="4"/>
  <c r="E2900" i="4"/>
  <c r="E2901" i="4"/>
  <c r="E2902" i="4"/>
  <c r="E2903" i="4"/>
  <c r="E2904" i="4"/>
  <c r="E2905" i="4"/>
  <c r="E2906" i="4"/>
  <c r="E2907" i="4"/>
  <c r="E2908" i="4"/>
  <c r="E2909" i="4"/>
  <c r="E2910" i="4"/>
  <c r="E2911" i="4"/>
  <c r="E2912" i="4"/>
  <c r="E2913" i="4"/>
  <c r="E2914" i="4"/>
  <c r="E2915" i="4"/>
  <c r="E2916" i="4"/>
  <c r="E2917" i="4"/>
  <c r="E2918" i="4"/>
  <c r="E2919" i="4"/>
  <c r="E2920" i="4"/>
  <c r="E2921" i="4"/>
  <c r="E2922" i="4"/>
  <c r="E2923" i="4"/>
  <c r="E2924" i="4"/>
  <c r="E2925" i="4"/>
  <c r="E2926" i="4"/>
  <c r="E2927" i="4"/>
  <c r="E2928" i="4"/>
  <c r="E2929" i="4"/>
  <c r="E2930" i="4"/>
  <c r="E2931" i="4"/>
  <c r="E2932" i="4"/>
  <c r="E2933" i="4"/>
  <c r="E2934" i="4"/>
  <c r="E2935" i="4"/>
  <c r="E2936" i="4"/>
  <c r="E2937" i="4"/>
  <c r="E2938" i="4"/>
  <c r="E2939" i="4"/>
  <c r="E2940" i="4"/>
  <c r="E2941" i="4"/>
  <c r="E2942" i="4"/>
  <c r="E2943" i="4"/>
  <c r="E2944" i="4"/>
  <c r="E2945" i="4"/>
  <c r="E2946" i="4"/>
  <c r="E2947" i="4"/>
  <c r="E2948" i="4"/>
  <c r="E2949" i="4"/>
  <c r="E2950" i="4"/>
  <c r="E2951" i="4"/>
  <c r="E2952" i="4"/>
  <c r="E2953" i="4"/>
  <c r="E2954" i="4"/>
  <c r="E2955" i="4"/>
  <c r="E2956" i="4"/>
  <c r="E2957" i="4"/>
  <c r="E2958" i="4"/>
  <c r="E2959" i="4"/>
  <c r="E2960" i="4"/>
  <c r="E2961" i="4"/>
  <c r="E2962" i="4"/>
  <c r="E2963" i="4"/>
  <c r="E2964" i="4"/>
  <c r="E2965" i="4"/>
  <c r="E2966" i="4"/>
  <c r="E2967" i="4"/>
  <c r="E2968" i="4"/>
  <c r="E2969" i="4"/>
  <c r="E2970" i="4"/>
  <c r="E2971" i="4"/>
  <c r="E2972" i="4"/>
  <c r="E2973" i="4"/>
  <c r="E2974" i="4"/>
  <c r="E2975" i="4"/>
  <c r="E2976" i="4"/>
  <c r="E2977" i="4"/>
  <c r="E2978" i="4"/>
  <c r="E2979" i="4"/>
  <c r="E2980" i="4"/>
  <c r="E2981" i="4"/>
  <c r="E2982" i="4"/>
  <c r="E2983" i="4"/>
  <c r="E2984" i="4"/>
  <c r="E2985" i="4"/>
  <c r="E2986" i="4"/>
  <c r="E2987" i="4"/>
  <c r="E2988" i="4"/>
  <c r="E2989" i="4"/>
  <c r="E2990" i="4"/>
  <c r="E2991" i="4"/>
  <c r="E2992" i="4"/>
  <c r="E2993" i="4"/>
  <c r="E2994" i="4"/>
  <c r="E2995" i="4"/>
  <c r="E2996" i="4"/>
  <c r="E2997" i="4"/>
  <c r="E2998" i="4"/>
  <c r="E2999" i="4"/>
  <c r="E3000" i="4"/>
  <c r="E3001" i="4"/>
  <c r="E3002" i="4"/>
  <c r="E3003" i="4"/>
  <c r="E3004" i="4"/>
  <c r="E3005" i="4"/>
  <c r="E3006" i="4"/>
  <c r="E3007" i="4"/>
  <c r="E3008" i="4"/>
  <c r="E3009" i="4"/>
  <c r="E3010" i="4"/>
  <c r="E3011" i="4"/>
  <c r="E3012" i="4"/>
  <c r="E3013" i="4"/>
  <c r="E3014" i="4"/>
  <c r="E3015" i="4"/>
  <c r="E3016" i="4"/>
  <c r="E3017" i="4"/>
  <c r="E3018" i="4"/>
  <c r="E3019" i="4"/>
  <c r="E3020" i="4"/>
  <c r="E3021" i="4"/>
  <c r="E3022" i="4"/>
  <c r="E3023" i="4"/>
  <c r="E3024" i="4"/>
  <c r="E3025" i="4"/>
  <c r="E3026" i="4"/>
  <c r="E3027" i="4"/>
  <c r="E3028" i="4"/>
  <c r="E3029" i="4"/>
  <c r="E3030" i="4"/>
  <c r="E3031" i="4"/>
  <c r="E3032" i="4"/>
  <c r="E3033" i="4"/>
  <c r="E3034" i="4"/>
  <c r="E3035" i="4"/>
  <c r="E3036" i="4"/>
  <c r="E3037" i="4"/>
  <c r="E3038" i="4"/>
  <c r="E3039" i="4"/>
  <c r="E3040" i="4"/>
  <c r="E3041" i="4"/>
  <c r="E3042" i="4"/>
  <c r="E3043" i="4"/>
  <c r="E3044" i="4"/>
  <c r="E3045" i="4"/>
  <c r="E3046" i="4"/>
  <c r="E3047" i="4"/>
  <c r="E3048" i="4"/>
  <c r="E3049" i="4"/>
  <c r="E3050" i="4"/>
  <c r="E3051" i="4"/>
  <c r="E3052" i="4"/>
  <c r="E3053" i="4"/>
  <c r="E3054" i="4"/>
  <c r="E3055" i="4"/>
  <c r="E3056" i="4"/>
  <c r="E3057" i="4"/>
  <c r="E3058" i="4"/>
  <c r="E3059" i="4"/>
  <c r="E3060" i="4"/>
  <c r="E3061" i="4"/>
  <c r="E3062" i="4"/>
  <c r="E3063" i="4"/>
  <c r="E3064" i="4"/>
  <c r="E3065" i="4"/>
  <c r="E3066" i="4"/>
  <c r="E3067" i="4"/>
  <c r="E3068" i="4"/>
  <c r="E3069" i="4"/>
  <c r="E3070" i="4"/>
  <c r="E3071" i="4"/>
  <c r="E3072" i="4"/>
  <c r="E3073" i="4"/>
  <c r="E3074" i="4"/>
  <c r="E3075" i="4"/>
  <c r="E3076" i="4"/>
  <c r="E3077" i="4"/>
  <c r="E3078" i="4"/>
  <c r="E3079" i="4"/>
  <c r="E3080" i="4"/>
  <c r="E3081" i="4"/>
  <c r="E3082" i="4"/>
  <c r="E3083" i="4"/>
  <c r="E3084" i="4"/>
  <c r="E3085" i="4"/>
  <c r="E3086" i="4"/>
  <c r="E3087" i="4"/>
  <c r="E3088" i="4"/>
  <c r="E3089" i="4"/>
  <c r="E3090" i="4"/>
  <c r="E3091" i="4"/>
  <c r="E3092" i="4"/>
  <c r="E3093" i="4"/>
  <c r="E3094" i="4"/>
  <c r="E3095" i="4"/>
  <c r="E3096" i="4"/>
  <c r="E3097" i="4"/>
  <c r="E3098" i="4"/>
  <c r="E3099" i="4"/>
  <c r="E3100" i="4"/>
  <c r="E3101" i="4"/>
  <c r="E3102" i="4"/>
  <c r="E3103" i="4"/>
  <c r="E3104" i="4"/>
  <c r="E3105" i="4"/>
  <c r="E3106" i="4"/>
  <c r="E3107" i="4"/>
  <c r="E3108" i="4"/>
  <c r="E3109" i="4"/>
  <c r="E3110" i="4"/>
  <c r="E3111" i="4"/>
  <c r="E3112" i="4"/>
  <c r="E3113" i="4"/>
  <c r="E3114" i="4"/>
  <c r="E3115" i="4"/>
  <c r="E3116" i="4"/>
  <c r="E3117" i="4"/>
  <c r="E3118" i="4"/>
  <c r="E3119" i="4"/>
  <c r="E3120" i="4"/>
  <c r="E3121" i="4"/>
  <c r="E3122" i="4"/>
  <c r="E3123" i="4"/>
  <c r="E3124" i="4"/>
  <c r="E3125" i="4"/>
  <c r="E3126" i="4"/>
  <c r="E3127" i="4"/>
  <c r="E3128" i="4"/>
  <c r="E3129" i="4"/>
  <c r="E3130" i="4"/>
  <c r="E3131" i="4"/>
  <c r="E3132" i="4"/>
  <c r="E3133" i="4"/>
  <c r="E3134" i="4"/>
  <c r="E3135" i="4"/>
  <c r="E3136" i="4"/>
  <c r="E3137" i="4"/>
  <c r="E3138" i="4"/>
  <c r="E3139" i="4"/>
  <c r="E3140" i="4"/>
  <c r="E3141" i="4"/>
  <c r="E3142" i="4"/>
  <c r="E3143" i="4"/>
  <c r="E3144" i="4"/>
  <c r="E3145" i="4"/>
  <c r="E3146" i="4"/>
  <c r="E3147" i="4"/>
  <c r="E3148" i="4"/>
  <c r="E3149" i="4"/>
  <c r="E3150" i="4"/>
  <c r="E3151" i="4"/>
  <c r="E3152" i="4"/>
  <c r="E3153" i="4"/>
  <c r="E3154" i="4"/>
  <c r="E3155" i="4"/>
  <c r="E3156" i="4"/>
  <c r="E3157" i="4"/>
  <c r="E3158" i="4"/>
  <c r="E3159" i="4"/>
  <c r="E3160" i="4"/>
  <c r="E3161" i="4"/>
  <c r="E3162" i="4"/>
  <c r="E3163" i="4"/>
  <c r="E3164" i="4"/>
  <c r="E3165" i="4"/>
  <c r="E3166" i="4"/>
  <c r="E3167" i="4"/>
  <c r="E3168" i="4"/>
  <c r="E3169" i="4"/>
  <c r="E3170" i="4"/>
  <c r="E3171" i="4"/>
  <c r="E3172" i="4"/>
  <c r="E3173" i="4"/>
  <c r="E3174" i="4"/>
  <c r="E3175" i="4"/>
  <c r="E3176" i="4"/>
  <c r="E3177" i="4"/>
  <c r="E3178" i="4"/>
  <c r="E3179" i="4"/>
  <c r="E3180" i="4"/>
  <c r="E3181" i="4"/>
  <c r="E3182" i="4"/>
  <c r="E3183" i="4"/>
  <c r="E3184" i="4"/>
  <c r="E3185" i="4"/>
  <c r="E3186" i="4"/>
  <c r="E3187" i="4"/>
  <c r="E3188" i="4"/>
  <c r="E3189" i="4"/>
  <c r="E3190" i="4"/>
  <c r="E3191" i="4"/>
  <c r="E3192" i="4"/>
  <c r="E3193" i="4"/>
  <c r="E3194" i="4"/>
  <c r="E3195" i="4"/>
  <c r="E3196" i="4"/>
  <c r="E3197" i="4"/>
  <c r="E3198" i="4"/>
  <c r="E3199" i="4"/>
  <c r="E3200" i="4"/>
  <c r="E3201" i="4"/>
  <c r="E3202" i="4"/>
  <c r="E3203" i="4"/>
  <c r="E3204" i="4"/>
  <c r="E3205" i="4"/>
  <c r="E3206" i="4"/>
  <c r="E3207" i="4"/>
  <c r="E3208" i="4"/>
  <c r="E3209" i="4"/>
  <c r="E3210" i="4"/>
  <c r="E3211" i="4"/>
  <c r="E3212" i="4"/>
  <c r="E3213" i="4"/>
  <c r="E3214" i="4"/>
  <c r="E3215" i="4"/>
  <c r="E3216" i="4"/>
  <c r="E3217" i="4"/>
  <c r="E3218" i="4"/>
  <c r="E3219" i="4"/>
  <c r="E3220" i="4"/>
  <c r="E3221" i="4"/>
  <c r="E3222" i="4"/>
  <c r="E3223" i="4"/>
  <c r="E3224" i="4"/>
  <c r="E3225" i="4"/>
  <c r="E3226" i="4"/>
  <c r="E3227" i="4"/>
  <c r="E3228" i="4"/>
  <c r="E3229" i="4"/>
  <c r="E3230" i="4"/>
  <c r="E3231" i="4"/>
  <c r="E3232" i="4"/>
  <c r="E3233" i="4"/>
  <c r="E3234" i="4"/>
  <c r="E3235" i="4"/>
  <c r="E3236" i="4"/>
  <c r="E3237" i="4"/>
  <c r="E3238" i="4"/>
  <c r="E3239" i="4"/>
  <c r="E3240" i="4"/>
  <c r="E3241" i="4"/>
  <c r="E3242" i="4"/>
  <c r="E3243" i="4"/>
  <c r="E3244" i="4"/>
  <c r="E3245" i="4"/>
  <c r="E3246" i="4"/>
  <c r="E3247" i="4"/>
  <c r="E3248" i="4"/>
  <c r="E3249" i="4"/>
  <c r="E3250" i="4"/>
  <c r="E3251" i="4"/>
  <c r="E3252" i="4"/>
  <c r="E3253" i="4"/>
  <c r="E3254" i="4"/>
  <c r="E3255" i="4"/>
  <c r="E3256" i="4"/>
  <c r="E3257" i="4"/>
  <c r="E3258" i="4"/>
  <c r="E3259" i="4"/>
  <c r="E3260" i="4"/>
  <c r="E3261" i="4"/>
  <c r="E3262" i="4"/>
  <c r="E3263" i="4"/>
  <c r="E3264" i="4"/>
  <c r="E3265" i="4"/>
  <c r="E3266" i="4"/>
  <c r="E3267" i="4"/>
  <c r="E3268" i="4"/>
  <c r="E3269" i="4"/>
  <c r="E3270" i="4"/>
  <c r="E3271" i="4"/>
  <c r="E3272" i="4"/>
  <c r="E3273" i="4"/>
  <c r="E3274" i="4"/>
  <c r="E3275" i="4"/>
  <c r="E3276" i="4"/>
  <c r="E3277" i="4"/>
  <c r="E3278" i="4"/>
  <c r="E3279" i="4"/>
  <c r="E3280" i="4"/>
  <c r="E3281" i="4"/>
  <c r="E3282" i="4"/>
  <c r="E3283" i="4"/>
  <c r="E3284" i="4"/>
  <c r="E3285" i="4"/>
  <c r="E3286" i="4"/>
  <c r="E3287" i="4"/>
  <c r="E3288" i="4"/>
  <c r="E3289" i="4"/>
  <c r="E3290" i="4"/>
  <c r="E3291" i="4"/>
  <c r="E3292" i="4"/>
  <c r="E3293" i="4"/>
  <c r="E3294" i="4"/>
  <c r="E3295" i="4"/>
  <c r="E3296" i="4"/>
  <c r="E3297" i="4"/>
  <c r="E3298" i="4"/>
  <c r="E3299" i="4"/>
  <c r="E3300" i="4"/>
  <c r="E3301" i="4"/>
  <c r="E3302" i="4"/>
  <c r="E3303" i="4"/>
  <c r="E3304" i="4"/>
  <c r="E3305" i="4"/>
  <c r="E3306" i="4"/>
  <c r="E3307" i="4"/>
  <c r="E3308" i="4"/>
  <c r="E3309" i="4"/>
  <c r="E3310" i="4"/>
  <c r="E3311" i="4"/>
  <c r="E3312" i="4"/>
  <c r="E3313" i="4"/>
  <c r="E3314" i="4"/>
  <c r="E3315" i="4"/>
  <c r="E3316" i="4"/>
  <c r="E3317" i="4"/>
  <c r="E3318" i="4"/>
  <c r="E3319" i="4"/>
  <c r="E3320" i="4"/>
  <c r="E3321" i="4"/>
  <c r="E3322" i="4"/>
  <c r="E3323" i="4"/>
  <c r="E3324" i="4"/>
  <c r="E3325" i="4"/>
  <c r="E3326" i="4"/>
  <c r="E3327" i="4"/>
  <c r="E3328" i="4"/>
  <c r="E3329" i="4"/>
  <c r="E3330" i="4"/>
  <c r="E3331" i="4"/>
  <c r="E3332" i="4"/>
  <c r="E3333" i="4"/>
  <c r="E3334" i="4"/>
  <c r="E3335" i="4"/>
  <c r="E3336" i="4"/>
  <c r="E3337" i="4"/>
  <c r="E3338" i="4"/>
  <c r="E3339" i="4"/>
  <c r="E3340" i="4"/>
  <c r="E3341" i="4"/>
  <c r="E3342" i="4"/>
  <c r="E3343" i="4"/>
  <c r="E3344" i="4"/>
  <c r="E3345" i="4"/>
  <c r="E3346" i="4"/>
  <c r="E3347" i="4"/>
  <c r="E3348" i="4"/>
  <c r="E3349" i="4"/>
  <c r="E3350" i="4"/>
  <c r="E3351" i="4"/>
  <c r="E3352" i="4"/>
  <c r="E3353" i="4"/>
  <c r="E3354" i="4"/>
  <c r="E3355" i="4"/>
  <c r="E3356" i="4"/>
  <c r="E3357" i="4"/>
  <c r="E3358" i="4"/>
  <c r="E3359" i="4"/>
  <c r="E3360" i="4"/>
  <c r="E3361" i="4"/>
  <c r="E3362" i="4"/>
  <c r="E3363" i="4"/>
  <c r="E3364" i="4"/>
  <c r="E3365" i="4"/>
  <c r="E3366" i="4"/>
  <c r="E3367" i="4"/>
  <c r="E3368" i="4"/>
  <c r="E3369" i="4"/>
  <c r="E3370" i="4"/>
  <c r="E3371" i="4"/>
  <c r="E3372" i="4"/>
  <c r="E3373" i="4"/>
  <c r="E3374" i="4"/>
  <c r="E3375" i="4"/>
  <c r="E3376" i="4"/>
  <c r="E3377" i="4"/>
  <c r="E3378" i="4"/>
  <c r="E3379" i="4"/>
  <c r="E3380" i="4"/>
  <c r="E3381" i="4"/>
  <c r="E3382" i="4"/>
  <c r="E3383" i="4"/>
  <c r="E3384" i="4"/>
  <c r="E3385" i="4"/>
  <c r="E3386" i="4"/>
  <c r="E3387" i="4"/>
  <c r="E3388" i="4"/>
  <c r="E3389" i="4"/>
  <c r="E3390" i="4"/>
  <c r="E3391" i="4"/>
  <c r="E3392" i="4"/>
  <c r="E3393" i="4"/>
  <c r="E3394" i="4"/>
  <c r="E3395" i="4"/>
  <c r="E3396" i="4"/>
  <c r="E3397" i="4"/>
  <c r="E3398" i="4"/>
  <c r="E3399" i="4"/>
  <c r="E3400" i="4"/>
  <c r="E3401" i="4"/>
  <c r="E3402" i="4"/>
  <c r="E3403" i="4"/>
  <c r="E3404" i="4"/>
  <c r="E3405" i="4"/>
  <c r="E3406" i="4"/>
  <c r="E3407" i="4"/>
  <c r="E3408" i="4"/>
  <c r="E3409" i="4"/>
  <c r="E3410" i="4"/>
  <c r="E3411" i="4"/>
  <c r="E3412" i="4"/>
  <c r="E3413" i="4"/>
  <c r="E3414" i="4"/>
  <c r="E3415" i="4"/>
  <c r="E3416" i="4"/>
  <c r="E3417" i="4"/>
  <c r="E3418" i="4"/>
  <c r="E3419" i="4"/>
  <c r="E3420" i="4"/>
  <c r="E3421" i="4"/>
  <c r="E3422" i="4"/>
  <c r="E3423" i="4"/>
  <c r="E3424" i="4"/>
  <c r="E3425" i="4"/>
  <c r="E3426" i="4"/>
  <c r="E3427" i="4"/>
  <c r="E3428" i="4"/>
  <c r="E3429" i="4"/>
  <c r="E3430" i="4"/>
  <c r="E3431" i="4"/>
  <c r="E3432" i="4"/>
  <c r="E3433" i="4"/>
  <c r="E3434" i="4"/>
  <c r="E3435" i="4"/>
  <c r="E3436" i="4"/>
  <c r="E3437" i="4"/>
  <c r="E3438" i="4"/>
  <c r="E3439" i="4"/>
  <c r="E3440" i="4"/>
  <c r="E3441" i="4"/>
  <c r="E3442" i="4"/>
  <c r="E3443" i="4"/>
  <c r="E3444" i="4"/>
  <c r="E3445" i="4"/>
  <c r="E3446" i="4"/>
  <c r="E3447" i="4"/>
  <c r="E3448" i="4"/>
  <c r="E3449" i="4"/>
  <c r="E3450" i="4"/>
  <c r="E3451" i="4"/>
  <c r="E3452" i="4"/>
  <c r="E3453" i="4"/>
  <c r="E3454" i="4"/>
  <c r="E3455" i="4"/>
  <c r="E3456" i="4"/>
  <c r="E3457" i="4"/>
  <c r="E3458" i="4"/>
  <c r="E3459" i="4"/>
  <c r="E3460" i="4"/>
  <c r="E3461" i="4"/>
  <c r="E3462" i="4"/>
  <c r="E3463" i="4"/>
  <c r="E3464" i="4"/>
  <c r="E3465" i="4"/>
  <c r="E3466" i="4"/>
  <c r="E3467" i="4"/>
  <c r="E3468" i="4"/>
  <c r="E3469" i="4"/>
  <c r="E3470" i="4"/>
  <c r="E3471" i="4"/>
  <c r="E3472" i="4"/>
  <c r="E3473" i="4"/>
  <c r="E3474" i="4"/>
  <c r="E3475" i="4"/>
  <c r="E3476" i="4"/>
  <c r="E3477" i="4"/>
  <c r="E3478" i="4"/>
  <c r="E3479" i="4"/>
  <c r="E3480" i="4"/>
  <c r="E3481" i="4"/>
  <c r="E3482" i="4"/>
  <c r="E3483" i="4"/>
  <c r="E3484" i="4"/>
  <c r="E3485" i="4"/>
  <c r="E3486" i="4"/>
  <c r="E3487" i="4"/>
  <c r="E3488" i="4"/>
  <c r="E3489" i="4"/>
  <c r="E3490" i="4"/>
  <c r="E3491" i="4"/>
  <c r="E3492" i="4"/>
  <c r="E3493" i="4"/>
  <c r="E3494" i="4"/>
  <c r="E3495" i="4"/>
  <c r="E3496" i="4"/>
  <c r="E3497" i="4"/>
  <c r="E3498" i="4"/>
  <c r="E3499" i="4"/>
  <c r="E3500" i="4"/>
  <c r="E3501" i="4"/>
  <c r="E3502" i="4"/>
  <c r="E3503" i="4"/>
  <c r="E3504" i="4"/>
  <c r="E3505" i="4"/>
  <c r="E3506" i="4"/>
  <c r="E3507" i="4"/>
  <c r="E3508" i="4"/>
  <c r="E3509" i="4"/>
  <c r="E3510" i="4"/>
  <c r="E3511" i="4"/>
  <c r="E3512" i="4"/>
  <c r="E3513" i="4"/>
  <c r="E3514" i="4"/>
  <c r="E3515" i="4"/>
  <c r="E3516" i="4"/>
  <c r="E3517" i="4"/>
  <c r="E3518" i="4"/>
  <c r="E3519" i="4"/>
  <c r="E3520" i="4"/>
  <c r="E3521" i="4"/>
  <c r="E3522" i="4"/>
  <c r="E3523" i="4"/>
  <c r="E3524" i="4"/>
  <c r="E3525" i="4"/>
  <c r="E3526" i="4"/>
  <c r="E3527" i="4"/>
  <c r="E3528" i="4"/>
  <c r="E3529" i="4"/>
  <c r="E3530" i="4"/>
  <c r="E3531" i="4"/>
  <c r="E3532" i="4"/>
  <c r="E3533" i="4"/>
  <c r="E3534" i="4"/>
  <c r="E3535" i="4"/>
  <c r="E3536" i="4"/>
  <c r="E3537" i="4"/>
  <c r="E3538" i="4"/>
  <c r="E3539" i="4"/>
  <c r="E3540" i="4"/>
  <c r="E3541" i="4"/>
  <c r="E3542" i="4"/>
  <c r="E3543" i="4"/>
  <c r="E3544" i="4"/>
  <c r="E3545" i="4"/>
  <c r="E3546" i="4"/>
  <c r="E3547" i="4"/>
  <c r="E3548" i="4"/>
  <c r="E3549" i="4"/>
  <c r="E3550" i="4"/>
  <c r="E3551" i="4"/>
  <c r="E3552" i="4"/>
  <c r="E3553" i="4"/>
  <c r="E3554" i="4"/>
  <c r="E3555" i="4"/>
  <c r="E3556" i="4"/>
  <c r="E3557" i="4"/>
  <c r="E3558" i="4"/>
  <c r="E3559" i="4"/>
  <c r="E3560" i="4"/>
  <c r="E3561" i="4"/>
  <c r="E3562" i="4"/>
  <c r="E3563" i="4"/>
  <c r="E3564" i="4"/>
  <c r="E3565" i="4"/>
  <c r="E3566" i="4"/>
  <c r="E3567" i="4"/>
  <c r="E3568" i="4"/>
  <c r="E3569" i="4"/>
  <c r="E3570" i="4"/>
  <c r="E3571" i="4"/>
  <c r="E3572" i="4"/>
  <c r="E3573" i="4"/>
  <c r="E3574" i="4"/>
  <c r="E3575" i="4"/>
  <c r="E3576" i="4"/>
  <c r="E3577" i="4"/>
  <c r="E3578" i="4"/>
  <c r="E3579" i="4"/>
  <c r="E3580" i="4"/>
  <c r="E3581" i="4"/>
  <c r="E3582" i="4"/>
  <c r="E3583" i="4"/>
  <c r="E3584" i="4"/>
  <c r="E3585" i="4"/>
  <c r="E3586" i="4"/>
  <c r="E3587" i="4"/>
  <c r="E3588" i="4"/>
  <c r="E3589" i="4"/>
  <c r="E3590" i="4"/>
  <c r="E3591" i="4"/>
  <c r="E3592" i="4"/>
  <c r="E3593" i="4"/>
  <c r="E3594" i="4"/>
  <c r="E3595" i="4"/>
  <c r="E3596" i="4"/>
  <c r="E3597" i="4"/>
  <c r="E3598" i="4"/>
  <c r="E3599" i="4"/>
  <c r="E3600" i="4"/>
  <c r="E3601" i="4"/>
  <c r="E3602" i="4"/>
  <c r="E3603" i="4"/>
  <c r="E3604" i="4"/>
  <c r="E3605" i="4"/>
  <c r="E3606" i="4"/>
  <c r="E3607" i="4"/>
  <c r="E3608" i="4"/>
  <c r="E3609" i="4"/>
  <c r="E3610" i="4"/>
  <c r="E3611" i="4"/>
  <c r="E3612" i="4"/>
  <c r="E3613" i="4"/>
  <c r="E3614" i="4"/>
  <c r="E3615" i="4"/>
  <c r="E3616" i="4"/>
  <c r="E3617" i="4"/>
  <c r="E3618" i="4"/>
  <c r="E3619" i="4"/>
  <c r="E3620" i="4"/>
  <c r="E3621" i="4"/>
  <c r="E3622" i="4"/>
  <c r="E3623" i="4"/>
  <c r="E3624" i="4"/>
  <c r="E3625" i="4"/>
  <c r="E3626" i="4"/>
  <c r="E3627" i="4"/>
  <c r="E3628" i="4"/>
  <c r="E3629" i="4"/>
  <c r="E3630" i="4"/>
  <c r="E3631" i="4"/>
  <c r="E3632" i="4"/>
  <c r="E3633" i="4"/>
  <c r="E3634" i="4"/>
  <c r="E3635" i="4"/>
  <c r="E3636" i="4"/>
  <c r="E3637" i="4"/>
  <c r="E3638" i="4"/>
  <c r="E3639" i="4"/>
  <c r="E3640" i="4"/>
  <c r="E3641" i="4"/>
  <c r="E3642" i="4"/>
  <c r="E3643" i="4"/>
  <c r="E3644" i="4"/>
  <c r="E3645" i="4"/>
  <c r="E3646" i="4"/>
  <c r="E3647" i="4"/>
  <c r="E3648" i="4"/>
  <c r="E3649" i="4"/>
  <c r="E3650" i="4"/>
  <c r="E3651" i="4"/>
  <c r="E3652" i="4"/>
  <c r="E3653" i="4"/>
  <c r="E3654" i="4"/>
  <c r="E3655" i="4"/>
  <c r="E3656" i="4"/>
  <c r="E3657" i="4"/>
  <c r="E3658" i="4"/>
  <c r="E3659" i="4"/>
  <c r="E3660" i="4"/>
  <c r="E3661" i="4"/>
  <c r="E3662" i="4"/>
  <c r="E3663" i="4"/>
  <c r="E3664" i="4"/>
  <c r="E3665" i="4"/>
  <c r="E3666" i="4"/>
  <c r="E3667" i="4"/>
  <c r="E3668" i="4"/>
  <c r="E3669" i="4"/>
  <c r="E3670" i="4"/>
  <c r="E3671" i="4"/>
  <c r="E3672" i="4"/>
  <c r="E3673" i="4"/>
  <c r="E3674" i="4"/>
  <c r="E3675" i="4"/>
  <c r="E3676" i="4"/>
  <c r="E3677" i="4"/>
  <c r="E3678" i="4"/>
  <c r="E3679" i="4"/>
  <c r="E3680" i="4"/>
  <c r="E3681" i="4"/>
  <c r="E3682" i="4"/>
  <c r="E3683" i="4"/>
  <c r="E3684" i="4"/>
  <c r="E3685" i="4"/>
  <c r="E3686" i="4"/>
  <c r="E3687" i="4"/>
  <c r="E3688" i="4"/>
  <c r="E3689" i="4"/>
  <c r="E3690" i="4"/>
  <c r="E3691" i="4"/>
  <c r="E3692" i="4"/>
  <c r="E3693" i="4"/>
  <c r="E3694" i="4"/>
  <c r="E3695" i="4"/>
  <c r="E3696" i="4"/>
  <c r="E3697" i="4"/>
  <c r="E3698" i="4"/>
  <c r="E3699" i="4"/>
  <c r="E3700" i="4"/>
  <c r="E3701" i="4"/>
  <c r="E3702" i="4"/>
  <c r="E3703" i="4"/>
  <c r="E3704" i="4"/>
  <c r="E3705" i="4"/>
  <c r="E3706" i="4"/>
  <c r="E3707" i="4"/>
  <c r="E3708" i="4"/>
  <c r="E3709" i="4"/>
  <c r="E3710" i="4"/>
  <c r="E3711" i="4"/>
  <c r="E3712" i="4"/>
  <c r="E3713" i="4"/>
  <c r="E3714" i="4"/>
  <c r="E3715" i="4"/>
  <c r="E3716" i="4"/>
  <c r="E3717" i="4"/>
  <c r="E3718" i="4"/>
  <c r="E3719" i="4"/>
  <c r="E3720" i="4"/>
  <c r="E3721" i="4"/>
  <c r="E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5"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303" i="4"/>
  <c r="D3304" i="4"/>
  <c r="D3305" i="4"/>
  <c r="D3306" i="4"/>
  <c r="D3307" i="4"/>
  <c r="D3308" i="4"/>
  <c r="D3309" i="4"/>
  <c r="D3310" i="4"/>
  <c r="D3311" i="4"/>
  <c r="D3312" i="4"/>
  <c r="D3313" i="4"/>
  <c r="D3314" i="4"/>
  <c r="D3315" i="4"/>
  <c r="D3316" i="4"/>
  <c r="D3317" i="4"/>
  <c r="D3318" i="4"/>
  <c r="D3319" i="4"/>
  <c r="D3320" i="4"/>
  <c r="D3321" i="4"/>
  <c r="D3322" i="4"/>
  <c r="D3323" i="4"/>
  <c r="D3324" i="4"/>
  <c r="D3325" i="4"/>
  <c r="D3326" i="4"/>
  <c r="D3327" i="4"/>
  <c r="D3328" i="4"/>
  <c r="D3329" i="4"/>
  <c r="D3330" i="4"/>
  <c r="D3331" i="4"/>
  <c r="D3332" i="4"/>
  <c r="D3333" i="4"/>
  <c r="D3334" i="4"/>
  <c r="D3335" i="4"/>
  <c r="D3336" i="4"/>
  <c r="D3337" i="4"/>
  <c r="D3338" i="4"/>
  <c r="D3339" i="4"/>
  <c r="D3340" i="4"/>
  <c r="D3341" i="4"/>
  <c r="D3342" i="4"/>
  <c r="D3343" i="4"/>
  <c r="D3344" i="4"/>
  <c r="D3345" i="4"/>
  <c r="D3346" i="4"/>
  <c r="D3347" i="4"/>
  <c r="D3348" i="4"/>
  <c r="D3349" i="4"/>
  <c r="D3350" i="4"/>
  <c r="D3351" i="4"/>
  <c r="D3352" i="4"/>
  <c r="D3353" i="4"/>
  <c r="D3354" i="4"/>
  <c r="D3355" i="4"/>
  <c r="D3356" i="4"/>
  <c r="D3357" i="4"/>
  <c r="D3358" i="4"/>
  <c r="D3359" i="4"/>
  <c r="D3360" i="4"/>
  <c r="D3361" i="4"/>
  <c r="D3362" i="4"/>
  <c r="D3363" i="4"/>
  <c r="D3364" i="4"/>
  <c r="D3365" i="4"/>
  <c r="D3366" i="4"/>
  <c r="D3367" i="4"/>
  <c r="D3368" i="4"/>
  <c r="D3369" i="4"/>
  <c r="D3370" i="4"/>
  <c r="D3371" i="4"/>
  <c r="D3372" i="4"/>
  <c r="D3373" i="4"/>
  <c r="D3374" i="4"/>
  <c r="D3375" i="4"/>
  <c r="D3376" i="4"/>
  <c r="D3377" i="4"/>
  <c r="D3378" i="4"/>
  <c r="D3379" i="4"/>
  <c r="D3380" i="4"/>
  <c r="D3381" i="4"/>
  <c r="D3382" i="4"/>
  <c r="D3383" i="4"/>
  <c r="D3384" i="4"/>
  <c r="D3385" i="4"/>
  <c r="D3386" i="4"/>
  <c r="D3387" i="4"/>
  <c r="D3388" i="4"/>
  <c r="D3389" i="4"/>
  <c r="D3390" i="4"/>
  <c r="D3391" i="4"/>
  <c r="D3392" i="4"/>
  <c r="D3393" i="4"/>
  <c r="D3394" i="4"/>
  <c r="D3395" i="4"/>
  <c r="D3396" i="4"/>
  <c r="D3397" i="4"/>
  <c r="D3398" i="4"/>
  <c r="D3399" i="4"/>
  <c r="D3400" i="4"/>
  <c r="D3401" i="4"/>
  <c r="D3402" i="4"/>
  <c r="D3403" i="4"/>
  <c r="D3404" i="4"/>
  <c r="D3405" i="4"/>
  <c r="D3406" i="4"/>
  <c r="D3407" i="4"/>
  <c r="D3408" i="4"/>
  <c r="D3409" i="4"/>
  <c r="D3410" i="4"/>
  <c r="D3411" i="4"/>
  <c r="D3412" i="4"/>
  <c r="D3413" i="4"/>
  <c r="D3414" i="4"/>
  <c r="D3415" i="4"/>
  <c r="D3416" i="4"/>
  <c r="D3417" i="4"/>
  <c r="D3418" i="4"/>
  <c r="D3419" i="4"/>
  <c r="D3420" i="4"/>
  <c r="D3421" i="4"/>
  <c r="D3422" i="4"/>
  <c r="D3423" i="4"/>
  <c r="D3424" i="4"/>
  <c r="D3425" i="4"/>
  <c r="D3426" i="4"/>
  <c r="D3427" i="4"/>
  <c r="D3428" i="4"/>
  <c r="D3429" i="4"/>
  <c r="D3430" i="4"/>
  <c r="D3431" i="4"/>
  <c r="D3432" i="4"/>
  <c r="D3433" i="4"/>
  <c r="D3434" i="4"/>
  <c r="D3435" i="4"/>
  <c r="D3436" i="4"/>
  <c r="D3437" i="4"/>
  <c r="D3438" i="4"/>
  <c r="D3439" i="4"/>
  <c r="D3440" i="4"/>
  <c r="D3441" i="4"/>
  <c r="D3442" i="4"/>
  <c r="D3443" i="4"/>
  <c r="D3444" i="4"/>
  <c r="D3445" i="4"/>
  <c r="D3446" i="4"/>
  <c r="D3447" i="4"/>
  <c r="D3448" i="4"/>
  <c r="D3449" i="4"/>
  <c r="D3450" i="4"/>
  <c r="D3451" i="4"/>
  <c r="D3452" i="4"/>
  <c r="D3453" i="4"/>
  <c r="D3454" i="4"/>
  <c r="D3455" i="4"/>
  <c r="D3456" i="4"/>
  <c r="D3457" i="4"/>
  <c r="D3458" i="4"/>
  <c r="D3459" i="4"/>
  <c r="D3460" i="4"/>
  <c r="D3461" i="4"/>
  <c r="D3462" i="4"/>
  <c r="D3463" i="4"/>
  <c r="D3464" i="4"/>
  <c r="D3465" i="4"/>
  <c r="D3466" i="4"/>
  <c r="D3467" i="4"/>
  <c r="D3468" i="4"/>
  <c r="D3469" i="4"/>
  <c r="D3470" i="4"/>
  <c r="D3471" i="4"/>
  <c r="D3472" i="4"/>
  <c r="D3473" i="4"/>
  <c r="D3474" i="4"/>
  <c r="D3475" i="4"/>
  <c r="D3476" i="4"/>
  <c r="D3477" i="4"/>
  <c r="D3478" i="4"/>
  <c r="D3479" i="4"/>
  <c r="D3480" i="4"/>
  <c r="D3481" i="4"/>
  <c r="D3482" i="4"/>
  <c r="D3483" i="4"/>
  <c r="D3484" i="4"/>
  <c r="D3485" i="4"/>
  <c r="D3486" i="4"/>
  <c r="D3487" i="4"/>
  <c r="D3488" i="4"/>
  <c r="D3489" i="4"/>
  <c r="D3490" i="4"/>
  <c r="D3491" i="4"/>
  <c r="D3492" i="4"/>
  <c r="D3493" i="4"/>
  <c r="D3494" i="4"/>
  <c r="D3495" i="4"/>
  <c r="D3496" i="4"/>
  <c r="D3497" i="4"/>
  <c r="D3498" i="4"/>
  <c r="D3499" i="4"/>
  <c r="D3500" i="4"/>
  <c r="D3501" i="4"/>
  <c r="D3502" i="4"/>
  <c r="D3503" i="4"/>
  <c r="D3504" i="4"/>
  <c r="D3505" i="4"/>
  <c r="D3506" i="4"/>
  <c r="D3507" i="4"/>
  <c r="D3508" i="4"/>
  <c r="D3509" i="4"/>
  <c r="D3510" i="4"/>
  <c r="D3511" i="4"/>
  <c r="D3512" i="4"/>
  <c r="D3513" i="4"/>
  <c r="D3514" i="4"/>
  <c r="D3515" i="4"/>
  <c r="D3516" i="4"/>
  <c r="D3517" i="4"/>
  <c r="D3518" i="4"/>
  <c r="D3519" i="4"/>
  <c r="D3520" i="4"/>
  <c r="D3521" i="4"/>
  <c r="D3522" i="4"/>
  <c r="D3523" i="4"/>
  <c r="D3524" i="4"/>
  <c r="D3525" i="4"/>
  <c r="D3526" i="4"/>
  <c r="D3527" i="4"/>
  <c r="D3528" i="4"/>
  <c r="D3529" i="4"/>
  <c r="D3530" i="4"/>
  <c r="D3531" i="4"/>
  <c r="D3532" i="4"/>
  <c r="D3533" i="4"/>
  <c r="D3534" i="4"/>
  <c r="D3535" i="4"/>
  <c r="D3536" i="4"/>
  <c r="D3537" i="4"/>
  <c r="D3538" i="4"/>
  <c r="D3539" i="4"/>
  <c r="D3540" i="4"/>
  <c r="D3541" i="4"/>
  <c r="D3542" i="4"/>
  <c r="D3543" i="4"/>
  <c r="D3544" i="4"/>
  <c r="D3545" i="4"/>
  <c r="D3546" i="4"/>
  <c r="D3547" i="4"/>
  <c r="D3548" i="4"/>
  <c r="D3549" i="4"/>
  <c r="D3550" i="4"/>
  <c r="D3551" i="4"/>
  <c r="D3552" i="4"/>
  <c r="D3553" i="4"/>
  <c r="D3554" i="4"/>
  <c r="D3555" i="4"/>
  <c r="D3556" i="4"/>
  <c r="D3557" i="4"/>
  <c r="D3558" i="4"/>
  <c r="D3559" i="4"/>
  <c r="D3560" i="4"/>
  <c r="D3561" i="4"/>
  <c r="D3562" i="4"/>
  <c r="D3563" i="4"/>
  <c r="D3564" i="4"/>
  <c r="D3565" i="4"/>
  <c r="D3566" i="4"/>
  <c r="D3567" i="4"/>
  <c r="D3568" i="4"/>
  <c r="D3569" i="4"/>
  <c r="D3570" i="4"/>
  <c r="D3571" i="4"/>
  <c r="D3572" i="4"/>
  <c r="D3573" i="4"/>
  <c r="D3574" i="4"/>
  <c r="D3575" i="4"/>
  <c r="D3576" i="4"/>
  <c r="D3577" i="4"/>
  <c r="D3578" i="4"/>
  <c r="D3579" i="4"/>
  <c r="D3580" i="4"/>
  <c r="D3581" i="4"/>
  <c r="D3582" i="4"/>
  <c r="D3583" i="4"/>
  <c r="D3584" i="4"/>
  <c r="D3585" i="4"/>
  <c r="D3586" i="4"/>
  <c r="D3587" i="4"/>
  <c r="D3588" i="4"/>
  <c r="D3589" i="4"/>
  <c r="D3590" i="4"/>
  <c r="D3591" i="4"/>
  <c r="D3592" i="4"/>
  <c r="D3593" i="4"/>
  <c r="D3594" i="4"/>
  <c r="D3595" i="4"/>
  <c r="D3596" i="4"/>
  <c r="D3597" i="4"/>
  <c r="D3598" i="4"/>
  <c r="D3599" i="4"/>
  <c r="D3600" i="4"/>
  <c r="D3601" i="4"/>
  <c r="D3602" i="4"/>
  <c r="D3603" i="4"/>
  <c r="D3604" i="4"/>
  <c r="D3605" i="4"/>
  <c r="D3606" i="4"/>
  <c r="D3607" i="4"/>
  <c r="D3608" i="4"/>
  <c r="D3609" i="4"/>
  <c r="D3610" i="4"/>
  <c r="D3611" i="4"/>
  <c r="D3612" i="4"/>
  <c r="D3613" i="4"/>
  <c r="D3614" i="4"/>
  <c r="D3615" i="4"/>
  <c r="D3616" i="4"/>
  <c r="D3617" i="4"/>
  <c r="D3618" i="4"/>
  <c r="D3619" i="4"/>
  <c r="D3620" i="4"/>
  <c r="D3621" i="4"/>
  <c r="D3622" i="4"/>
  <c r="D3623" i="4"/>
  <c r="D3624" i="4"/>
  <c r="D3625" i="4"/>
  <c r="D3626" i="4"/>
  <c r="D3627" i="4"/>
  <c r="D3628" i="4"/>
  <c r="D3629" i="4"/>
  <c r="D3630" i="4"/>
  <c r="D3631" i="4"/>
  <c r="D3632" i="4"/>
  <c r="D3633" i="4"/>
  <c r="D3634" i="4"/>
  <c r="D3635" i="4"/>
  <c r="D3636" i="4"/>
  <c r="D3637" i="4"/>
  <c r="D3638" i="4"/>
  <c r="D3639" i="4"/>
  <c r="D3640" i="4"/>
  <c r="D3641" i="4"/>
  <c r="D3642" i="4"/>
  <c r="D3643" i="4"/>
  <c r="D3644" i="4"/>
  <c r="D3645" i="4"/>
  <c r="D3646" i="4"/>
  <c r="D3647" i="4"/>
  <c r="D3648" i="4"/>
  <c r="D3649" i="4"/>
  <c r="D3650" i="4"/>
  <c r="D3651" i="4"/>
  <c r="D3652" i="4"/>
  <c r="D3653" i="4"/>
  <c r="D3654" i="4"/>
  <c r="D3655" i="4"/>
  <c r="D3656" i="4"/>
  <c r="D3657" i="4"/>
  <c r="D3658" i="4"/>
  <c r="D3659" i="4"/>
  <c r="D3660" i="4"/>
  <c r="D3661" i="4"/>
  <c r="D3662" i="4"/>
  <c r="D3663" i="4"/>
  <c r="D3664" i="4"/>
  <c r="D3665" i="4"/>
  <c r="D3666" i="4"/>
  <c r="D3667" i="4"/>
  <c r="D3668" i="4"/>
  <c r="D3669" i="4"/>
  <c r="D3670" i="4"/>
  <c r="D3671" i="4"/>
  <c r="D3672" i="4"/>
  <c r="D3673" i="4"/>
  <c r="D3674" i="4"/>
  <c r="D3675" i="4"/>
  <c r="D3676" i="4"/>
  <c r="D3677" i="4"/>
  <c r="D3678" i="4"/>
  <c r="D3679" i="4"/>
  <c r="D3680" i="4"/>
  <c r="D3681" i="4"/>
  <c r="D3682" i="4"/>
  <c r="D3683" i="4"/>
  <c r="D3684" i="4"/>
  <c r="D3685" i="4"/>
  <c r="D3686" i="4"/>
  <c r="D3687" i="4"/>
  <c r="D3688" i="4"/>
  <c r="D3689" i="4"/>
  <c r="D3690" i="4"/>
  <c r="D3691" i="4"/>
  <c r="D3692" i="4"/>
  <c r="D3693" i="4"/>
  <c r="D3694" i="4"/>
  <c r="D3695" i="4"/>
  <c r="D3696" i="4"/>
  <c r="D3697" i="4"/>
  <c r="D3698" i="4"/>
  <c r="D3699" i="4"/>
  <c r="D3700" i="4"/>
  <c r="D3701" i="4"/>
  <c r="D3702" i="4"/>
  <c r="D3703" i="4"/>
  <c r="D3704" i="4"/>
  <c r="D3705" i="4"/>
  <c r="D3706" i="4"/>
  <c r="D3707" i="4"/>
  <c r="D3708" i="4"/>
  <c r="D3709" i="4"/>
  <c r="D3710" i="4"/>
  <c r="D3711" i="4"/>
  <c r="D3712" i="4"/>
  <c r="D3713" i="4"/>
  <c r="D3714" i="4"/>
  <c r="D3715" i="4"/>
  <c r="D3716" i="4"/>
  <c r="D3717" i="4"/>
  <c r="D3718" i="4"/>
  <c r="D3719" i="4"/>
  <c r="D3720" i="4"/>
  <c r="D3721" i="4"/>
  <c r="D5" i="4"/>
  <c r="L28" i="11" l="1"/>
  <c r="L31" i="11" s="1"/>
  <c r="J73" i="11"/>
  <c r="I34" i="11"/>
  <c r="I35" i="11" s="1"/>
  <c r="L52" i="11"/>
  <c r="J29" i="11"/>
  <c r="M25" i="11"/>
  <c r="M26" i="11" s="1"/>
  <c r="K58" i="11"/>
  <c r="L57" i="11"/>
  <c r="M57" i="11" s="1"/>
  <c r="M14" i="11"/>
  <c r="L49" i="11"/>
  <c r="M48" i="11"/>
  <c r="M11" i="11"/>
  <c r="M68" i="11"/>
  <c r="M70" i="11" s="1"/>
  <c r="L70" i="11"/>
  <c r="M16" i="11"/>
  <c r="M17" i="11" s="1"/>
  <c r="L17" i="11"/>
  <c r="K31" i="11"/>
  <c r="K29" i="11"/>
  <c r="L23" i="11"/>
  <c r="M22" i="11"/>
  <c r="M23" i="11" s="1"/>
  <c r="K73" i="11"/>
  <c r="K72" i="11"/>
  <c r="J34" i="11"/>
  <c r="J35" i="11" s="1"/>
  <c r="J32" i="11"/>
  <c r="L20" i="11"/>
  <c r="M19" i="11"/>
  <c r="M20" i="11" s="1"/>
  <c r="J6" i="4"/>
  <c r="J9" i="4" s="1"/>
  <c r="J5" i="4"/>
  <c r="L62" i="11" l="1"/>
  <c r="L29" i="11"/>
  <c r="M49" i="11"/>
  <c r="M6" i="21"/>
  <c r="L58" i="11"/>
  <c r="I37" i="11"/>
  <c r="M52" i="11"/>
  <c r="K34" i="11"/>
  <c r="K35" i="11" s="1"/>
  <c r="K32" i="11"/>
  <c r="J37" i="11"/>
  <c r="M58" i="11"/>
  <c r="M62" i="11"/>
  <c r="M28" i="11"/>
  <c r="L34" i="11"/>
  <c r="L35" i="11" s="1"/>
  <c r="L32" i="11"/>
  <c r="L73" i="11"/>
  <c r="L72" i="11"/>
  <c r="I40" i="11" l="1"/>
  <c r="I41" i="11" s="1"/>
  <c r="C24" i="30" s="1"/>
  <c r="I38" i="11"/>
  <c r="K37" i="11"/>
  <c r="K40" i="11" s="1"/>
  <c r="K41" i="11" s="1"/>
  <c r="E24" i="30" s="1"/>
  <c r="L37" i="11"/>
  <c r="M31" i="11"/>
  <c r="M29" i="11"/>
  <c r="M73" i="11"/>
  <c r="M72" i="11"/>
  <c r="L38" i="11"/>
  <c r="L40" i="11"/>
  <c r="L41" i="11" s="1"/>
  <c r="F24" i="30" s="1"/>
  <c r="J38" i="11"/>
  <c r="J40" i="11"/>
  <c r="J41" i="11" s="1"/>
  <c r="D24" i="30" s="1"/>
  <c r="K38" i="11" l="1"/>
  <c r="M34" i="11"/>
  <c r="M35" i="11" s="1"/>
  <c r="M32" i="11"/>
  <c r="M37" i="11" l="1"/>
  <c r="M40" i="11" s="1"/>
  <c r="M41" i="11" s="1"/>
  <c r="G24" i="30" s="1"/>
  <c r="M38" i="11" l="1"/>
  <c r="J11" i="21" l="1"/>
  <c r="K11" i="21"/>
  <c r="J10" i="21"/>
  <c r="I10" i="21"/>
  <c r="L11" i="21" l="1"/>
  <c r="L10" i="21"/>
  <c r="K10" i="21"/>
  <c r="M10" i="21" l="1"/>
  <c r="M11" i="21"/>
</calcChain>
</file>

<file path=xl/sharedStrings.xml><?xml version="1.0" encoding="utf-8"?>
<sst xmlns="http://schemas.openxmlformats.org/spreadsheetml/2006/main" count="1186" uniqueCount="867">
  <si>
    <t>POWERGRID CORPORATION OF INDIA LTD.</t>
  </si>
  <si>
    <t>ECONOMIC ANALYSIS</t>
  </si>
  <si>
    <t>INDUSTRY ANALYSIS</t>
  </si>
  <si>
    <t>Date</t>
  </si>
  <si>
    <t>SENSEX</t>
  </si>
  <si>
    <t>POWERGRID_PRICES</t>
  </si>
  <si>
    <t>MARKET RETURN</t>
  </si>
  <si>
    <t>FIRM RETURN</t>
  </si>
  <si>
    <t>HISTORICAL BETA</t>
  </si>
  <si>
    <t>INDUSTRY BETA</t>
  </si>
  <si>
    <t>D/E</t>
  </si>
  <si>
    <t>Company</t>
  </si>
  <si>
    <t>Tax Rate (T)</t>
  </si>
  <si>
    <t>NHPC Limited</t>
  </si>
  <si>
    <t>NTPC Limited</t>
  </si>
  <si>
    <t>Tata Power Company Limited</t>
  </si>
  <si>
    <t>Adani Energy Solutions Ltd</t>
  </si>
  <si>
    <t>Levered Beta (βL)- PAST 5 YR</t>
  </si>
  <si>
    <t>Debt/Equity (D/E)- FY25</t>
  </si>
  <si>
    <t>Unlevered Beta</t>
  </si>
  <si>
    <t>FUNDAMENTAL BETA</t>
  </si>
  <si>
    <t>TAX RATE</t>
  </si>
  <si>
    <t>PAT</t>
  </si>
  <si>
    <t>YEAR</t>
  </si>
  <si>
    <t>BALANCE SHEET</t>
  </si>
  <si>
    <t>Year</t>
  </si>
  <si>
    <t xml:space="preserve"> Inventories </t>
  </si>
  <si>
    <t>Total Current Assets</t>
  </si>
  <si>
    <t>Total Current Liabilities</t>
  </si>
  <si>
    <t>Deferred Tax Assets</t>
  </si>
  <si>
    <t>Deferred Tax Liability</t>
  </si>
  <si>
    <t>INCOME STATEMENT</t>
  </si>
  <si>
    <t>INCOME :</t>
  </si>
  <si>
    <t xml:space="preserve"> Operating Income </t>
  </si>
  <si>
    <t>Sales turnover / Operating Income</t>
  </si>
  <si>
    <t>Job Work &amp; Service Income</t>
  </si>
  <si>
    <t>Other Operating Divisions / Income</t>
  </si>
  <si>
    <t>Discount Received</t>
  </si>
  <si>
    <t>Excise Duty</t>
  </si>
  <si>
    <t>Net Operating Income</t>
  </si>
  <si>
    <t xml:space="preserve"> Other Income </t>
  </si>
  <si>
    <t>Dividend Income</t>
  </si>
  <si>
    <t>Interest Income</t>
  </si>
  <si>
    <t>Interest on Application Money</t>
  </si>
  <si>
    <t>Profit on sale of Fixed Assets</t>
  </si>
  <si>
    <t>Profit on sale of investments</t>
  </si>
  <si>
    <t>Gain on Cancell. of Forward Contr/forex trans</t>
  </si>
  <si>
    <t>Income from Leasing Operations</t>
  </si>
  <si>
    <t>Income from Hire Purchase Operations</t>
  </si>
  <si>
    <t>Income from Investment Activities</t>
  </si>
  <si>
    <t>Income from Money Market Operations</t>
  </si>
  <si>
    <t>Provision Written Back</t>
  </si>
  <si>
    <t>Miscellaneous Income</t>
  </si>
  <si>
    <t>Total Income</t>
  </si>
  <si>
    <t>EXPENDITURE :</t>
  </si>
  <si>
    <t xml:space="preserve"> Electricity &amp; Fuel Expenses </t>
  </si>
  <si>
    <t>Cost of Fuel / Coal Consumed</t>
  </si>
  <si>
    <t>Electricity Purchased</t>
  </si>
  <si>
    <t>Water Charges</t>
  </si>
  <si>
    <t xml:space="preserve"> Operating Expenses </t>
  </si>
  <si>
    <t>Stores Consumed</t>
  </si>
  <si>
    <t>Repairs</t>
  </si>
  <si>
    <t>Repairs - Plant &amp; machinery</t>
  </si>
  <si>
    <t>Repairs - Building</t>
  </si>
  <si>
    <t>Other Operating Expenses</t>
  </si>
  <si>
    <t xml:space="preserve"> Employee Cost </t>
  </si>
  <si>
    <t>Salaries,Wages &amp; Bonus</t>
  </si>
  <si>
    <t>Contribution to funds</t>
  </si>
  <si>
    <t>Staff Welfare Expenses</t>
  </si>
  <si>
    <t xml:space="preserve"> Selling &amp; Administration expenses </t>
  </si>
  <si>
    <t>Rent,Rates and Taxes paid</t>
  </si>
  <si>
    <t>Wealth Tax</t>
  </si>
  <si>
    <t>Sales Tax</t>
  </si>
  <si>
    <t>Lease Rent / Hire Charges paid</t>
  </si>
  <si>
    <t>Insurance</t>
  </si>
  <si>
    <t>Discount paid</t>
  </si>
  <si>
    <t>Advertisement</t>
  </si>
  <si>
    <t>Commission expense on Sales</t>
  </si>
  <si>
    <t>Other Selling Expenses</t>
  </si>
  <si>
    <t>Legal Expenses</t>
  </si>
  <si>
    <t>Communication Expenses</t>
  </si>
  <si>
    <t>Travel Expenses</t>
  </si>
  <si>
    <t>Audit Expenses</t>
  </si>
  <si>
    <t>Printing and Stationery</t>
  </si>
  <si>
    <t>R &amp; D Expenses</t>
  </si>
  <si>
    <t>Other Administrative Expenses</t>
  </si>
  <si>
    <t xml:space="preserve"> Miscellaneous Expenses </t>
  </si>
  <si>
    <t xml:space="preserve"> Less : Pre-operative Expenses Capitalised </t>
  </si>
  <si>
    <t>Total Expenditure</t>
  </si>
  <si>
    <t>Operating Profit</t>
  </si>
  <si>
    <t xml:space="preserve"> Interest </t>
  </si>
  <si>
    <t>Debenture Interest</t>
  </si>
  <si>
    <t>Fixed Interest</t>
  </si>
  <si>
    <t>Interest on Deposits</t>
  </si>
  <si>
    <t>Interest on External Commercial Borrowings</t>
  </si>
  <si>
    <t>Other Interest</t>
  </si>
  <si>
    <t>Financial Charges</t>
  </si>
  <si>
    <t>Less : Interest Capitalised</t>
  </si>
  <si>
    <t>Gross Profit</t>
  </si>
  <si>
    <t>Depreciation</t>
  </si>
  <si>
    <t>Profit Before Tax</t>
  </si>
  <si>
    <t xml:space="preserve"> Tax </t>
  </si>
  <si>
    <t xml:space="preserve"> Fringe Benefit tax </t>
  </si>
  <si>
    <t xml:space="preserve"> Deferred Tax </t>
  </si>
  <si>
    <t>Reported Net Profit</t>
  </si>
  <si>
    <t xml:space="preserve"> Extraordinary Items </t>
  </si>
  <si>
    <t>Adjusted Net Profit</t>
  </si>
  <si>
    <t xml:space="preserve"> Adjustment below net profit </t>
  </si>
  <si>
    <t>P &amp; L Balance brought forward</t>
  </si>
  <si>
    <t xml:space="preserve"> Statutory Appropriations </t>
  </si>
  <si>
    <t xml:space="preserve"> Appropriations </t>
  </si>
  <si>
    <t>Dividend</t>
  </si>
  <si>
    <t>Preference Dividend</t>
  </si>
  <si>
    <t>Equity Dividend %</t>
  </si>
  <si>
    <t>Dividend Per Share(Rs)</t>
  </si>
  <si>
    <t>Earnings Per Share-Unit Curr</t>
  </si>
  <si>
    <t>Earnings Per Share(Adj)-Unit Curr</t>
  </si>
  <si>
    <t>Book Value-Unit Curr</t>
  </si>
  <si>
    <t>Book Value(Adj)-Unit Curr</t>
  </si>
  <si>
    <t>Dividend Per Share Adj.(Rs)</t>
  </si>
  <si>
    <t>CASHFLOW STATEMENT</t>
  </si>
  <si>
    <t>Cash Flow Summary</t>
  </si>
  <si>
    <t>Cash and Cash Equivalents at Beginning of the year</t>
  </si>
  <si>
    <t xml:space="preserve"> Net Cash from Operating Activities </t>
  </si>
  <si>
    <t>Net Profit before Tax &amp; Extraordinary Items</t>
  </si>
  <si>
    <t>Interest (Net)</t>
  </si>
  <si>
    <t>Dividend Received</t>
  </si>
  <si>
    <t>P/L on Sales of Assets</t>
  </si>
  <si>
    <t>P/L on Sales of Invest</t>
  </si>
  <si>
    <t>Prov. &amp; W/O (Net)</t>
  </si>
  <si>
    <t>P/L in Forex</t>
  </si>
  <si>
    <t>Fin. Lease &amp; Rental Chrgs</t>
  </si>
  <si>
    <t>Others</t>
  </si>
  <si>
    <t>Total Adjustments (PBT &amp; Extraordinary Items)</t>
  </si>
  <si>
    <t>Op. Profit before Working Capital Changes</t>
  </si>
  <si>
    <t>Trade &amp; 0th receivables</t>
  </si>
  <si>
    <t>Inventories</t>
  </si>
  <si>
    <t>Trade Payables</t>
  </si>
  <si>
    <t>Loans &amp; Advances</t>
  </si>
  <si>
    <t>Investments</t>
  </si>
  <si>
    <t>Net Stock on Hire</t>
  </si>
  <si>
    <t>Leased Assets Net of Sale</t>
  </si>
  <si>
    <t>Trade Bill(s) Purchased</t>
  </si>
  <si>
    <t>Change in Borrowing</t>
  </si>
  <si>
    <t>Change in Deposits</t>
  </si>
  <si>
    <t>Total (OP before Working Capital Changes)</t>
  </si>
  <si>
    <t>Cash Generated from/(used in) Operations</t>
  </si>
  <si>
    <t>Interest Paid(Net)</t>
  </si>
  <si>
    <t>Direct Taxes Paid</t>
  </si>
  <si>
    <t>Advance Tax Paid</t>
  </si>
  <si>
    <t>Total-others</t>
  </si>
  <si>
    <t>Cash Flow before Extraordinary Items</t>
  </si>
  <si>
    <t>Excess Depreciation W/b</t>
  </si>
  <si>
    <t>Premium on Lease of land</t>
  </si>
  <si>
    <t>Payment Towards VRS</t>
  </si>
  <si>
    <t>Prior Year 's Taxation</t>
  </si>
  <si>
    <t>Gain on Forex Exch. Tran</t>
  </si>
  <si>
    <t xml:space="preserve"> Net Cash Used in Investing Activities </t>
  </si>
  <si>
    <t>Purchased of Fixed Assets</t>
  </si>
  <si>
    <t>Sale of Fixed Assets</t>
  </si>
  <si>
    <t>Capital Expenditure</t>
  </si>
  <si>
    <t>capital WIP</t>
  </si>
  <si>
    <t>Capital Subsidy Recd</t>
  </si>
  <si>
    <t>Purchase of Investments</t>
  </si>
  <si>
    <t>Sale of Investments</t>
  </si>
  <si>
    <t>Investment Income</t>
  </si>
  <si>
    <t>Interest Received</t>
  </si>
  <si>
    <t>Invest.In Subsidiaires</t>
  </si>
  <si>
    <t>Loans to Subsidiaires</t>
  </si>
  <si>
    <t>Investment in Group Cos</t>
  </si>
  <si>
    <t>Issue of Sh. on Acqu. of Cos</t>
  </si>
  <si>
    <t>Canc. of Invest. in Cos Acq.</t>
  </si>
  <si>
    <t>Acquisition of Companies</t>
  </si>
  <si>
    <t>Inter Corporate Deposits</t>
  </si>
  <si>
    <t xml:space="preserve"> Net Cash Used in Financing Activities </t>
  </si>
  <si>
    <t>Proceeds from Issue of shares (incl share premium)</t>
  </si>
  <si>
    <t>Proceed from Issue of Debentures</t>
  </si>
  <si>
    <t>Proceed from 0ther Long Term Borrowings</t>
  </si>
  <si>
    <t>Proceed from Bank Borrowings</t>
  </si>
  <si>
    <t>Proceed from Short Tem Borrowings</t>
  </si>
  <si>
    <t>Proceed from Deposits</t>
  </si>
  <si>
    <t>Share Application Money</t>
  </si>
  <si>
    <t>Cash/Capital Investment Subsidy</t>
  </si>
  <si>
    <t>Loans from a Corporate Body</t>
  </si>
  <si>
    <t>Share Application Money Refund</t>
  </si>
  <si>
    <t>On Redemption of Debenture</t>
  </si>
  <si>
    <t>Of the Long Tem Borrowings</t>
  </si>
  <si>
    <t>Of the short term Borrowings</t>
  </si>
  <si>
    <t>Of financial Liabilities</t>
  </si>
  <si>
    <t>Dividend Paid</t>
  </si>
  <si>
    <t>Shelter Assistance Reserve</t>
  </si>
  <si>
    <t>Interest Paid</t>
  </si>
  <si>
    <t>Net Inc/(Dec) in Cash and Cash Equivalent</t>
  </si>
  <si>
    <t>Cash and Cash Equivalents at End of the year</t>
  </si>
  <si>
    <t>COMPANY BETA</t>
  </si>
  <si>
    <t>Scenarios:</t>
  </si>
  <si>
    <t>Case 1</t>
  </si>
  <si>
    <t>Case 2</t>
  </si>
  <si>
    <t>Base case</t>
  </si>
  <si>
    <t>Case 3</t>
  </si>
  <si>
    <t>Worst case</t>
  </si>
  <si>
    <t>Selected Case</t>
  </si>
  <si>
    <t>Bases and Sources of the data/assumption used in the valuation.</t>
  </si>
  <si>
    <t>Sl. No.</t>
  </si>
  <si>
    <t>Detail of Assumption/Data point</t>
  </si>
  <si>
    <t>Assumed Figure</t>
  </si>
  <si>
    <t>Remarks</t>
  </si>
  <si>
    <t>URL</t>
  </si>
  <si>
    <t>Actual Financial Statement data for last 5 years</t>
  </si>
  <si>
    <t>Revenue Growth</t>
  </si>
  <si>
    <t>Tax Rate</t>
  </si>
  <si>
    <t>-</t>
  </si>
  <si>
    <t>https://awsone.capitaline.com/index.html#/Company/Condensed/condensed?section=ProfitLoss</t>
  </si>
  <si>
    <t>Financial statements has been taken for the last five years from capitaline database</t>
  </si>
  <si>
    <t>Data period used for Stock and Market Index Price</t>
  </si>
  <si>
    <t>Risk Free Rate</t>
  </si>
  <si>
    <t>Market Risk Premium</t>
  </si>
  <si>
    <t>Perpetuity Growth Rate for Terminal Value</t>
  </si>
  <si>
    <t>Basis for selection of peer companies</t>
  </si>
  <si>
    <t>Sensitivity Analysis</t>
  </si>
  <si>
    <t>Peer Comparison</t>
  </si>
  <si>
    <t>https://www.nseindia.com/get-quotes/equity?symbol=POWERGRID</t>
  </si>
  <si>
    <t>https://in.investing.com/rates-bonds/india-10-year-bond-yield</t>
  </si>
  <si>
    <t>10-year government bond yield is used as proxy for long-term risk-free rate in valuation models like CAPM and DDM.</t>
  </si>
  <si>
    <t>Effective tax rate is taken from the company’s most recent annual financial statement to reflect actual tax burden instead of statutory rate.</t>
  </si>
  <si>
    <t>https://www.powergrid.in/annual-reports</t>
  </si>
  <si>
    <t>PowerGrid operates under regulated transmission returns (CERC), resulting in stable mid-single-digit revenue growth aligned with asset base expansion and capex cycle.</t>
  </si>
  <si>
    <t>7 years daily price changes of BSE Sensex and Tata Steel Ltd. has been used to calculate Beta.</t>
  </si>
  <si>
    <t>Equity Risk Premium for India is taken from Damodaran’s dataset, widely accepted in academic and professional valuation practice.</t>
  </si>
  <si>
    <t>Particulars</t>
  </si>
  <si>
    <t>Employee Cost</t>
  </si>
  <si>
    <t>Trade Receivables</t>
  </si>
  <si>
    <t>Details</t>
  </si>
  <si>
    <t>Company Name</t>
  </si>
  <si>
    <t>Power Grid Corporation of India Ltd</t>
  </si>
  <si>
    <t>Listing</t>
  </si>
  <si>
    <t>NSE / BSE</t>
  </si>
  <si>
    <t>Sector</t>
  </si>
  <si>
    <t>Utilities</t>
  </si>
  <si>
    <t>Industry</t>
  </si>
  <si>
    <t>Power Transmission (Energy Infrastructure)</t>
  </si>
  <si>
    <t>Founded</t>
  </si>
  <si>
    <t>Headquarters</t>
  </si>
  <si>
    <t>Gurugram, Haryana, India</t>
  </si>
  <si>
    <t>Promoter / Parent</t>
  </si>
  <si>
    <t>Government of India</t>
  </si>
  <si>
    <t>Market Cap</t>
  </si>
  <si>
    <t>~₹2.5–3 Trillion (Approx., update with latest)</t>
  </si>
  <si>
    <t>ABOUT THE COMPANY</t>
  </si>
  <si>
    <t>Segment</t>
  </si>
  <si>
    <t>Key Activities</t>
  </si>
  <si>
    <t>Business Description</t>
  </si>
  <si>
    <t>Transmission Services</t>
  </si>
  <si>
    <t>Interstate Transmission System (ISTS), UHVAC / HVDC networks</t>
  </si>
  <si>
    <t>Core revenue contributor. Develops, operates, and maintains India’s national electricity transmission grid under regulated tariff framework.</t>
  </si>
  <si>
    <t>Telecom Business</t>
  </si>
  <si>
    <t>PowerTel, Fiber Optic Network</t>
  </si>
  <si>
    <t>Leverages transmission infrastructure to provide telecom and bandwidth services across India.</t>
  </si>
  <si>
    <t>Consultancy &amp; Project Management</t>
  </si>
  <si>
    <t>Engineering, Procurement, Construction (EPC), consultancy services</t>
  </si>
  <si>
    <t>Provides consultancy and turnkey project services in domestic and international markets.</t>
  </si>
  <si>
    <t>Smart Grid &amp; Emerging Technologies</t>
  </si>
  <si>
    <t>Smart metering, grid automation, renewable integration</t>
  </si>
  <si>
    <t>Focused on digital grid modernization, renewable evacuation infrastructure, and energy transition initiatives.</t>
  </si>
  <si>
    <t>BUSINESS SEGMENTS OF POWERGRID</t>
  </si>
  <si>
    <t>Growth Driver</t>
  </si>
  <si>
    <t>Explanation</t>
  </si>
  <si>
    <t>Valuation Significance</t>
  </si>
  <si>
    <t>Expansion in Renewable Energy Capacity</t>
  </si>
  <si>
    <t>Government push toward solar and wind energy requires new transmission lines for evacuation.</t>
  </si>
  <si>
    <t>Supports long-term asset base growth and revenue visibility.</t>
  </si>
  <si>
    <t>National Grid Strengthening &amp; Capex Pipeline</t>
  </si>
  <si>
    <t>Continuous investments in interstate and cross-border transmission projects.</t>
  </si>
  <si>
    <t>Drives regulated asset growth and stable earnings expansion.</t>
  </si>
  <si>
    <t>Regulated Return Model (CERC Framework)</t>
  </si>
  <si>
    <t>Fixed return on equity under tariff regulations reduces volatility.</t>
  </si>
  <si>
    <t>Enhances earnings predictability and lowers risk premium.</t>
  </si>
  <si>
    <t>Green Energy Corridor Projects</t>
  </si>
  <si>
    <t>Dedicated infrastructure for renewable power evacuation.</t>
  </si>
  <si>
    <t>Long-term structural growth opportunity.</t>
  </si>
  <si>
    <t>Digital &amp; Smart Grid Modernization</t>
  </si>
  <si>
    <t>Automation, smart meters, real-time monitoring systems.</t>
  </si>
  <si>
    <t>Improves efficiency and operational leverage.</t>
  </si>
  <si>
    <t>Asset Monetization (InvIT Route)</t>
  </si>
  <si>
    <t>Monetization of operational assets via Infrastructure Investment Trusts.</t>
  </si>
  <si>
    <t>Improves capital efficiency and supports higher ROE.</t>
  </si>
  <si>
    <t>Strong Government Backing</t>
  </si>
  <si>
    <t>Majority ownership by Government of India ensures strategic importance.</t>
  </si>
  <si>
    <t>Reduces credit risk and supports lower cost of capital.</t>
  </si>
  <si>
    <t>GROWTH DRIVERS- POWERGRID CORPORATION OF INDIA LTD.</t>
  </si>
  <si>
    <t>Power Grid Corporation of India Ltd represents a structurally stable play on India’s power transmission infrastructure growth. As a regulated utility with nationwide grid presence, the company benefits from predictable tariff-based returns and long-term government-backed capital expenditure programs. The expansion of renewable energy capacity, grid modernization, and cross-border interconnections provide sustained asset base growth. However, earnings remain dependent on regulatory frameworks, capital expenditure cycles, and timely project execution.</t>
  </si>
  <si>
    <t>Economic Moat – PowerGrid Corporation of India Ltd</t>
  </si>
  <si>
    <t>PowerGrid possesses a strong economic moat driven by its nationwide transmission network, regulatory entry barriers, and government ownership. The company operates critical national infrastructure under a regulated return framework, limiting competitive threats. High capital requirements and technical expertise create significant barriers to entry. Long asset life cycles and assured tariff-based revenues provide durable cash flows. Additionally, its leadership in renewable energy evacuation and grid modernization strengthens its strategic importance in India’s energy transition, supporting long-term earnings visibility.</t>
  </si>
  <si>
    <t>ESG &amp; SUSTAINABILITY - POWERGRID CORPORATION OF INDIA LTD.</t>
  </si>
  <si>
    <t>ESG Pillar</t>
  </si>
  <si>
    <t>Key Focus Area</t>
  </si>
  <si>
    <t>Description</t>
  </si>
  <si>
    <t>Environmental (E)</t>
  </si>
  <si>
    <t>Renewable Energy Integration</t>
  </si>
  <si>
    <t>Develops transmission infrastructure for solar and wind evacuation under Green Energy Corridor projects.</t>
  </si>
  <si>
    <t>Supports long-term asset growth and aligns with India’s clean energy transition.</t>
  </si>
  <si>
    <t>Low Direct Carbon Footprint</t>
  </si>
  <si>
    <t>As a transmission utility (not a generator), operational emissions are comparatively low.</t>
  </si>
  <si>
    <t>Enhances ESG profile and attracts sustainability-focused investors.</t>
  </si>
  <si>
    <t>Grid Efficiency &amp; Loss Reduction</t>
  </si>
  <si>
    <t>Advanced grid automation reduces transmission losses and improves efficiency.</t>
  </si>
  <si>
    <t>Improves operating performance and margin stability.</t>
  </si>
  <si>
    <t>Sustainable Infrastructure Development</t>
  </si>
  <si>
    <t>Focus on environmentally responsible project execution and land management.</t>
  </si>
  <si>
    <t>Reduces regulatory and environmental compliance risk.</t>
  </si>
  <si>
    <t>Climate Resilience</t>
  </si>
  <si>
    <t>Investments in smart grid and system strengthening to manage climate-related risks.</t>
  </si>
  <si>
    <t>Enhances long-term asset durability and earnings visibility.</t>
  </si>
  <si>
    <t>Social (S)</t>
  </si>
  <si>
    <t>National Infrastructure Backbone</t>
  </si>
  <si>
    <t>Ensures reliable electricity transmission across India, supporting industrial and rural development.</t>
  </si>
  <si>
    <t>Strengthens strategic importance and demand stability.</t>
  </si>
  <si>
    <t>Employee Safety &amp; Training</t>
  </si>
  <si>
    <t>Strong safety protocols and technical training for high-voltage operations.</t>
  </si>
  <si>
    <t>Reduces operational disruptions and accident-related liabilities.</t>
  </si>
  <si>
    <t>CSR &amp; Community Development</t>
  </si>
  <si>
    <t>Active involvement in healthcare, education, and community upliftment initiatives.</t>
  </si>
  <si>
    <t>Enhances brand credibility and stakeholder trust.</t>
  </si>
  <si>
    <t>Stakeholder Engagement</t>
  </si>
  <si>
    <t>Close coordination with regulators, state utilities, and policymakers.</t>
  </si>
  <si>
    <t>Improves regulatory alignment and reduces policy risk.</t>
  </si>
  <si>
    <t>Governance (G)</t>
  </si>
  <si>
    <t>Government Ownership</t>
  </si>
  <si>
    <t>Majority stake held by Government of India ensures strategic backing.</t>
  </si>
  <si>
    <t>Lowers credit risk and reduces cost of capital.</t>
  </si>
  <si>
    <t>Regulated Tariff Framework (CERC)</t>
  </si>
  <si>
    <t>Transparent return on equity model ensures predictable earnings.</t>
  </si>
  <si>
    <t>Enhances DCF stability and lowers volatility assumptions.</t>
  </si>
  <si>
    <t>Strong Compliance &amp; Board Oversight</t>
  </si>
  <si>
    <t>Adherence to SEBI norms and corporate governance standards.</t>
  </si>
  <si>
    <t>Builds investor confidence and improves valuation multiples.</t>
  </si>
  <si>
    <t>Monetization of operational assets to optimize capital structure.</t>
  </si>
  <si>
    <t>Improves ROE and capital efficiency.</t>
  </si>
  <si>
    <t>High Credit Ratings</t>
  </si>
  <si>
    <t>Strong financial discipline and governance credibility.</t>
  </si>
  <si>
    <t>Supports lower borrowing cost and WACC.</t>
  </si>
  <si>
    <t>Company Essentials</t>
  </si>
  <si>
    <t>₹ 2,80,692.22 Cr.</t>
  </si>
  <si>
    <t>Enterprise Value </t>
  </si>
  <si>
    <t>₹ 4,05,237.78 Cr.</t>
  </si>
  <si>
    <t>No. of Shares</t>
  </si>
  <si>
    <t>930.06 Cr.</t>
  </si>
  <si>
    <t>P/E</t>
  </si>
  <si>
    <t>P/B</t>
  </si>
  <si>
    <t>Face Value</t>
  </si>
  <si>
    <t>Div. Yield</t>
  </si>
  <si>
    <t>Book Value (TTM)</t>
  </si>
  <si>
    <t>₹  110.10</t>
  </si>
  <si>
    <t>CASH </t>
  </si>
  <si>
    <t>₹ 6,419.40 Cr.</t>
  </si>
  <si>
    <t>DEBT </t>
  </si>
  <si>
    <t>₹ 1,30,964.96 Cr.</t>
  </si>
  <si>
    <t>Promoter Holding</t>
  </si>
  <si>
    <t>EPS (TTM)</t>
  </si>
  <si>
    <t>₹  15.76</t>
  </si>
  <si>
    <t>Sales Growth </t>
  </si>
  <si>
    <t>ROE </t>
  </si>
  <si>
    <t>17.15 %</t>
  </si>
  <si>
    <t>ROCE</t>
  </si>
  <si>
    <t>Profit Growth </t>
  </si>
  <si>
    <t>-0.16 %</t>
  </si>
  <si>
    <t>company essentials</t>
  </si>
  <si>
    <t>https://ticker.finology.in/company/POWERGRID</t>
  </si>
  <si>
    <t>Shareholder's Funds</t>
  </si>
  <si>
    <t>Share Capital</t>
  </si>
  <si>
    <t xml:space="preserve">  Ordinary Capital </t>
  </si>
  <si>
    <t xml:space="preserve"> Reserves and Surplus </t>
  </si>
  <si>
    <t>Total Shareholder's Fund</t>
  </si>
  <si>
    <t>Non-Current Liabilities</t>
  </si>
  <si>
    <t xml:space="preserve"> Long-Term Borrowings </t>
  </si>
  <si>
    <t>Lease Liabilities</t>
  </si>
  <si>
    <t>Deferred Tax Liabilities (Net)</t>
  </si>
  <si>
    <t xml:space="preserve"> Other Long Term Liabilities </t>
  </si>
  <si>
    <t xml:space="preserve"> Long-Term Provisions </t>
  </si>
  <si>
    <t>Total Non Current Liabilities</t>
  </si>
  <si>
    <t>Current Liabilities</t>
  </si>
  <si>
    <t xml:space="preserve"> Short-Term Borrowings </t>
  </si>
  <si>
    <t xml:space="preserve"> Trade Payables </t>
  </si>
  <si>
    <t xml:space="preserve"> Other Current Liabilities </t>
  </si>
  <si>
    <t xml:space="preserve"> Short-Term Provisions </t>
  </si>
  <si>
    <t>Other Equity &amp; Liabilities</t>
  </si>
  <si>
    <t>TOTAL EQUITY AND LIABILITIES</t>
  </si>
  <si>
    <t>ASSETS</t>
  </si>
  <si>
    <t>Non-Current Assets</t>
  </si>
  <si>
    <t>Fixed Assets</t>
  </si>
  <si>
    <t xml:space="preserve">  Tangible Assets </t>
  </si>
  <si>
    <t xml:space="preserve">  Intangible Assets </t>
  </si>
  <si>
    <t xml:space="preserve">  Capital Work-in-Progress </t>
  </si>
  <si>
    <t>Intangible assets under development</t>
  </si>
  <si>
    <t>Right-of-Use Assets</t>
  </si>
  <si>
    <t xml:space="preserve"> Non-Current Investments </t>
  </si>
  <si>
    <t>Deferred Tax Assets (net)</t>
  </si>
  <si>
    <t xml:space="preserve"> Long-Term Loans and Advances </t>
  </si>
  <si>
    <t xml:space="preserve"> Other Non-Current Assets </t>
  </si>
  <si>
    <t>Total Non Current Assets</t>
  </si>
  <si>
    <t>Current Assets</t>
  </si>
  <si>
    <t xml:space="preserve"> Current Investments </t>
  </si>
  <si>
    <t xml:space="preserve"> Trade Receivables </t>
  </si>
  <si>
    <t xml:space="preserve"> Cash and Cash Equivalents </t>
  </si>
  <si>
    <t xml:space="preserve"> Short-Term Loans and Advances </t>
  </si>
  <si>
    <t xml:space="preserve"> Other Current Assets </t>
  </si>
  <si>
    <t>Other Assets</t>
  </si>
  <si>
    <t>TOTAL ASSETS</t>
  </si>
  <si>
    <t>Actual</t>
  </si>
  <si>
    <t>Optimistic</t>
  </si>
  <si>
    <t>11.00%</t>
  </si>
  <si>
    <t>8.00%</t>
  </si>
  <si>
    <t>5.00%</t>
  </si>
  <si>
    <t>P&amp;L Assumptions</t>
  </si>
  <si>
    <t>INR in Cr.</t>
  </si>
  <si>
    <t>2019</t>
  </si>
  <si>
    <t>2020</t>
  </si>
  <si>
    <t>2021</t>
  </si>
  <si>
    <t>2022</t>
  </si>
  <si>
    <t>2023</t>
  </si>
  <si>
    <t>2024</t>
  </si>
  <si>
    <t>2025</t>
  </si>
  <si>
    <t>2026</t>
  </si>
  <si>
    <t>2027</t>
  </si>
  <si>
    <t>2028</t>
  </si>
  <si>
    <t>2029</t>
  </si>
  <si>
    <t>2030</t>
  </si>
  <si>
    <t>Forecast</t>
  </si>
  <si>
    <t>Transmission Income / Operating Income</t>
  </si>
  <si>
    <t xml:space="preserve">  y-o-y growth %</t>
  </si>
  <si>
    <t>Other Income (Dividend, Interest, Lease etc.)</t>
  </si>
  <si>
    <t xml:space="preserve">  % of Operating Income</t>
  </si>
  <si>
    <t>Finance Cost (Interest &amp; Financial Charges)</t>
  </si>
  <si>
    <t>Depreciation &amp; Amortisation</t>
  </si>
  <si>
    <t>Other Operating Expenses (Repairs, Admin etc.)</t>
  </si>
  <si>
    <t>EBITDA</t>
  </si>
  <si>
    <t xml:space="preserve">  EBITDA Margin %</t>
  </si>
  <si>
    <t>Profit Before Tax (PBT)</t>
  </si>
  <si>
    <t xml:space="preserve">  PBT Margin %</t>
  </si>
  <si>
    <t>Income Tax</t>
  </si>
  <si>
    <t xml:space="preserve">  Effective Tax Rate (% of PBT)</t>
  </si>
  <si>
    <t>Reported Net Profit (PAT)</t>
  </si>
  <si>
    <t xml:space="preserve">  PAT Margin %</t>
  </si>
  <si>
    <t xml:space="preserve">  Dividend Payout Ratio</t>
  </si>
  <si>
    <t>Balance Sheet &amp; Capital Expenditure Assumptions</t>
  </si>
  <si>
    <t>Net Fixed Assets (Net Block)</t>
  </si>
  <si>
    <t xml:space="preserve">  YoY Change %</t>
  </si>
  <si>
    <t>Capital Expenditure (Capex)</t>
  </si>
  <si>
    <t xml:space="preserve">  Capex as % of Net Fixed Assets</t>
  </si>
  <si>
    <t xml:space="preserve">  Days Receivables</t>
  </si>
  <si>
    <t>Long-Term Borrowings</t>
  </si>
  <si>
    <t xml:space="preserve">  as % of Net Fixed Assets</t>
  </si>
  <si>
    <t>Short-Term Borrowings</t>
  </si>
  <si>
    <t>Total Debt (LT + ST)</t>
  </si>
  <si>
    <t>Cash &amp; Cash Equivalents</t>
  </si>
  <si>
    <t>Long-Term Loans &amp; Advances (incl. Subsidiaries)</t>
  </si>
  <si>
    <t>Reserves &amp; Surplus</t>
  </si>
  <si>
    <t>Total Shareholders' Equity</t>
  </si>
  <si>
    <t xml:space="preserve">  Debt / Equity Ratio</t>
  </si>
  <si>
    <t xml:space="preserve">  Net Debt (Total Debt − Cash)</t>
  </si>
  <si>
    <t>ASSUMPTION</t>
  </si>
  <si>
    <t>Rate</t>
  </si>
  <si>
    <t>Number of Days</t>
  </si>
  <si>
    <t>Selected Case ▼</t>
  </si>
  <si>
    <t>ACTUAL PERIOD</t>
  </si>
  <si>
    <t>FORECASTED PERIOD</t>
  </si>
  <si>
    <t>Profit and Loss Statement</t>
  </si>
  <si>
    <t>2019
Actual</t>
  </si>
  <si>
    <t>2020
Actual</t>
  </si>
  <si>
    <t>2021
Actual</t>
  </si>
  <si>
    <t>2022
Actual</t>
  </si>
  <si>
    <t>2023
Actual</t>
  </si>
  <si>
    <t>2024
Actual</t>
  </si>
  <si>
    <t>2025
Actual</t>
  </si>
  <si>
    <t>2026
Forecast</t>
  </si>
  <si>
    <t>2027
Forecast</t>
  </si>
  <si>
    <t>2028
Forecast</t>
  </si>
  <si>
    <t>2029
Forecast</t>
  </si>
  <si>
    <t>2030
Forecast</t>
  </si>
  <si>
    <t>Trend</t>
  </si>
  <si>
    <t>Transmission Income (Operating Revenue)</t>
  </si>
  <si>
    <t>Other Income (Interest, Dividend, Lease etc.)</t>
  </si>
  <si>
    <t>Total Revenue</t>
  </si>
  <si>
    <t>Employee Benefit Expenses</t>
  </si>
  <si>
    <t>Other Operating Expenses (Repairs, Admin &amp; Misc)</t>
  </si>
  <si>
    <t>Depreciation And Amortisation Expenses</t>
  </si>
  <si>
    <t>EBIT</t>
  </si>
  <si>
    <t>EBT (Profit Before Tax)</t>
  </si>
  <si>
    <t xml:space="preserve">   Tax Rate</t>
  </si>
  <si>
    <t xml:space="preserve">   Current Tax</t>
  </si>
  <si>
    <t xml:space="preserve">   Deferred Tax</t>
  </si>
  <si>
    <t>0</t>
  </si>
  <si>
    <t>Net Income (PAT)</t>
  </si>
  <si>
    <t>EPS (Rs.)</t>
  </si>
  <si>
    <t>Dividend Payout Ratio</t>
  </si>
  <si>
    <t>Balance Sheet</t>
  </si>
  <si>
    <t>Total Equity</t>
  </si>
  <si>
    <t>Long Term Borrowings</t>
  </si>
  <si>
    <t>Deferred Tax Liabilities [Net]</t>
  </si>
  <si>
    <t>Other Non-current Liabilities</t>
  </si>
  <si>
    <t>Long Term Provisions</t>
  </si>
  <si>
    <t>Total Non-Current Liabilities</t>
  </si>
  <si>
    <t>Short Term Borrowings</t>
  </si>
  <si>
    <t>Other Current Liabilities</t>
  </si>
  <si>
    <t>Short Term Provisions</t>
  </si>
  <si>
    <t>Total Liabilities &amp; Equity</t>
  </si>
  <si>
    <t>Property, Plant &amp; Equipment (Net Block)</t>
  </si>
  <si>
    <t>Non-Current Investments</t>
  </si>
  <si>
    <t>Other Non-Current Assets</t>
  </si>
  <si>
    <t>Total Non-Current Assets</t>
  </si>
  <si>
    <t>Inventories (Stores &amp; Spares)</t>
  </si>
  <si>
    <t>Cash And Cash Equivalents</t>
  </si>
  <si>
    <t>Other Current Assets</t>
  </si>
  <si>
    <t>Total Assets</t>
  </si>
  <si>
    <t>Cash Flow Statement</t>
  </si>
  <si>
    <t>Add: Depreciation</t>
  </si>
  <si>
    <t>Add: Finance Cost</t>
  </si>
  <si>
    <t>Cash Flow Before Working Capital Changes</t>
  </si>
  <si>
    <t>Changes in Working Capital</t>
  </si>
  <si>
    <t xml:space="preserve">  (Increase)/Decrease in Trade Receivables</t>
  </si>
  <si>
    <t xml:space="preserve">  (Increase)/Decrease in Inventories</t>
  </si>
  <si>
    <t xml:space="preserve">  Increase/(Decrease) in Trade Payables</t>
  </si>
  <si>
    <t xml:space="preserve">  Increase/(Decrease) in Other Current Liabilities</t>
  </si>
  <si>
    <t>Net Changes in Working Capital</t>
  </si>
  <si>
    <t>Tax Paid</t>
  </si>
  <si>
    <t>Net Cash Flow from Operating Activities</t>
  </si>
  <si>
    <t>Net Cash Flow from Investing Activities</t>
  </si>
  <si>
    <t>Finance Cost Paid</t>
  </si>
  <si>
    <t>Net Cash Flow from Financing Activities</t>
  </si>
  <si>
    <t>Net Changes in Cash</t>
  </si>
  <si>
    <t>Add: Opening Cash</t>
  </si>
  <si>
    <t>Cash at the End of Year</t>
  </si>
  <si>
    <t xml:space="preserve">FINANCIAL STATEMENTS </t>
  </si>
  <si>
    <t>PPE SCHEDULE</t>
  </si>
  <si>
    <t>Revenues</t>
  </si>
  <si>
    <t>Opening PP&amp;E (Net Block)</t>
  </si>
  <si>
    <t>Capex (Capital Expenditure)</t>
  </si>
  <si>
    <t>(% of revenues)</t>
  </si>
  <si>
    <t>(Depreciation Rate %)</t>
  </si>
  <si>
    <t>Ending PP&amp;E (Net Block)</t>
  </si>
  <si>
    <t>NOTES &amp; KEY ASSUMPTIONS (Energy Sector Adjustments):</t>
  </si>
  <si>
    <t>1.  PP&amp;E represents PowerGrid's high-voltage transmission infrastructure (lines, substations, switchyards)</t>
  </si>
  <si>
    <t>2.  Capex forecast at 13% of revenues — higher than steel (5%) reflecting regulated utility's ongoing network expansion</t>
  </si>
  <si>
    <t>3.  Depreciation Rate at 7% follows CERC (Central Electricity Regulatory Commission) norms for transmission assets</t>
  </si>
  <si>
    <t>4.  No raw-material inventory or COGS in PP&amp;E roll — replaced by transmission tariff revenue as the primary driver</t>
  </si>
  <si>
    <t>5.  Forecast Revenue growth at 8% p.a. (Base Case); update row 4 Forecast assumptions to switch scenarios</t>
  </si>
  <si>
    <t>6.  Capex % of Revenue (Row 7, blue cells) and Depreciation Rate % (Row 9, blue cells) are editable assumptions</t>
  </si>
  <si>
    <t>7.  Ending PP&amp;E = Opening PP&amp;E + Capex − Depreciation  (standard PPE roll-forward)</t>
  </si>
  <si>
    <t>Capital Structure</t>
  </si>
  <si>
    <t>Total Debt</t>
  </si>
  <si>
    <t>Total Mix</t>
  </si>
  <si>
    <t>% of Debt</t>
  </si>
  <si>
    <t>% of Equity</t>
  </si>
  <si>
    <t>Debt to Equity</t>
  </si>
  <si>
    <t>Weighted Average Cost of Capital</t>
  </si>
  <si>
    <t>Label</t>
  </si>
  <si>
    <t>Value</t>
  </si>
  <si>
    <t>Cost of Equity (CAPM)</t>
  </si>
  <si>
    <t>Cost of Debt</t>
  </si>
  <si>
    <t>Risk Free Rate (Rf)</t>
  </si>
  <si>
    <t>Source</t>
  </si>
  <si>
    <t>Cost</t>
  </si>
  <si>
    <t>Beta (β)</t>
  </si>
  <si>
    <t>Cost of Debt (Pre-tax)*</t>
  </si>
  <si>
    <t>Market Risk Premium (MRP)</t>
  </si>
  <si>
    <t>Cost of Equity (Ke)</t>
  </si>
  <si>
    <t>Cost of Debt After Tax (Kd)</t>
  </si>
  <si>
    <t>WACC</t>
  </si>
  <si>
    <t>Weight</t>
  </si>
  <si>
    <t>Weighted Cost</t>
  </si>
  <si>
    <t>Debt</t>
  </si>
  <si>
    <t>Equity</t>
  </si>
  <si>
    <t>* Cost of Debt (Pre-tax) = FY2025 Interest Expense (₹9,479 Cr) / Average Total Debt (~₹1,20,000 Cr) ≈ 7.90%</t>
  </si>
  <si>
    <t xml:space="preserve">  Beta (0.65) reflects PowerGrid's status as a CPSU regulated utility — lower risk than steel (1.18)</t>
  </si>
  <si>
    <t xml:space="preserve">  Rf = 10-year GoI bond yield (~7.10% as of FY2025); MRP = India Equity Risk Premium (6.85%)</t>
  </si>
  <si>
    <t xml:space="preserve">  Cost of Equity = Rf + β × MRP  (CAPM)  |  Cost of Debt After Tax = Pre-tax Kd × (1 − Tax Rate)</t>
  </si>
  <si>
    <t xml:space="preserve">  WACC = (Weight of Debt × After-tax Kd) + (Weight of Equity × Ke)</t>
  </si>
  <si>
    <t xml:space="preserve">  All data sourced from PowerGrid FY2025 Annual Report Balance Sheet &amp; Income Statement</t>
  </si>
  <si>
    <t>DCF VALUATION – POWER GRID CORPORATION OF INDIA LTD</t>
  </si>
  <si>
    <t>CMP</t>
  </si>
  <si>
    <t>Assumptions / Base</t>
  </si>
  <si>
    <t>Upside Potential</t>
  </si>
  <si>
    <t>Fair Value</t>
  </si>
  <si>
    <t>Discount Rate (WACC)</t>
  </si>
  <si>
    <t>Perpetual Growth Rate</t>
  </si>
  <si>
    <t>5.50%</t>
  </si>
  <si>
    <t>Valuation Date</t>
  </si>
  <si>
    <t>01/04/2025</t>
  </si>
  <si>
    <t>Last Fiscal Year End</t>
  </si>
  <si>
    <t>31/03/2025</t>
  </si>
  <si>
    <t>Current Market Price (₹)</t>
  </si>
  <si>
    <t>Total Shares Outstanding (in Cr.)</t>
  </si>
  <si>
    <t>Debt (in Cr.)</t>
  </si>
  <si>
    <t>Cash (in Cr.)</t>
  </si>
  <si>
    <t>INR Cr.</t>
  </si>
  <si>
    <t>Discounted Cash Flows</t>
  </si>
  <si>
    <t>Intrinsic Value</t>
  </si>
  <si>
    <t>Year &gt;</t>
  </si>
  <si>
    <t>1</t>
  </si>
  <si>
    <t>2</t>
  </si>
  <si>
    <t>3</t>
  </si>
  <si>
    <t>4</t>
  </si>
  <si>
    <t>5</t>
  </si>
  <si>
    <t>Perpetuity Growth
Terminal Value</t>
  </si>
  <si>
    <t>PV of Cash Flows</t>
  </si>
  <si>
    <t>2026F</t>
  </si>
  <si>
    <t>2027F</t>
  </si>
  <si>
    <t>2028F</t>
  </si>
  <si>
    <t>2029F</t>
  </si>
  <si>
    <t>2030F</t>
  </si>
  <si>
    <t>Continuing Value</t>
  </si>
  <si>
    <t>PV of Continuing Value</t>
  </si>
  <si>
    <t>Enterprise Value (in Cr.)</t>
  </si>
  <si>
    <t>NOPAT (EBIT × (1 - Tax Rate))</t>
  </si>
  <si>
    <t>Less: Debt (in Cr.)</t>
  </si>
  <si>
    <t>Add: Cash (in Cr.)</t>
  </si>
  <si>
    <t>Less: Capex</t>
  </si>
  <si>
    <t>Equity Value (in Cr.)</t>
  </si>
  <si>
    <t>Less: Net Changes in Working Capital</t>
  </si>
  <si>
    <t>No. of Shares (in Cr.)</t>
  </si>
  <si>
    <t>Free Cash Flows</t>
  </si>
  <si>
    <t>Intrinsic Value of Share</t>
  </si>
  <si>
    <t>Current Share Price</t>
  </si>
  <si>
    <t>Discounting Factor</t>
  </si>
  <si>
    <t>Market Capitalisation (Cr.)</t>
  </si>
  <si>
    <t>PV of Free Cash Flow</t>
  </si>
  <si>
    <t>Market Value vs Fair Value</t>
  </si>
  <si>
    <t>Sensitivity Analysis – Intrinsic Value vs WACC and Perpetual Growth Rate</t>
  </si>
  <si>
    <t>G
R
O
W
T
H</t>
  </si>
  <si>
    <t>Upside Potential %</t>
  </si>
  <si>
    <t>Nature</t>
  </si>
  <si>
    <t>Recommendation</t>
  </si>
  <si>
    <t>KEY ASSUMPTIONS &amp; ENERGY SECTOR NOTES:</t>
  </si>
  <si>
    <t>1. WACC = 8.26% (vs 15.68% for Tata Steel) — PowerGrid is a regulated utility with AAA-rated debt and low beta (0.65)</t>
  </si>
  <si>
    <t>2. Perpetual Growth Rate = 5.5% — India's GDP growth (~7%) tempered by CERC tariff revision cycle (~4-yr); mid-point used</t>
  </si>
  <si>
    <t>3. EBIT base (FY2025) = Op. Profit ₹40,451 Cr less Depreciation ₹12,352 Cr = ₹28,099 Cr</t>
  </si>
  <si>
    <t>4. NOPAT = EBIT × (1 − Tax Rate 25%); Free Cash Flow = NOPAT + Dep − Capex − ΔWKC</t>
  </si>
  <si>
    <t>5. Capex grows 8% p.a. — PowerGrid's National Electricity Plan 2032 targets major transmission expansion</t>
  </si>
  <si>
    <t>6. Working Capital changes minimal (regulated receivables, low inventory) — estimated ₹500 Cr/yr outflow</t>
  </si>
  <si>
    <t>7. CMP ≈ ₹330; Debt = LT+ST Borrowings FY2025 (₹1,30,965 Cr); Cash = ₹6,419 Cr; Shares = 930.06 Cr</t>
  </si>
  <si>
    <t>8. Sensitivity table: highlighted cell = base case (WACC=8.26%, g=5.5%); blue cells are editable assumptions</t>
  </si>
  <si>
    <t>RELATIVE VALUATION – POWER GRID CORPORATION OF INDIA LTD</t>
  </si>
  <si>
    <t>EV/Sales</t>
  </si>
  <si>
    <t>EV/EBITDA</t>
  </si>
  <si>
    <t>EV/EBIT</t>
  </si>
  <si>
    <t>Adani Energy</t>
  </si>
  <si>
    <t>Market Data</t>
  </si>
  <si>
    <t>Financial Data</t>
  </si>
  <si>
    <t>Valuation Ratios</t>
  </si>
  <si>
    <t>IndiGrid InvIT</t>
  </si>
  <si>
    <t>Price</t>
  </si>
  <si>
    <t>No. of Shares
(in Cr.)</t>
  </si>
  <si>
    <t>Market Cap
(in Cr.)</t>
  </si>
  <si>
    <t>Enterprise Value
(in Cr.)</t>
  </si>
  <si>
    <t>Revenue
(in Cr.)</t>
  </si>
  <si>
    <t>EBITDA
(in Cr.)</t>
  </si>
  <si>
    <t>EBIT
(in Cr.)</t>
  </si>
  <si>
    <t>EPS</t>
  </si>
  <si>
    <t>PGInvIT</t>
  </si>
  <si>
    <t>Anzen India</t>
  </si>
  <si>
    <t>PowerGrid</t>
  </si>
  <si>
    <t>PowerGrid InfraInvIT (PGInvIT)</t>
  </si>
  <si>
    <t>Anzen India Energy Yield Platform</t>
  </si>
  <si>
    <t>Average Data</t>
  </si>
  <si>
    <t>Median Data</t>
  </si>
  <si>
    <t>* IndiGrid InvIT, PGInvIT &amp; Anzen are Infrastructure Investment Trusts (InvITs) — EPS column shows NDCF (Net Distributable Cash Flow) per unit. P/E = Price / NDCF per unit.</t>
  </si>
  <si>
    <t>** All financial data sourced from FY2025 Annual Reports / NSE filings. PowerGrid data from provided financial statements. Peer data based on latest publicly available estimates.</t>
  </si>
  <si>
    <t>HISTORICAL FINANCIALS SUMMARY (₹ Crore)</t>
  </si>
  <si>
    <t>Metric</t>
  </si>
  <si>
    <t>Operating Income (Net)</t>
  </si>
  <si>
    <t>Operating Profit (EBIT)</t>
  </si>
  <si>
    <t>Dividend Per Share (₹)</t>
  </si>
  <si>
    <t>EPS (₹)</t>
  </si>
  <si>
    <t>H MODEL INPUTS</t>
  </si>
  <si>
    <t>R  – Required Rate of Return (Cost of Equity)</t>
  </si>
  <si>
    <t>Based on CAPM; regulated utility beta ~0.7</t>
  </si>
  <si>
    <t>Gh – High Growth Rate (initial)</t>
  </si>
  <si>
    <t>PowerGrid avg dividend growth FY21-FY25</t>
  </si>
  <si>
    <t>Gs – Stable/Terminal Growth Rate</t>
  </si>
  <si>
    <t>Long-run India nominal GDP growth</t>
  </si>
  <si>
    <t>D0 – Current Dividend Per Share (₹)</t>
  </si>
  <si>
    <t>FY2025 DPS (actual)</t>
  </si>
  <si>
    <t>2H – Length of High-Growth Period (years)</t>
  </si>
  <si>
    <t>Transition period assumption</t>
  </si>
  <si>
    <t>H MODEL FORMULA</t>
  </si>
  <si>
    <t>P₀  =  D₀ × (1 + Gs) / (R − Gs)   +   D₀ × H × (Gh − Gs) / (R − Gs)</t>
  </si>
  <si>
    <t>Where:  H = 2H/2  (half the high-growth years)  |  Phase 1 = Declining-period premium  |  Phase 2 = Stable Gordon Growth</t>
  </si>
  <si>
    <t>VALUATION CALCULATION</t>
  </si>
  <si>
    <t>H  (half of high-growth period)</t>
  </si>
  <si>
    <t>D₀ × (1 + Gs)</t>
  </si>
  <si>
    <t>(R − Gs)  – discount spread</t>
  </si>
  <si>
    <t>Phase 2: Stable Growth Value (₹)</t>
  </si>
  <si>
    <t>Phase 1: High-Growth Premium (₹)</t>
  </si>
  <si>
    <t>INTRINSIC VALUE  P₀  (₹ / share)</t>
  </si>
  <si>
    <t>SENSITIVITY TABLE – Varying HIGH GROWTH RATE (Gh) and Cost of Equity (R)</t>
  </si>
  <si>
    <t>g \ r</t>
  </si>
  <si>
    <t>SENSITIVITY TABLE – Varying STABLE GROWTH RATE (Gs) and Cost of Equity (R)</t>
  </si>
  <si>
    <t>KEY ASSUMPTIONS &amp; NOTES</t>
  </si>
  <si>
    <t>2. D₀ = ₹9/share (FY2025 actual). Historical DPS: FY21=₹12, FY22=₹14.75, FY23=₹14.75, FY24=₹11.25, FY25=₹9.</t>
  </si>
  <si>
    <t>3. Gh (12%) reflects average dividend CAGR over FY2016-FY2022 growth period; declining as capex moderates.</t>
  </si>
  <si>
    <t>4. Gs (6%) = conservative long-run India nominal GDP growth; appropriate for regulated infrastructure assets.</t>
  </si>
  <si>
    <t>5. R (13%) = Cost of equity using CAPM with risk-free rate ~7%, ERP ~6%, beta ~1.0 for regulated utility.</t>
  </si>
  <si>
    <t>6. 2H = 10 years: PowerGrid's TBCB pipeline suggests elevated growth through ~FY2030 before normalization.</t>
  </si>
  <si>
    <t>7. H Model is suitable here because PowerGrid's growth is expected to DECLINE from high to stable — exactly the H Model premise.</t>
  </si>
  <si>
    <t>8. Green-highlighted cell in sensitivity tables = base case value. Yellow-highlighted input cells = adjustable assumptions.</t>
  </si>
  <si>
    <t>9. Source: PowerGrid FY2016-FY2025 Annual Reports / Screener.in financial data.</t>
  </si>
  <si>
    <t xml:space="preserve"> H MODEL VALUATION</t>
  </si>
  <si>
    <t>Stage 1 Assumptions – High Growth Phase (2026–2030)</t>
  </si>
  <si>
    <t>Stage 1 Dividend Growth Rate (g1)</t>
  </si>
  <si>
    <t>Required Rate of Return (Ke)</t>
  </si>
  <si>
    <t>Long Term Perpetual Growth Rate (g2)</t>
  </si>
  <si>
    <t>Stage 1 – Dividend &amp; Earnings Per Share (Actual + Forecast)</t>
  </si>
  <si>
    <t>Earnings Per Share (₹)</t>
  </si>
  <si>
    <t>Growth</t>
  </si>
  <si>
    <t>Discount Factor
(1/(1+Ke)^n)</t>
  </si>
  <si>
    <t>PV of Dividend (₹)</t>
  </si>
  <si>
    <t>—</t>
  </si>
  <si>
    <t>Total PV of Stage 1 Dividends</t>
  </si>
  <si>
    <t>Stage 2 – Terminal Value Calculation   [ TV = D(n+1) / (Ke − g2) ]</t>
  </si>
  <si>
    <t>Last Dividend of Stage 1  D(n)</t>
  </si>
  <si>
    <t>Long Term Growth Rate (g2)</t>
  </si>
  <si>
    <t>Next Dividend  D(n+1) = D(n) × (1+g2)</t>
  </si>
  <si>
    <t>Terminal Value  [ D(n+1) / (Ke − g2) ]</t>
  </si>
  <si>
    <t>Discount Terminal Value to Present Value   [ PV of TV = TV / (1+Ke)^n ]</t>
  </si>
  <si>
    <t>Terminal Value (TV)</t>
  </si>
  <si>
    <t>Number of Periods (n = Stage 1 years)</t>
  </si>
  <si>
    <t>Discount Factor = 1 / (1+Ke)^n</t>
  </si>
  <si>
    <t>Present Value of Terminal Value</t>
  </si>
  <si>
    <t>Intrinsic Value   [ IV = PV(Stage 1 Dividends) + PV(Terminal Value) ]</t>
  </si>
  <si>
    <t>PV of Stage 1 Dividends</t>
  </si>
  <si>
    <t>Intrinsic Value (₹ per share)</t>
  </si>
  <si>
    <t>Valuation Verdict</t>
  </si>
  <si>
    <t>Current Market Price (CMP)</t>
  </si>
  <si>
    <t>Intrinsic Value (IV)</t>
  </si>
  <si>
    <t>Upside / (Downside) %</t>
  </si>
  <si>
    <t>Comparison</t>
  </si>
  <si>
    <t>Sensitivity Analysis – Intrinsic Value vs Required Return (Ke) and Long-Term Growth Rate (g2)</t>
  </si>
  <si>
    <t>Intrinsic Value (₹)</t>
  </si>
  <si>
    <t xml:space="preserve"> 2-Stage Dividend Discount Model (DDM)</t>
  </si>
  <si>
    <t>PowerGrid's EVA is typically negative — not because it's unprofitable, but because the massive ₹1.3 lakh Cr debt base creates a large capital charge that exceeds NOPAT. This is structurally normal for capital-intensive regulated utilities. The regulatory framework (CERC) ensures a regulated return on equity, making EVA less meaningful as a standalone metric for transmission companies.</t>
  </si>
  <si>
    <t>NOPAT  =  Operating Profit (EBIT)  ×  (1 – Tax Rate)</t>
  </si>
  <si>
    <t>Effective Tax Rate  (Tax / PBT)</t>
  </si>
  <si>
    <t>NOPAT</t>
  </si>
  <si>
    <t>Invested Capital  =  Total Equity  +  Total Debt  (LT + ST Borrowings)</t>
  </si>
  <si>
    <t>Total Equity (Share Capital + Reserves)</t>
  </si>
  <si>
    <t>Total Debt (LT + ST Borrowings)</t>
  </si>
  <si>
    <t>Minority Interest</t>
  </si>
  <si>
    <t>Invested Capital (Capital Employed)</t>
  </si>
  <si>
    <t>WACC  =  Ke × (E/V)  +  Kd × (D/V) × (1 – Tax Rate)</t>
  </si>
  <si>
    <t>Cost of Equity (Ke)  =  Rf  +  Beta × (Rm – Rf)  [CAPM]</t>
  </si>
  <si>
    <t>Risk Free Rate (Rf) — 10yr GoI Bond Yield</t>
  </si>
  <si>
    <t>Beta (β) — PowerGrid regulated utility</t>
  </si>
  <si>
    <t>Equity Risk Premium (ERP = Rm – Rf)</t>
  </si>
  <si>
    <t>Cost of Debt (Kd) — Interest / Avg Total Debt</t>
  </si>
  <si>
    <t>Year-wise WACC Calculation</t>
  </si>
  <si>
    <t>Equity + Debt  (V)</t>
  </si>
  <si>
    <t>Equity Weight  (E/V)</t>
  </si>
  <si>
    <t>Debt Weight  (D/V)</t>
  </si>
  <si>
    <t>Effective Tax Rate</t>
  </si>
  <si>
    <t>WACC  =  Ke×(E/V) + Kd×(D/V)×(1–t)</t>
  </si>
  <si>
    <t>EVA  =  NOPAT  –  (WACC  ×  Invested Capital)</t>
  </si>
  <si>
    <t>Invested Capital</t>
  </si>
  <si>
    <t>Capital Charge  (WACC × Invested Capital)</t>
  </si>
  <si>
    <t>EVA  (NOPAT – Capital Charge)</t>
  </si>
  <si>
    <t>EVA Interpretation</t>
  </si>
  <si>
    <t xml:space="preserve">Economic Value Added (EVA)  </t>
  </si>
  <si>
    <t>EVA =NOPAT  –  (WACC  ×  Invested Capital)</t>
  </si>
  <si>
    <t>Particular</t>
  </si>
  <si>
    <t>Legend:  Dark Blue = Base Case (Ke=11.55%, g2=5.5%) , Green = IV &gt; CMP (₹330) — Undervalued , Red = IV &lt; CMP — Overvalued</t>
  </si>
  <si>
    <t xml:space="preserve">
(Long-term
Growth)</t>
  </si>
  <si>
    <t>1. PowerGrid is a regulated utility; dividends are more predictable than cyclical sectors.</t>
  </si>
  <si>
    <t>green-base case value</t>
  </si>
  <si>
    <t>Company name</t>
  </si>
  <si>
    <t>(FY)</t>
  </si>
  <si>
    <t>Revenue</t>
  </si>
  <si>
    <t>growth</t>
  </si>
  <si>
    <t>margin</t>
  </si>
  <si>
    <t>Return on</t>
  </si>
  <si>
    <t>assets</t>
  </si>
  <si>
    <t>equity</t>
  </si>
  <si>
    <t>Current</t>
  </si>
  <si>
    <t>ratio</t>
  </si>
  <si>
    <t>Debt/equity</t>
  </si>
  <si>
    <t>Interest coverage</t>
  </si>
  <si>
    <t>Asset</t>
  </si>
  <si>
    <t>turnover</t>
  </si>
  <si>
    <t>Adani Energy Solutions</t>
  </si>
  <si>
    <t>N/A*</t>
  </si>
  <si>
    <t>N/A†</t>
  </si>
  <si>
    <t>Not listed (IPO: May 2021)</t>
  </si>
  <si>
    <t>First full year</t>
  </si>
  <si>
    <t>Anzen India Energy YP Trust</t>
  </si>
  <si>
    <t>Not listed (IPO: Nov 2022)</t>
  </si>
  <si>
    <t>Partial year</t>
  </si>
  <si>
    <t>2025A</t>
  </si>
  <si>
    <t>EBITDA Margin (%)</t>
  </si>
  <si>
    <t>ROCE (%)</t>
  </si>
  <si>
    <t>ROE (%)</t>
  </si>
  <si>
    <t>Operating Income (%)</t>
  </si>
  <si>
    <t>EBITDA (%)</t>
  </si>
  <si>
    <t>Adj PAT (%)</t>
  </si>
  <si>
    <t>Adj EPS (%)</t>
  </si>
  <si>
    <t>Profitability</t>
  </si>
  <si>
    <t>Operating Income</t>
  </si>
  <si>
    <t>EBIT Margin (%)</t>
  </si>
  <si>
    <t>PAT Margin (%)</t>
  </si>
  <si>
    <t>Valuations</t>
  </si>
  <si>
    <t>Price-earnings</t>
  </si>
  <si>
    <t>Price-book</t>
  </si>
  <si>
    <t xml:space="preserve">EV/EBITDA </t>
  </si>
  <si>
    <t>Dividend payout ratio (%)</t>
  </si>
  <si>
    <t>Dividend yield (%)</t>
  </si>
  <si>
    <t>B/S ratios</t>
  </si>
  <si>
    <t>Inventory days</t>
  </si>
  <si>
    <t>Creditor days</t>
  </si>
  <si>
    <t>Debtor days</t>
  </si>
  <si>
    <t>Asset turnover</t>
  </si>
  <si>
    <t>Current ratio</t>
  </si>
  <si>
    <t>Interest Coverage ratio</t>
  </si>
  <si>
    <t xml:space="preserve"> KEY RATIO FORECAST  </t>
  </si>
  <si>
    <t>Net Debt (LT+ST-cash</t>
  </si>
  <si>
    <t>EBIT (Operating Profit)</t>
  </si>
  <si>
    <t>Tax Rate (%)</t>
  </si>
  <si>
    <t>NOPAT = EBIT × (1 - Tax Rate)</t>
  </si>
  <si>
    <t>Add: Depreciation &amp; Amortisation</t>
  </si>
  <si>
    <t>Less: Capital Expenditure (CapEx)</t>
  </si>
  <si>
    <t>Less: Δ Net Working Capital (ΔNWC)</t>
  </si>
  <si>
    <t>FCFF (Free Cash Flow to Firm)</t>
  </si>
  <si>
    <t>SECTION 3 — DISCOUNTED CASH FLOW (DCF) — PRESENT VALUE OF FCFF</t>
  </si>
  <si>
    <t>Discount Factor  = 1/(1+WACC)^t</t>
  </si>
  <si>
    <t>PV of FCFF</t>
  </si>
  <si>
    <t>Sum of PV of FCFF (Explicit Period)</t>
  </si>
  <si>
    <t>SECTION 4 — TERMINAL VALUE &amp; ENTERPRISE VALUE</t>
  </si>
  <si>
    <t>Terminal FCFF (2030F × (1+g))</t>
  </si>
  <si>
    <t>Terminal Value = Terminal FCFF / (WACC - g)</t>
  </si>
  <si>
    <t>PV of Terminal Value</t>
  </si>
  <si>
    <t>Sum of PV of FCFF (Explicit)</t>
  </si>
  <si>
    <t>Enterprise Value (EV)</t>
  </si>
  <si>
    <t>Less: Net Debt (2025A)</t>
  </si>
  <si>
    <t>Equity Value</t>
  </si>
  <si>
    <t>Shares Outstanding (Cr.)</t>
  </si>
  <si>
    <t>Intrinsic Value per Share (Rs.)</t>
  </si>
  <si>
    <t>Current Market Price (Rs.)</t>
  </si>
  <si>
    <t>Free Cash Flow to Firm</t>
  </si>
  <si>
    <r>
      <t>India is currently one of the fastest-growing major economies, with</t>
    </r>
    <r>
      <rPr>
        <b/>
        <sz val="11"/>
        <color theme="1"/>
        <rFont val="Calibri"/>
        <family val="2"/>
        <scheme val="minor"/>
      </rPr>
      <t xml:space="preserve"> GDP growth</t>
    </r>
    <r>
      <rPr>
        <sz val="11"/>
        <color theme="1"/>
        <rFont val="Calibri"/>
        <family val="2"/>
        <scheme val="minor"/>
      </rPr>
      <t xml:space="preserve"> expected to remain around </t>
    </r>
    <r>
      <rPr>
        <b/>
        <sz val="11"/>
        <color theme="1"/>
        <rFont val="Calibri"/>
        <family val="2"/>
        <scheme val="minor"/>
      </rPr>
      <t>6–7%</t>
    </r>
    <r>
      <rPr>
        <sz val="11"/>
        <color theme="1"/>
        <rFont val="Calibri"/>
        <family val="2"/>
        <scheme val="minor"/>
      </rPr>
      <t xml:space="preserve"> in the medium term. This growth is supported by </t>
    </r>
    <r>
      <rPr>
        <b/>
        <sz val="11"/>
        <color theme="1"/>
        <rFont val="Calibri"/>
        <family val="2"/>
        <scheme val="minor"/>
      </rPr>
      <t>strong domestic consumption, infrastructure development, and government initiatives.</t>
    </r>
    <r>
      <rPr>
        <sz val="11"/>
        <color theme="1"/>
        <rFont val="Calibri"/>
        <family val="2"/>
        <scheme val="minor"/>
      </rPr>
      <t xml:space="preserve">
Economic growth has a direct impact on </t>
    </r>
    <r>
      <rPr>
        <b/>
        <sz val="11"/>
        <color theme="1"/>
        <rFont val="Calibri"/>
        <family val="2"/>
        <scheme val="minor"/>
      </rPr>
      <t>electricity demand</t>
    </r>
    <r>
      <rPr>
        <sz val="11"/>
        <color theme="1"/>
        <rFont val="Calibri"/>
        <family val="2"/>
        <scheme val="minor"/>
      </rPr>
      <t>, because:
Industries require more power for production
Commercial sectors (offices, malls, IT parks) expand
Household consumption increases with rising income
Therefore, as GDP grows, power demand rises proportionately, creating a strong need for expansion of transmission infrastructure.</t>
    </r>
  </si>
  <si>
    <t>Macroeconomic Environment</t>
  </si>
  <si>
    <t>India’s electricity demand is expected to grow consistently over the next decade, driven by structural changes in the economy.
Key growth drivers:
Electric Vehicles (EVs): Increasing adoption will significantly raise electricity consumption
Digital Economy: Growth of data centers, cloud computing, and AI infrastructure requires continuous power supply
Manufacturing Push: Government initiatives like Make in India and PLI schemes are boosting industrial activity
Urbanization: Expansion of cities increases residential and commercial electricity demand
These factors will require a robust and efficient transmission network to transport electricity across regions.</t>
  </si>
  <si>
    <t>Power Demand Outlook</t>
  </si>
  <si>
    <t>Interest Rate and Inflation</t>
  </si>
  <si>
    <t>The power sector, especially transmission, is highly capital-intensive, meaning:
Companies rely heavily on debt financing
Large investments are required for infrastructure projects
Impact:
Rising interest rates → increase borrowing costs → may reduce profitability
Inflation → increases project costs (materials, labor)
However, for companies like PowerGrid:
Returns are regulated by government (RoE-based model)
This provides stability and protection against cost fluctuations
 So even in a high-interest environment, earnings remain relatively stable.</t>
  </si>
  <si>
    <t>The Indian government plays a crucial role in the power sector, especially transmission.
Key initiatives:
National Electricity Plan: Focus on strengthening grid infrastructure
Renewable Energy Target: 500 GW capacity by 2030
Green Energy Corridors: Dedicated transmission lines for renewable power
Power for All &amp; Infrastructure Push
Renewable energy (solar/wind) is often located in remote areas, so strong transmission networks are essential to deliver power to demand centers.</t>
  </si>
  <si>
    <t>Government Policies &amp; Support</t>
  </si>
  <si>
    <t>The macroeconomic environment in India is highly favorable for the power transmission sector. Strong GDP growth, rising electricity demand, rapid urbanization, and government-led infrastructure initiatives are driving the need for expanded transmission networks. Additionally, policy support and regulated returns provide stability, making the sector well-positioned for long-term sustainable growth.</t>
  </si>
  <si>
    <r>
      <t xml:space="preserve">The power transmission industry in India operates as a </t>
    </r>
    <r>
      <rPr>
        <b/>
        <sz val="11"/>
        <color theme="1"/>
        <rFont val="Calibri"/>
        <family val="2"/>
        <scheme val="minor"/>
      </rPr>
      <t>regulated utility sector,</t>
    </r>
    <r>
      <rPr>
        <sz val="11"/>
        <color theme="1"/>
        <rFont val="Calibri"/>
        <family val="2"/>
        <scheme val="minor"/>
      </rPr>
      <t xml:space="preserve"> meaning:
Returns are determined by regulatory bodies like </t>
    </r>
    <r>
      <rPr>
        <b/>
        <sz val="11"/>
        <color theme="1"/>
        <rFont val="Calibri"/>
        <family val="2"/>
        <scheme val="minor"/>
      </rPr>
      <t>CERC (Central Electricity Regulatory Commission)</t>
    </r>
    <r>
      <rPr>
        <sz val="11"/>
        <color theme="1"/>
        <rFont val="Calibri"/>
        <family val="2"/>
        <scheme val="minor"/>
      </rPr>
      <t xml:space="preserve">
Companies earn a </t>
    </r>
    <r>
      <rPr>
        <b/>
        <sz val="11"/>
        <color theme="1"/>
        <rFont val="Calibri"/>
        <family val="2"/>
        <scheme val="minor"/>
      </rPr>
      <t>fixed return on capital (RoE model)</t>
    </r>
    <r>
      <rPr>
        <sz val="11"/>
        <color theme="1"/>
        <rFont val="Calibri"/>
        <family val="2"/>
        <scheme val="minor"/>
      </rPr>
      <t xml:space="preserve"> rather than market-based pricing
Key features:
</t>
    </r>
    <r>
      <rPr>
        <b/>
        <sz val="11"/>
        <color theme="1"/>
        <rFont val="Calibri"/>
        <family val="2"/>
        <scheme val="minor"/>
      </rPr>
      <t>Natural monopoly:</t>
    </r>
    <r>
      <rPr>
        <sz val="11"/>
        <color theme="1"/>
        <rFont val="Calibri"/>
        <family val="2"/>
        <scheme val="minor"/>
      </rPr>
      <t xml:space="preserve">
Transmission networks require huge infrastructure and cannot be duplicated easily
</t>
    </r>
    <r>
      <rPr>
        <b/>
        <sz val="11"/>
        <color theme="1"/>
        <rFont val="Calibri"/>
        <family val="2"/>
        <scheme val="minor"/>
      </rPr>
      <t>Low competition:</t>
    </r>
    <r>
      <rPr>
        <sz val="11"/>
        <color theme="1"/>
        <rFont val="Calibri"/>
        <family val="2"/>
        <scheme val="minor"/>
      </rPr>
      <t xml:space="preserve">
Dominated by a few players like
Power Grid Corporation of India
Adani Energy Solutions
</t>
    </r>
    <r>
      <rPr>
        <b/>
        <sz val="11"/>
        <color theme="1"/>
        <rFont val="Calibri"/>
        <family val="2"/>
        <scheme val="minor"/>
      </rPr>
      <t>Long asset life:</t>
    </r>
    <r>
      <rPr>
        <sz val="11"/>
        <color theme="1"/>
        <rFont val="Calibri"/>
        <family val="2"/>
        <scheme val="minor"/>
      </rPr>
      <t xml:space="preserve">
Transmission assets (lines, substations) last 25–35 years
👉 This makes the industry </t>
    </r>
    <r>
      <rPr>
        <b/>
        <sz val="11"/>
        <color theme="1"/>
        <rFont val="Calibri"/>
        <family val="2"/>
        <scheme val="minor"/>
      </rPr>
      <t>stable, predictable, and infrastructure-driven.</t>
    </r>
  </si>
  <si>
    <t>Industry Nature</t>
  </si>
  <si>
    <t>Growth Drivers</t>
  </si>
  <si>
    <r>
      <t xml:space="preserve">1. Renewable Energy Expansion                                                             3. Green Energy Corridors                                          
India targets 500 GW renewable capacity by 2030                             Dedicated transmission systems for renewable energy
Solar and wind projects are often located in remote areas                Reduces power loss and improves efficiency
Requires strong transmission networks to connect:
Generation locations → consumption centers
2. Inter-State Transmission Development                                            4. Electrification &amp; Demand Growth
Power needs to flow across states efficiently                                        Rural electrification
Government is building National Grid integration                                 Industrial expansion
Increases demand for:                                                                              EV charging infrastructure
High-voltage transmission lines                                                               All increase dependency on transmission networks
Grid connectivity projects 
REVENUE MODEL Not dependent on:
</t>
    </r>
    <r>
      <rPr>
        <b/>
        <sz val="11"/>
        <color theme="1"/>
        <rFont val="Calibri"/>
        <family val="2"/>
        <scheme val="minor"/>
      </rPr>
      <t xml:space="preserve">Power prices, Demand fluctuations, Commodity cycles
</t>
    </r>
  </si>
  <si>
    <t>Industry Risks</t>
  </si>
  <si>
    <t>1. Regulatory Risk                                                                   4. Policy Risk
Changes in tariff rules or allowed returns                           Changes in renewable policies
Delay in approvals                                                                 Shift in government priorities
2. Execution Risk                                                                   5. Technological Risk (Emerging)
Delays in project completion                                               Smart grids
Land acquisition issues                                                         Energy storage
Environmental clearances                                                    Decentralized power generation
                                                                                               May change future transmission requirements
3. Interest Rate Risk
Sector is debt-heavy
Rising rates → higher financing cost</t>
  </si>
  <si>
    <t>The Indian power transmission industry is a highly regulated, capital-intensive sector characterized by stable and predictable returns, low competition, and strong entry barriers. Growth is primarily driven by renewable energy expansion, inter-state connectivity, and increasing electricity demand. Despite risks related to regulation and project execution, the sector remains fundamentally strong and well-positioned for long-term growth, making it attractive for valuation using stable cash flow-based models.</t>
  </si>
  <si>
    <t>forn screener</t>
  </si>
  <si>
    <t>https://www.screener.in/company/POWERGRID/consolidated/#peers</t>
  </si>
  <si>
    <t>https://www.indigrid.co.in/wp-content/uploads/2025/07/Valuation.pdf</t>
  </si>
  <si>
    <t>Depreciation rate</t>
  </si>
  <si>
    <t xml:space="preserve">as listed by CERC (Central Electricity Regulatory Commission) </t>
  </si>
  <si>
    <t>https://powermin.gov.in/en/content/depreciation-norms-generating-companies</t>
  </si>
  <si>
    <t>https://images.assettype.com/bloombergquint/2021-06/a25d87d1-ef19-46d2-93c3-eb995c94e641/Motilal_Oswal_Power_Grid_Q4FY21_Result_Update.pdf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</si>
</sst>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 #,##0;[Red]&quot;₹&quot;\ \-#,##0"/>
    <numFmt numFmtId="165" formatCode="0.000"/>
    <numFmt numFmtId="166" formatCode="0.0"/>
    <numFmt numFmtId="167" formatCode="0.0%"/>
    <numFmt numFmtId="168" formatCode="0.00\x"/>
    <numFmt numFmtId="169" formatCode="\₹#,##0.00"/>
    <numFmt numFmtId="170" formatCode="0.0000"/>
    <numFmt numFmtId="171" formatCode="0.000%"/>
  </numFmts>
  <fonts count="79" x14ac:knownFonts="1">
    <font>
      <sz val="11"/>
      <color theme="1"/>
      <name val="Calibri"/>
      <family val="2"/>
      <scheme val="minor"/>
    </font>
    <font>
      <sz val="11"/>
      <color theme="1"/>
      <name val="Calibri"/>
      <family val="2"/>
      <scheme val="minor"/>
    </font>
    <font>
      <b/>
      <sz val="11"/>
      <color theme="1"/>
      <name val="Calibri"/>
      <family val="2"/>
      <scheme val="minor"/>
    </font>
    <font>
      <b/>
      <sz val="20"/>
      <color theme="0"/>
      <name val="Calibri"/>
      <family val="2"/>
      <scheme val="minor"/>
    </font>
    <font>
      <sz val="11"/>
      <color rgb="FF22222F"/>
      <name val="Arial"/>
      <family val="2"/>
    </font>
    <font>
      <b/>
      <sz val="10"/>
      <color theme="1"/>
      <name val="Calibri"/>
      <family val="2"/>
      <scheme val="minor"/>
    </font>
    <font>
      <sz val="10"/>
      <color theme="1"/>
      <name val="Calibri"/>
      <family val="2"/>
      <scheme val="minor"/>
    </font>
    <font>
      <b/>
      <sz val="10"/>
      <color theme="0"/>
      <name val="Arial"/>
      <family val="2"/>
    </font>
    <font>
      <sz val="9"/>
      <color theme="1"/>
      <name val="Arial"/>
      <family val="2"/>
    </font>
    <font>
      <u/>
      <sz val="11"/>
      <color theme="10"/>
      <name val="Calibri"/>
      <family val="2"/>
      <scheme val="minor"/>
    </font>
    <font>
      <b/>
      <sz val="11"/>
      <color theme="0"/>
      <name val="Calibri"/>
      <family val="2"/>
      <scheme val="minor"/>
    </font>
    <font>
      <sz val="7.5"/>
      <color rgb="FF222222"/>
      <name val="Arial"/>
      <family val="2"/>
    </font>
    <font>
      <sz val="6"/>
      <color rgb="FF000000"/>
      <name val="Source Sans Pro"/>
      <family val="2"/>
    </font>
    <font>
      <sz val="16"/>
      <color rgb="FF222222"/>
      <name val="Arial"/>
      <family val="2"/>
    </font>
    <font>
      <sz val="16"/>
      <color theme="1"/>
      <name val="Calibri"/>
      <family val="2"/>
      <scheme val="minor"/>
    </font>
    <font>
      <sz val="16"/>
      <color rgb="FF000000"/>
      <name val="Source Sans Pro"/>
      <family val="2"/>
    </font>
    <font>
      <b/>
      <sz val="10"/>
      <name val="Arial"/>
      <family val="2"/>
    </font>
    <font>
      <b/>
      <sz val="11"/>
      <color rgb="FF0000FF"/>
      <name val="Arial"/>
      <family val="2"/>
    </font>
    <font>
      <i/>
      <sz val="10"/>
      <name val="Arial"/>
      <family val="2"/>
    </font>
    <font>
      <sz val="10"/>
      <name val="Arial"/>
      <family val="2"/>
    </font>
    <font>
      <b/>
      <sz val="10"/>
      <color rgb="FF0000FF"/>
      <name val="Arial"/>
      <family val="2"/>
    </font>
    <font>
      <b/>
      <sz val="11"/>
      <color rgb="FFFFFFFF"/>
      <name val="Arial"/>
      <family val="2"/>
    </font>
    <font>
      <i/>
      <sz val="9"/>
      <name val="Arial"/>
      <family val="2"/>
    </font>
    <font>
      <b/>
      <sz val="10"/>
      <color rgb="FFFFFFFF"/>
      <name val="Arial"/>
      <family val="2"/>
    </font>
    <font>
      <b/>
      <sz val="9"/>
      <color rgb="FFFFFFFF"/>
      <name val="Arial"/>
      <family val="2"/>
    </font>
    <font>
      <sz val="10"/>
      <color rgb="FF0000FF"/>
      <name val="Arial"/>
      <family val="2"/>
    </font>
    <font>
      <sz val="10"/>
      <color rgb="FF000000"/>
      <name val="Arial"/>
      <family val="2"/>
    </font>
    <font>
      <b/>
      <i/>
      <sz val="9"/>
      <name val="Arial"/>
      <family val="2"/>
    </font>
    <font>
      <b/>
      <sz val="18"/>
      <color rgb="FFFFFFFF"/>
      <name val="Arial"/>
      <family val="2"/>
    </font>
    <font>
      <b/>
      <sz val="10"/>
      <color theme="1"/>
      <name val="Arial"/>
      <family val="2"/>
    </font>
    <font>
      <b/>
      <sz val="9"/>
      <name val="Arial"/>
      <family val="2"/>
    </font>
    <font>
      <sz val="9"/>
      <name val="Arial"/>
      <family val="2"/>
    </font>
    <font>
      <b/>
      <sz val="9"/>
      <color rgb="FF0000FF"/>
      <name val="Arial"/>
      <family val="2"/>
    </font>
    <font>
      <i/>
      <sz val="9"/>
      <name val="Arial"/>
      <family val="2"/>
    </font>
    <font>
      <b/>
      <sz val="10"/>
      <color rgb="FFFFFFFF"/>
      <name val="Arial"/>
      <family val="2"/>
    </font>
    <font>
      <b/>
      <sz val="9"/>
      <color rgb="FFFFFFFF"/>
      <name val="Arial"/>
      <family val="2"/>
    </font>
    <font>
      <sz val="9"/>
      <color rgb="FF000000"/>
      <name val="Arial"/>
      <family val="2"/>
    </font>
    <font>
      <b/>
      <sz val="9"/>
      <color rgb="FF000000"/>
      <name val="Arial"/>
      <family val="2"/>
    </font>
    <font>
      <b/>
      <sz val="11"/>
      <color theme="0"/>
      <name val="Arial"/>
      <family val="2"/>
    </font>
    <font>
      <b/>
      <sz val="16"/>
      <color theme="0"/>
      <name val="Arial"/>
      <family val="2"/>
    </font>
    <font>
      <b/>
      <sz val="12"/>
      <color rgb="FFFFFFFF"/>
      <name val="Arial"/>
      <family val="2"/>
    </font>
    <font>
      <b/>
      <sz val="10"/>
      <color rgb="FF000000"/>
      <name val="Arial"/>
      <family val="2"/>
    </font>
    <font>
      <sz val="9"/>
      <color rgb="FF404040"/>
      <name val="Arial"/>
      <family val="2"/>
    </font>
    <font>
      <b/>
      <sz val="10"/>
      <name val="Arial"/>
      <family val="2"/>
    </font>
    <font>
      <b/>
      <sz val="13"/>
      <color rgb="FFFFFFFF"/>
      <name val="Arial"/>
      <family val="2"/>
    </font>
    <font>
      <b/>
      <sz val="13"/>
      <color rgb="FFFFFFFF"/>
      <name val="Arial"/>
      <family val="2"/>
    </font>
    <font>
      <sz val="10"/>
      <color rgb="FF000000"/>
      <name val="Arial"/>
      <family val="2"/>
    </font>
    <font>
      <sz val="10"/>
      <color rgb="FF0000FF"/>
      <name val="Arial"/>
      <family val="2"/>
    </font>
    <font>
      <b/>
      <sz val="11"/>
      <color rgb="FFFFFFFF"/>
      <name val="Arial"/>
      <family val="2"/>
    </font>
    <font>
      <b/>
      <sz val="10"/>
      <color rgb="FF000000"/>
      <name val="Arial"/>
      <family val="2"/>
    </font>
    <font>
      <b/>
      <sz val="8"/>
      <color rgb="FFFFFFFF"/>
      <name val="Arial"/>
      <family val="2"/>
    </font>
    <font>
      <i/>
      <sz val="8"/>
      <color rgb="FF404040"/>
      <name val="Arial"/>
      <family val="2"/>
    </font>
    <font>
      <b/>
      <sz val="9"/>
      <color theme="1"/>
      <name val="Arial"/>
      <family val="2"/>
    </font>
    <font>
      <b/>
      <sz val="11"/>
      <color rgb="FF1F3864"/>
      <name val="Arial"/>
      <family val="2"/>
    </font>
    <font>
      <b/>
      <sz val="11"/>
      <color rgb="FF000000"/>
      <name val="Arial"/>
      <family val="2"/>
    </font>
    <font>
      <b/>
      <sz val="14"/>
      <color rgb="FFFFFFFF"/>
      <name val="Arial"/>
      <family val="2"/>
    </font>
    <font>
      <sz val="9"/>
      <name val="Arial"/>
      <family val="2"/>
    </font>
    <font>
      <b/>
      <sz val="8"/>
      <color rgb="FFFFFFFF"/>
      <name val="Arial"/>
      <family val="2"/>
    </font>
    <font>
      <b/>
      <sz val="10"/>
      <color rgb="FF1F3864"/>
      <name val="Arial"/>
      <family val="2"/>
    </font>
    <font>
      <b/>
      <sz val="10"/>
      <color rgb="FF375623"/>
      <name val="Arial"/>
      <family val="2"/>
    </font>
    <font>
      <sz val="8"/>
      <color rgb="FF595959"/>
      <name val="Times New Roman"/>
      <family val="1"/>
    </font>
    <font>
      <b/>
      <sz val="10"/>
      <color rgb="FF0000FF"/>
      <name val="Arial"/>
      <family val="2"/>
    </font>
    <font>
      <sz val="9"/>
      <color rgb="FF595959"/>
      <name val="Times New Roman"/>
      <family val="1"/>
    </font>
    <font>
      <b/>
      <sz val="10"/>
      <color theme="0"/>
      <name val="Calibri"/>
      <family val="2"/>
      <scheme val="minor"/>
    </font>
    <font>
      <b/>
      <sz val="16"/>
      <color theme="0"/>
      <name val="Calibri"/>
      <family val="2"/>
      <scheme val="minor"/>
    </font>
    <font>
      <sz val="10"/>
      <name val="Arial"/>
      <family val="2"/>
    </font>
    <font>
      <sz val="9"/>
      <color theme="1"/>
      <name val="Times New Roman"/>
      <family val="1"/>
    </font>
    <font>
      <sz val="11"/>
      <color theme="1"/>
      <name val="Arial"/>
      <family val="2"/>
    </font>
    <font>
      <i/>
      <sz val="11"/>
      <color theme="1"/>
      <name val="Arial"/>
      <family val="2"/>
    </font>
    <font>
      <b/>
      <sz val="11"/>
      <name val="Arial"/>
      <family val="2"/>
    </font>
    <font>
      <b/>
      <sz val="9"/>
      <color theme="0"/>
      <name val="Arial"/>
      <family val="2"/>
    </font>
    <font>
      <sz val="18"/>
      <color theme="0"/>
      <name val="Calibri"/>
      <family val="2"/>
      <scheme val="minor"/>
    </font>
    <font>
      <b/>
      <sz val="20"/>
      <color theme="0"/>
      <name val="Arial"/>
      <family val="2"/>
    </font>
    <font>
      <sz val="9"/>
      <color rgb="FF008000"/>
      <name val="Arial"/>
      <family val="2"/>
    </font>
    <font>
      <sz val="9"/>
      <color rgb="FF0000FF"/>
      <name val="Arial"/>
      <family val="2"/>
    </font>
    <font>
      <sz val="9"/>
      <color rgb="FF0070C0"/>
      <name val="Arial"/>
      <family val="2"/>
    </font>
    <font>
      <b/>
      <sz val="12"/>
      <color rgb="FF1F3864"/>
      <name val="Arial"/>
      <family val="2"/>
    </font>
    <font>
      <sz val="9"/>
      <color rgb="FFFFFFFF"/>
      <name val="Arial"/>
      <family val="2"/>
    </font>
    <font>
      <sz val="9"/>
      <color rgb="FF404040"/>
      <name val="Arial"/>
      <family val="2"/>
    </font>
  </fonts>
  <fills count="65">
    <fill>
      <patternFill patternType="none"/>
    </fill>
    <fill>
      <patternFill patternType="gray125"/>
    </fill>
    <fill>
      <patternFill patternType="solid">
        <fgColor theme="7" tint="0.59999389629810485"/>
        <bgColor indexed="64"/>
      </patternFill>
    </fill>
    <fill>
      <patternFill patternType="solid">
        <fgColor rgb="FFFFFFFF"/>
        <bgColor indexed="64"/>
      </patternFill>
    </fill>
    <fill>
      <patternFill patternType="solid">
        <fgColor theme="8" tint="0.39997558519241921"/>
        <bgColor indexed="64"/>
      </patternFill>
    </fill>
    <fill>
      <patternFill patternType="solid">
        <fgColor theme="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1F3864"/>
        <bgColor rgb="FF333333"/>
      </patternFill>
    </fill>
    <fill>
      <patternFill patternType="solid">
        <fgColor rgb="FFBDD7EE"/>
        <bgColor rgb="FF99CCFF"/>
      </patternFill>
    </fill>
    <fill>
      <patternFill patternType="solid">
        <fgColor rgb="FFF2F2F2"/>
        <bgColor rgb="FFFFFFFF"/>
      </patternFill>
    </fill>
    <fill>
      <patternFill patternType="solid">
        <fgColor rgb="FFFFF2CC"/>
        <bgColor rgb="FFFFFFFF"/>
      </patternFill>
    </fill>
    <fill>
      <patternFill patternType="solid">
        <fgColor rgb="FFD9E1F2"/>
        <bgColor rgb="FFCCFFFF"/>
      </patternFill>
    </fill>
    <fill>
      <patternFill patternType="solid">
        <fgColor rgb="FF2E75B6"/>
        <bgColor rgb="FF0070C0"/>
      </patternFill>
    </fill>
    <fill>
      <patternFill patternType="solid">
        <fgColor rgb="FFFFC000"/>
        <bgColor rgb="FFFF9900"/>
      </patternFill>
    </fill>
    <fill>
      <patternFill patternType="solid">
        <fgColor theme="4" tint="-0.249977111117893"/>
        <bgColor rgb="FF333333"/>
      </patternFill>
    </fill>
    <fill>
      <patternFill patternType="solid">
        <fgColor theme="5" tint="-0.249977111117893"/>
        <bgColor rgb="FF333333"/>
      </patternFill>
    </fill>
    <fill>
      <patternFill patternType="solid">
        <fgColor theme="5" tint="-0.249977111117893"/>
        <bgColor indexed="64"/>
      </patternFill>
    </fill>
    <fill>
      <patternFill patternType="solid">
        <fgColor theme="7" tint="0.79998168889431442"/>
        <bgColor indexed="64"/>
      </patternFill>
    </fill>
    <fill>
      <patternFill patternType="solid">
        <fgColor theme="7" tint="0.79998168889431442"/>
        <bgColor rgb="FFFFFFFF"/>
      </patternFill>
    </fill>
    <fill>
      <patternFill patternType="solid">
        <fgColor rgb="FFFFC000"/>
        <bgColor rgb="FF333333"/>
      </patternFill>
    </fill>
    <fill>
      <patternFill patternType="solid">
        <fgColor rgb="FFFFC000"/>
        <bgColor rgb="FF0066CC"/>
      </patternFill>
    </fill>
    <fill>
      <patternFill patternType="solid">
        <fgColor rgb="FF1F3864"/>
        <bgColor rgb="FF333399"/>
      </patternFill>
    </fill>
    <fill>
      <patternFill patternType="solid">
        <fgColor theme="0"/>
        <bgColor rgb="FF333399"/>
      </patternFill>
    </fill>
    <fill>
      <patternFill patternType="solid">
        <fgColor theme="4" tint="-0.249977111117893"/>
        <bgColor rgb="FF333399"/>
      </patternFill>
    </fill>
    <fill>
      <patternFill patternType="solid">
        <fgColor theme="7" tint="0.39997558519241921"/>
        <bgColor rgb="FF333333"/>
      </patternFill>
    </fill>
    <fill>
      <patternFill patternType="solid">
        <fgColor rgb="FFD6DCE4"/>
        <bgColor rgb="FFD9D9D9"/>
      </patternFill>
    </fill>
    <fill>
      <patternFill patternType="solid">
        <fgColor rgb="FF2E75B6"/>
        <bgColor rgb="FF4472C4"/>
      </patternFill>
    </fill>
    <fill>
      <patternFill patternType="solid">
        <fgColor theme="7" tint="0.39997558519241921"/>
        <bgColor rgb="FF333399"/>
      </patternFill>
    </fill>
    <fill>
      <patternFill patternType="solid">
        <fgColor theme="7" tint="0.79998168889431442"/>
        <bgColor rgb="FF333399"/>
      </patternFill>
    </fill>
    <fill>
      <patternFill patternType="solid">
        <fgColor theme="8" tint="0.59999389629810485"/>
        <bgColor rgb="FF4472C4"/>
      </patternFill>
    </fill>
    <fill>
      <patternFill patternType="solid">
        <fgColor theme="7" tint="0.79998168889431442"/>
        <bgColor rgb="FF333333"/>
      </patternFill>
    </fill>
    <fill>
      <patternFill patternType="solid">
        <fgColor rgb="FF92D050"/>
        <bgColor rgb="FFC0C0C0"/>
      </patternFill>
    </fill>
    <fill>
      <patternFill patternType="solid">
        <fgColor theme="5" tint="0.39997558519241921"/>
        <bgColor rgb="FF333399"/>
      </patternFill>
    </fill>
    <fill>
      <patternFill patternType="solid">
        <fgColor theme="5" tint="-0.249977111117893"/>
        <bgColor rgb="FF333399"/>
      </patternFill>
    </fill>
    <fill>
      <patternFill patternType="solid">
        <fgColor rgb="FFD6DCE4"/>
        <bgColor rgb="FFD9E1F2"/>
      </patternFill>
    </fill>
    <fill>
      <patternFill patternType="solid">
        <fgColor rgb="FFD9E1F2"/>
        <bgColor rgb="FFD6DCE4"/>
      </patternFill>
    </fill>
    <fill>
      <patternFill patternType="solid">
        <fgColor rgb="FFFFF2CC"/>
        <bgColor rgb="FFFCE4D6"/>
      </patternFill>
    </fill>
    <fill>
      <patternFill patternType="solid">
        <fgColor rgb="FFE2EFDA"/>
        <bgColor rgb="FFD9E1F2"/>
      </patternFill>
    </fill>
    <fill>
      <patternFill patternType="solid">
        <fgColor theme="4"/>
        <bgColor rgb="FF333399"/>
      </patternFill>
    </fill>
    <fill>
      <patternFill patternType="solid">
        <fgColor theme="7" tint="0.39997558519241921"/>
        <bgColor rgb="FF0066CC"/>
      </patternFill>
    </fill>
    <fill>
      <patternFill patternType="solid">
        <fgColor theme="7" tint="0.39997558519241921"/>
        <bgColor rgb="FF4472C4"/>
      </patternFill>
    </fill>
    <fill>
      <patternFill patternType="solid">
        <fgColor theme="8" tint="-0.499984740745262"/>
        <bgColor indexed="64"/>
      </patternFill>
    </fill>
    <fill>
      <patternFill patternType="solid">
        <fgColor theme="5" tint="-0.249977111117893"/>
        <bgColor rgb="FF0066CC"/>
      </patternFill>
    </fill>
    <fill>
      <patternFill patternType="solid">
        <fgColor theme="0"/>
        <bgColor rgb="FFD9E1F2"/>
      </patternFill>
    </fill>
    <fill>
      <patternFill patternType="solid">
        <fgColor theme="7" tint="0.39997558519241921"/>
        <bgColor rgb="FFFCE4D6"/>
      </patternFill>
    </fill>
    <fill>
      <patternFill patternType="solid">
        <fgColor rgb="FFF18377"/>
        <bgColor rgb="FFFFF2CC"/>
      </patternFill>
    </fill>
    <fill>
      <patternFill patternType="solid">
        <fgColor theme="5" tint="-0.249977111117893"/>
        <bgColor rgb="FFE2EFDA"/>
      </patternFill>
    </fill>
    <fill>
      <patternFill patternType="solid">
        <fgColor theme="5" tint="-0.249977111117893"/>
        <bgColor rgb="FF99CCFF"/>
      </patternFill>
    </fill>
    <fill>
      <patternFill patternType="solid">
        <fgColor theme="7" tint="0.39997558519241921"/>
        <bgColor rgb="FF99CCFF"/>
      </patternFill>
    </fill>
    <fill>
      <patternFill patternType="solid">
        <fgColor theme="7" tint="0.79998168889431442"/>
        <bgColor rgb="FFF2F2F2"/>
      </patternFill>
    </fill>
    <fill>
      <patternFill patternType="solid">
        <fgColor theme="0"/>
        <bgColor rgb="FFE2EFDA"/>
      </patternFill>
    </fill>
    <fill>
      <patternFill patternType="solid">
        <fgColor theme="7" tint="0.79998168889431442"/>
        <bgColor rgb="FFDEEAF1"/>
      </patternFill>
    </fill>
    <fill>
      <patternFill patternType="solid">
        <fgColor theme="0"/>
        <bgColor rgb="FF99CCFF"/>
      </patternFill>
    </fill>
    <fill>
      <patternFill patternType="solid">
        <fgColor theme="7" tint="0.79998168889431442"/>
        <bgColor rgb="FFFFFF00"/>
      </patternFill>
    </fill>
    <fill>
      <patternFill patternType="solid">
        <fgColor theme="5"/>
        <bgColor indexed="64"/>
      </patternFill>
    </fill>
    <fill>
      <patternFill patternType="solid">
        <fgColor theme="4" tint="-0.249977111117893"/>
        <bgColor indexed="64"/>
      </patternFill>
    </fill>
    <fill>
      <patternFill patternType="solid">
        <fgColor theme="7" tint="0.79998168889431442"/>
        <bgColor rgb="FFFFFFCC"/>
      </patternFill>
    </fill>
    <fill>
      <patternFill patternType="solid">
        <fgColor theme="0"/>
        <bgColor rgb="FFFFCC99"/>
      </patternFill>
    </fill>
    <fill>
      <patternFill patternType="solid">
        <fgColor theme="0"/>
        <bgColor rgb="FF333333"/>
      </patternFill>
    </fill>
    <fill>
      <patternFill patternType="solid">
        <fgColor theme="8" tint="-0.499984740745262"/>
        <bgColor rgb="FFFFFFFF"/>
      </patternFill>
    </fill>
    <fill>
      <patternFill patternType="solid">
        <fgColor theme="4" tint="-0.249977111117893"/>
        <bgColor rgb="FF000000"/>
      </patternFill>
    </fill>
    <fill>
      <patternFill patternType="solid">
        <fgColor theme="0"/>
        <bgColor rgb="FF000000"/>
      </patternFill>
    </fill>
    <fill>
      <patternFill patternType="solid">
        <fgColor theme="7" tint="0.79998168889431442"/>
        <bgColor rgb="FFD9E1F2"/>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medium">
        <color rgb="FFDBE4F0"/>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rgb="FFAAAAAA"/>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diagonal/>
    </border>
    <border>
      <left style="thin">
        <color rgb="FFAAAAAA"/>
      </left>
      <right style="thin">
        <color rgb="FFAAAAAA"/>
      </right>
      <top/>
      <bottom style="thin">
        <color rgb="FFAAAAAA"/>
      </bottom>
      <diagonal/>
    </border>
    <border>
      <left/>
      <right/>
      <top style="thin">
        <color rgb="FFAAAAAA"/>
      </top>
      <bottom style="thin">
        <color rgb="FFAAAAAA"/>
      </bottom>
      <diagonal/>
    </border>
    <border>
      <left/>
      <right style="thin">
        <color rgb="FFAAAAAA"/>
      </right>
      <top style="thin">
        <color rgb="FFAAAAAA"/>
      </top>
      <bottom/>
      <diagonal/>
    </border>
    <border>
      <left style="thin">
        <color rgb="FFAAAAAA"/>
      </left>
      <right style="thin">
        <color rgb="FFAAAAAA"/>
      </right>
      <top style="thin">
        <color rgb="FFAAAAAA"/>
      </top>
      <bottom/>
      <diagonal/>
    </border>
    <border>
      <left/>
      <right/>
      <top style="thin">
        <color rgb="FFAAAAAA"/>
      </top>
      <bottom/>
      <diagonal/>
    </border>
    <border>
      <left style="thin">
        <color auto="1"/>
      </left>
      <right/>
      <top style="thin">
        <color auto="1"/>
      </top>
      <bottom style="thin">
        <color auto="1"/>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9" fontId="1" fillId="0" borderId="0" applyFont="0" applyFill="0" applyBorder="0" applyAlignment="0" applyProtection="0"/>
    <xf numFmtId="0" fontId="9" fillId="0" borderId="0" applyNumberFormat="0" applyFill="0" applyBorder="0" applyAlignment="0" applyProtection="0"/>
  </cellStyleXfs>
  <cellXfs count="412">
    <xf numFmtId="0" fontId="0" fillId="0" borderId="0" xfId="0"/>
    <xf numFmtId="0" fontId="2" fillId="0" borderId="1" xfId="0" applyFont="1" applyBorder="1"/>
    <xf numFmtId="15" fontId="0" fillId="0" borderId="1" xfId="0" applyNumberFormat="1" applyBorder="1"/>
    <xf numFmtId="0" fontId="0" fillId="0" borderId="1" xfId="0" applyBorder="1"/>
    <xf numFmtId="0" fontId="2" fillId="0" borderId="0" xfId="0" applyFont="1"/>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2" fillId="2" borderId="0" xfId="0" applyFont="1" applyFill="1"/>
    <xf numFmtId="9" fontId="0" fillId="0" borderId="0" xfId="0" applyNumberFormat="1" applyAlignment="1">
      <alignment vertical="center" wrapText="1"/>
    </xf>
    <xf numFmtId="10" fontId="0" fillId="0" borderId="0" xfId="0" applyNumberFormat="1" applyAlignment="1">
      <alignment vertical="center" wrapText="1"/>
    </xf>
    <xf numFmtId="165" fontId="0" fillId="0" borderId="0" xfId="0" applyNumberFormat="1"/>
    <xf numFmtId="10" fontId="0" fillId="0" borderId="0" xfId="0" applyNumberFormat="1"/>
    <xf numFmtId="165" fontId="2" fillId="2" borderId="0" xfId="0" applyNumberFormat="1" applyFont="1" applyFill="1"/>
    <xf numFmtId="0" fontId="4" fillId="3" borderId="2" xfId="0" applyFont="1" applyFill="1" applyBorder="1" applyAlignment="1">
      <alignment horizontal="right" vertical="center" wrapText="1"/>
    </xf>
    <xf numFmtId="1" fontId="2" fillId="0" borderId="0" xfId="0" applyNumberFormat="1" applyFont="1" applyAlignment="1">
      <alignment vertical="center" wrapText="1"/>
    </xf>
    <xf numFmtId="0" fontId="5" fillId="0" borderId="3" xfId="0" applyFont="1" applyBorder="1" applyAlignment="1">
      <alignment horizontal="center" vertical="center" wrapText="1"/>
    </xf>
    <xf numFmtId="0" fontId="6" fillId="0" borderId="3" xfId="0" applyFont="1" applyBorder="1" applyAlignment="1">
      <alignment wrapText="1"/>
    </xf>
    <xf numFmtId="0" fontId="0" fillId="0" borderId="3" xfId="0" applyBorder="1" applyAlignment="1">
      <alignment wrapText="1"/>
    </xf>
    <xf numFmtId="4" fontId="6" fillId="0" borderId="3" xfId="0" applyNumberFormat="1" applyFont="1" applyBorder="1" applyAlignment="1">
      <alignment wrapText="1"/>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8" fillId="5" borderId="1" xfId="0" applyFont="1" applyFill="1" applyBorder="1" applyAlignment="1">
      <alignment vertical="center" wrapText="1"/>
    </xf>
    <xf numFmtId="0" fontId="0" fillId="0" borderId="1" xfId="0" applyBorder="1" applyAlignment="1">
      <alignment vertical="center"/>
    </xf>
    <xf numFmtId="0" fontId="0" fillId="0" borderId="1" xfId="0" applyBorder="1" applyAlignment="1">
      <alignment horizontal="center"/>
    </xf>
    <xf numFmtId="0" fontId="0" fillId="0" borderId="1" xfId="0" applyBorder="1" applyAlignment="1">
      <alignment wrapText="1"/>
    </xf>
    <xf numFmtId="10" fontId="0" fillId="0" borderId="1" xfId="0" applyNumberFormat="1" applyBorder="1" applyAlignment="1">
      <alignment horizontal="center"/>
    </xf>
    <xf numFmtId="0" fontId="0" fillId="0" borderId="1" xfId="0" applyBorder="1" applyAlignment="1">
      <alignment horizontal="center" vertical="center"/>
    </xf>
    <xf numFmtId="0" fontId="9" fillId="0" borderId="1" xfId="2" applyBorder="1" applyAlignment="1">
      <alignment wrapText="1"/>
    </xf>
    <xf numFmtId="0" fontId="9" fillId="0" borderId="1" xfId="2" applyBorder="1" applyAlignment="1">
      <alignment horizontal="left" vertical="center"/>
    </xf>
    <xf numFmtId="0" fontId="0" fillId="0" borderId="0" xfId="0" applyAlignment="1">
      <alignment wrapText="1"/>
    </xf>
    <xf numFmtId="0" fontId="0" fillId="0" borderId="0" xfId="0" applyAlignment="1">
      <alignment vertical="top" wrapText="1"/>
    </xf>
    <xf numFmtId="0" fontId="0" fillId="8" borderId="1" xfId="0" applyFill="1" applyBorder="1" applyAlignment="1">
      <alignment vertical="center" wrapText="1"/>
    </xf>
    <xf numFmtId="0" fontId="0" fillId="8" borderId="1" xfId="0" applyFill="1" applyBorder="1" applyAlignment="1">
      <alignment horizontal="left" vertical="top" wrapText="1"/>
    </xf>
    <xf numFmtId="0" fontId="2" fillId="8" borderId="1" xfId="0" applyFont="1" applyFill="1" applyBorder="1" applyAlignment="1">
      <alignment vertical="center" wrapText="1"/>
    </xf>
    <xf numFmtId="0" fontId="0" fillId="8" borderId="1" xfId="0" applyFill="1" applyBorder="1" applyAlignment="1">
      <alignment wrapText="1"/>
    </xf>
    <xf numFmtId="0" fontId="2" fillId="8" borderId="1" xfId="0" applyFont="1" applyFill="1" applyBorder="1"/>
    <xf numFmtId="0" fontId="2" fillId="6" borderId="1" xfId="0" applyFont="1" applyFill="1" applyBorder="1" applyAlignment="1">
      <alignment horizontal="center" vertical="center" wrapText="1"/>
    </xf>
    <xf numFmtId="0" fontId="2" fillId="6" borderId="1" xfId="0" applyFont="1" applyFill="1" applyBorder="1"/>
    <xf numFmtId="0" fontId="2" fillId="6" borderId="1" xfId="0" applyFont="1" applyFill="1" applyBorder="1" applyAlignment="1">
      <alignment wrapText="1"/>
    </xf>
    <xf numFmtId="0" fontId="0" fillId="0" borderId="0" xfId="0"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10" fontId="12" fillId="0" borderId="0" xfId="0" applyNumberFormat="1" applyFont="1" applyAlignment="1">
      <alignment horizontal="left" vertical="center" wrapText="1"/>
    </xf>
    <xf numFmtId="0" fontId="6" fillId="0" borderId="1" xfId="0" applyFont="1" applyBorder="1" applyAlignment="1">
      <alignment wrapText="1"/>
    </xf>
    <xf numFmtId="4" fontId="6" fillId="0" borderId="1" xfId="0" applyNumberFormat="1" applyFont="1" applyBorder="1" applyAlignment="1">
      <alignment wrapText="1"/>
    </xf>
    <xf numFmtId="0" fontId="5" fillId="0" borderId="1" xfId="0" applyFont="1" applyBorder="1" applyAlignment="1">
      <alignment wrapText="1"/>
    </xf>
    <xf numFmtId="4" fontId="5" fillId="0" borderId="1" xfId="0" applyNumberFormat="1" applyFont="1" applyBorder="1" applyAlignment="1">
      <alignment wrapText="1"/>
    </xf>
    <xf numFmtId="0" fontId="13" fillId="0" borderId="0" xfId="0" applyFont="1" applyAlignment="1">
      <alignment horizontal="left" vertical="center" wrapText="1"/>
    </xf>
    <xf numFmtId="0" fontId="14" fillId="0" borderId="0" xfId="0" applyFont="1"/>
    <xf numFmtId="0" fontId="14" fillId="0" borderId="0" xfId="0" applyFont="1" applyAlignment="1">
      <alignment wrapText="1"/>
    </xf>
    <xf numFmtId="0" fontId="15" fillId="0" borderId="0" xfId="0" applyFont="1" applyAlignment="1">
      <alignment horizontal="left" vertical="center" wrapText="1"/>
    </xf>
    <xf numFmtId="0" fontId="14" fillId="0" borderId="0" xfId="0" applyFont="1" applyAlignment="1">
      <alignment horizontal="left" vertical="center" wrapText="1"/>
    </xf>
    <xf numFmtId="164" fontId="15" fillId="0" borderId="0" xfId="0" applyNumberFormat="1" applyFont="1" applyAlignment="1">
      <alignment horizontal="left" vertical="center" wrapText="1"/>
    </xf>
    <xf numFmtId="10" fontId="15" fillId="0" borderId="0" xfId="0" applyNumberFormat="1" applyFont="1" applyAlignment="1">
      <alignment horizontal="left" vertical="center" wrapText="1"/>
    </xf>
    <xf numFmtId="0" fontId="6" fillId="0" borderId="6" xfId="0" applyFont="1" applyBorder="1" applyAlignment="1">
      <alignment wrapText="1"/>
    </xf>
    <xf numFmtId="0" fontId="16" fillId="0" borderId="0" xfId="0" applyFont="1"/>
    <xf numFmtId="0" fontId="17" fillId="10" borderId="0" xfId="0" applyFont="1" applyFill="1" applyAlignment="1">
      <alignment horizontal="center" vertical="center" wrapText="1"/>
    </xf>
    <xf numFmtId="0" fontId="18" fillId="0" borderId="0" xfId="0" applyFont="1" applyAlignment="1">
      <alignment horizontal="left" vertical="center"/>
    </xf>
    <xf numFmtId="0" fontId="22" fillId="0" borderId="0" xfId="0" applyFont="1" applyAlignment="1">
      <alignment horizontal="right" vertical="center"/>
    </xf>
    <xf numFmtId="0" fontId="16" fillId="0" borderId="1" xfId="0" applyFont="1" applyBorder="1"/>
    <xf numFmtId="0" fontId="16"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9" fillId="0" borderId="1" xfId="0" applyFont="1" applyBorder="1"/>
    <xf numFmtId="0" fontId="30" fillId="0" borderId="0" xfId="0" applyFont="1"/>
    <xf numFmtId="0" fontId="31" fillId="0" borderId="0" xfId="0" applyFont="1" applyAlignment="1">
      <alignment horizontal="center" vertical="center" wrapText="1"/>
    </xf>
    <xf numFmtId="0" fontId="31" fillId="12" borderId="0" xfId="0" applyFont="1" applyFill="1" applyAlignment="1">
      <alignment horizontal="center" vertical="center" wrapText="1"/>
    </xf>
    <xf numFmtId="0" fontId="32" fillId="13" borderId="0" xfId="0" applyFont="1" applyFill="1" applyAlignment="1">
      <alignment horizontal="center" vertical="center" wrapText="1"/>
    </xf>
    <xf numFmtId="0" fontId="33" fillId="0" borderId="0" xfId="0" applyFont="1"/>
    <xf numFmtId="0" fontId="33" fillId="0" borderId="0" xfId="0" applyFont="1" applyAlignment="1">
      <alignment horizontal="right" vertical="center"/>
    </xf>
    <xf numFmtId="0" fontId="35" fillId="9" borderId="0" xfId="0" applyFont="1" applyFill="1" applyAlignment="1">
      <alignment horizontal="center" vertical="center" wrapText="1"/>
    </xf>
    <xf numFmtId="0" fontId="28" fillId="16" borderId="0" xfId="0" applyFont="1" applyFill="1" applyAlignment="1">
      <alignment horizontal="center" vertical="center" wrapText="1"/>
    </xf>
    <xf numFmtId="0" fontId="21" fillId="17" borderId="0" xfId="0" applyFont="1" applyFill="1" applyAlignment="1">
      <alignment horizontal="left" vertical="center"/>
    </xf>
    <xf numFmtId="0" fontId="35" fillId="9" borderId="1" xfId="0" applyFont="1" applyFill="1" applyBorder="1" applyAlignment="1">
      <alignment horizontal="center" vertical="center" wrapText="1"/>
    </xf>
    <xf numFmtId="0" fontId="36" fillId="0" borderId="1" xfId="0" applyFont="1" applyBorder="1" applyAlignment="1">
      <alignment horizontal="left" vertical="center"/>
    </xf>
    <xf numFmtId="4" fontId="36" fillId="0" borderId="1" xfId="0" applyNumberFormat="1" applyFont="1" applyBorder="1" applyAlignment="1">
      <alignment horizontal="right" vertical="center"/>
    </xf>
    <xf numFmtId="0" fontId="37" fillId="0" borderId="1" xfId="0" applyFont="1" applyBorder="1" applyAlignment="1">
      <alignment horizontal="left" vertical="center"/>
    </xf>
    <xf numFmtId="4" fontId="37" fillId="0" borderId="1" xfId="0" applyNumberFormat="1" applyFont="1" applyBorder="1" applyAlignment="1">
      <alignment horizontal="right" vertical="center"/>
    </xf>
    <xf numFmtId="10" fontId="31" fillId="0" borderId="1" xfId="0" applyNumberFormat="1" applyFont="1" applyBorder="1" applyAlignment="1">
      <alignment horizontal="right" vertical="center"/>
    </xf>
    <xf numFmtId="0" fontId="34" fillId="9" borderId="1" xfId="0" applyFont="1" applyFill="1" applyBorder="1" applyAlignment="1">
      <alignment horizontal="left" vertical="center"/>
    </xf>
    <xf numFmtId="9" fontId="31" fillId="0" borderId="1" xfId="0" applyNumberFormat="1" applyFont="1" applyBorder="1" applyAlignment="1">
      <alignment horizontal="right" vertical="center"/>
    </xf>
    <xf numFmtId="0" fontId="38" fillId="18" borderId="0" xfId="0" applyFont="1" applyFill="1"/>
    <xf numFmtId="0" fontId="31" fillId="19" borderId="0" xfId="0" applyFont="1" applyFill="1" applyAlignment="1">
      <alignment horizontal="center" vertical="center" wrapText="1"/>
    </xf>
    <xf numFmtId="4" fontId="36" fillId="20" borderId="1" xfId="0" applyNumberFormat="1" applyFont="1" applyFill="1" applyBorder="1" applyAlignment="1">
      <alignment horizontal="right" vertical="center"/>
    </xf>
    <xf numFmtId="4" fontId="37" fillId="20" borderId="1" xfId="0" applyNumberFormat="1" applyFont="1" applyFill="1" applyBorder="1" applyAlignment="1">
      <alignment horizontal="right" vertical="center"/>
    </xf>
    <xf numFmtId="0" fontId="0" fillId="19" borderId="1" xfId="0" applyFill="1" applyBorder="1"/>
    <xf numFmtId="10" fontId="36" fillId="20" borderId="1" xfId="0" applyNumberFormat="1" applyFont="1" applyFill="1" applyBorder="1" applyAlignment="1">
      <alignment horizontal="right" vertical="center"/>
    </xf>
    <xf numFmtId="9" fontId="36" fillId="20" borderId="1" xfId="0" applyNumberFormat="1" applyFont="1" applyFill="1" applyBorder="1" applyAlignment="1">
      <alignment horizontal="right" vertical="center"/>
    </xf>
    <xf numFmtId="0" fontId="35" fillId="15" borderId="1" xfId="0" applyFont="1" applyFill="1" applyBorder="1" applyAlignment="1">
      <alignment horizontal="center" vertical="center" wrapText="1"/>
    </xf>
    <xf numFmtId="4" fontId="31" fillId="0" borderId="1" xfId="0" applyNumberFormat="1" applyFont="1" applyBorder="1" applyAlignment="1">
      <alignment horizontal="right" vertical="center"/>
    </xf>
    <xf numFmtId="4" fontId="36" fillId="12" borderId="1" xfId="0" applyNumberFormat="1" applyFont="1" applyFill="1" applyBorder="1" applyAlignment="1">
      <alignment horizontal="right" vertical="center"/>
    </xf>
    <xf numFmtId="4" fontId="31" fillId="12" borderId="1" xfId="0" applyNumberFormat="1" applyFont="1" applyFill="1" applyBorder="1" applyAlignment="1">
      <alignment horizontal="right" vertical="center"/>
    </xf>
    <xf numFmtId="4" fontId="37" fillId="12" borderId="1" xfId="0" applyNumberFormat="1" applyFont="1" applyFill="1" applyBorder="1" applyAlignment="1">
      <alignment horizontal="right" vertical="center"/>
    </xf>
    <xf numFmtId="4" fontId="26" fillId="19" borderId="1" xfId="0" applyNumberFormat="1" applyFont="1" applyFill="1" applyBorder="1" applyAlignment="1">
      <alignment horizontal="right" vertical="center"/>
    </xf>
    <xf numFmtId="167" fontId="22" fillId="20" borderId="1" xfId="0" applyNumberFormat="1" applyFont="1" applyFill="1" applyBorder="1" applyAlignment="1">
      <alignment horizontal="right" vertical="center"/>
    </xf>
    <xf numFmtId="4" fontId="26" fillId="19" borderId="7" xfId="0" applyNumberFormat="1" applyFont="1" applyFill="1" applyBorder="1" applyAlignment="1">
      <alignment horizontal="right" vertical="center"/>
    </xf>
    <xf numFmtId="167" fontId="22" fillId="20" borderId="7" xfId="0" applyNumberFormat="1" applyFont="1" applyFill="1" applyBorder="1" applyAlignment="1">
      <alignment horizontal="right" vertical="center"/>
    </xf>
    <xf numFmtId="0" fontId="0" fillId="19" borderId="7" xfId="0" applyFill="1" applyBorder="1"/>
    <xf numFmtId="0" fontId="23" fillId="16" borderId="1" xfId="0" applyFont="1" applyFill="1" applyBorder="1" applyAlignment="1">
      <alignment horizontal="center" vertical="center" wrapText="1"/>
    </xf>
    <xf numFmtId="0" fontId="24" fillId="16" borderId="1" xfId="0" applyFont="1" applyFill="1" applyBorder="1" applyAlignment="1">
      <alignment horizontal="center" vertical="center" wrapText="1"/>
    </xf>
    <xf numFmtId="0" fontId="16" fillId="0" borderId="1" xfId="0" applyFont="1" applyBorder="1" applyAlignment="1">
      <alignment horizontal="left" vertical="center"/>
    </xf>
    <xf numFmtId="4" fontId="25" fillId="0" borderId="1" xfId="0" applyNumberFormat="1" applyFont="1" applyBorder="1" applyAlignment="1">
      <alignment horizontal="right" vertical="center"/>
    </xf>
    <xf numFmtId="0" fontId="27" fillId="11" borderId="1" xfId="0" applyFont="1" applyFill="1" applyBorder="1" applyAlignment="1">
      <alignment horizontal="left" vertical="center"/>
    </xf>
    <xf numFmtId="167" fontId="22" fillId="11" borderId="1" xfId="0" applyNumberFormat="1" applyFont="1" applyFill="1" applyBorder="1" applyAlignment="1">
      <alignment horizontal="right" vertical="center"/>
    </xf>
    <xf numFmtId="0" fontId="23" fillId="21" borderId="1" xfId="0" applyFont="1" applyFill="1" applyBorder="1" applyAlignment="1">
      <alignment horizontal="center" vertical="center" wrapText="1"/>
    </xf>
    <xf numFmtId="0" fontId="24" fillId="22" borderId="1" xfId="0" applyFont="1" applyFill="1" applyBorder="1" applyAlignment="1">
      <alignment horizontal="center" vertical="center" wrapText="1"/>
    </xf>
    <xf numFmtId="166" fontId="22" fillId="11" borderId="1" xfId="0" applyNumberFormat="1" applyFont="1" applyFill="1" applyBorder="1" applyAlignment="1">
      <alignment horizontal="right" vertical="center"/>
    </xf>
    <xf numFmtId="166" fontId="22" fillId="20" borderId="1" xfId="0" applyNumberFormat="1" applyFont="1" applyFill="1" applyBorder="1" applyAlignment="1">
      <alignment horizontal="right" vertical="center"/>
    </xf>
    <xf numFmtId="168" fontId="22" fillId="11" borderId="1" xfId="0" applyNumberFormat="1" applyFont="1" applyFill="1" applyBorder="1" applyAlignment="1">
      <alignment horizontal="right" vertical="center"/>
    </xf>
    <xf numFmtId="168" fontId="22" fillId="20" borderId="1" xfId="0" applyNumberFormat="1" applyFont="1" applyFill="1" applyBorder="1" applyAlignment="1">
      <alignment horizontal="right" vertical="center"/>
    </xf>
    <xf numFmtId="4" fontId="22" fillId="11" borderId="1" xfId="0" applyNumberFormat="1" applyFont="1" applyFill="1" applyBorder="1" applyAlignment="1">
      <alignment horizontal="right" vertical="center"/>
    </xf>
    <xf numFmtId="4" fontId="22" fillId="20" borderId="1" xfId="0" applyNumberFormat="1" applyFont="1" applyFill="1" applyBorder="1" applyAlignment="1">
      <alignment horizontal="right" vertical="center"/>
    </xf>
    <xf numFmtId="4" fontId="31" fillId="20" borderId="1" xfId="0" applyNumberFormat="1" applyFont="1" applyFill="1" applyBorder="1" applyAlignment="1">
      <alignment horizontal="right" vertical="center"/>
    </xf>
    <xf numFmtId="0" fontId="39" fillId="7" borderId="0" xfId="0" applyFont="1" applyFill="1" applyAlignment="1">
      <alignment horizontal="left" vertical="center" wrapText="1"/>
    </xf>
    <xf numFmtId="0" fontId="24" fillId="23" borderId="0" xfId="0" applyFont="1" applyFill="1" applyAlignment="1">
      <alignment horizontal="left" vertical="center"/>
    </xf>
    <xf numFmtId="0" fontId="23" fillId="23" borderId="0" xfId="0" applyFont="1" applyFill="1" applyAlignment="1">
      <alignment horizontal="center" vertical="center" wrapText="1"/>
    </xf>
    <xf numFmtId="0" fontId="23" fillId="15" borderId="0" xfId="0" applyFont="1" applyFill="1" applyAlignment="1">
      <alignment horizontal="center" vertical="center" wrapText="1"/>
    </xf>
    <xf numFmtId="0" fontId="23" fillId="23" borderId="1" xfId="0" applyFont="1" applyFill="1" applyBorder="1" applyAlignment="1">
      <alignment horizontal="left" vertical="center"/>
    </xf>
    <xf numFmtId="4" fontId="41" fillId="0" borderId="1" xfId="0" applyNumberFormat="1" applyFont="1" applyBorder="1" applyAlignment="1">
      <alignment horizontal="right" vertical="center"/>
    </xf>
    <xf numFmtId="0" fontId="41" fillId="0" borderId="1" xfId="0" applyFont="1" applyBorder="1" applyAlignment="1">
      <alignment horizontal="left" vertical="center"/>
    </xf>
    <xf numFmtId="4" fontId="26" fillId="0" borderId="1" xfId="0" applyNumberFormat="1" applyFont="1" applyBorder="1" applyAlignment="1">
      <alignment horizontal="right" vertical="center"/>
    </xf>
    <xf numFmtId="9" fontId="41" fillId="0" borderId="1" xfId="0" applyNumberFormat="1" applyFont="1" applyBorder="1" applyAlignment="1">
      <alignment horizontal="right" vertical="center"/>
    </xf>
    <xf numFmtId="9" fontId="20" fillId="12" borderId="1" xfId="0" applyNumberFormat="1" applyFont="1" applyFill="1" applyBorder="1" applyAlignment="1">
      <alignment horizontal="right" vertical="center"/>
    </xf>
    <xf numFmtId="4" fontId="23" fillId="23" borderId="1" xfId="0" applyNumberFormat="1" applyFont="1" applyFill="1" applyBorder="1" applyAlignment="1">
      <alignment horizontal="right" vertical="center"/>
    </xf>
    <xf numFmtId="4" fontId="23" fillId="15" borderId="1" xfId="0" applyNumberFormat="1" applyFont="1" applyFill="1" applyBorder="1" applyAlignment="1">
      <alignment horizontal="right" vertical="center"/>
    </xf>
    <xf numFmtId="9" fontId="41" fillId="19" borderId="1" xfId="0" applyNumberFormat="1" applyFont="1" applyFill="1" applyBorder="1" applyAlignment="1">
      <alignment horizontal="right" vertical="center"/>
    </xf>
    <xf numFmtId="0" fontId="43" fillId="24" borderId="1" xfId="0" applyFont="1" applyFill="1" applyBorder="1" applyAlignment="1">
      <alignment horizontal="left" vertical="center"/>
    </xf>
    <xf numFmtId="0" fontId="28" fillId="25" borderId="0" xfId="0" applyFont="1" applyFill="1" applyAlignment="1">
      <alignment horizontal="left" vertical="center"/>
    </xf>
    <xf numFmtId="0" fontId="23" fillId="26" borderId="1" xfId="0" applyFont="1" applyFill="1" applyBorder="1" applyAlignment="1">
      <alignment horizontal="center" vertical="center" wrapText="1"/>
    </xf>
    <xf numFmtId="0" fontId="2" fillId="19" borderId="1" xfId="0" applyFont="1" applyFill="1" applyBorder="1"/>
    <xf numFmtId="10" fontId="0" fillId="0" borderId="1" xfId="0" applyNumberFormat="1" applyBorder="1"/>
    <xf numFmtId="4" fontId="0" fillId="0" borderId="1" xfId="0" applyNumberFormat="1" applyBorder="1"/>
    <xf numFmtId="169" fontId="0" fillId="0" borderId="1" xfId="0" applyNumberFormat="1" applyBorder="1"/>
    <xf numFmtId="0" fontId="35" fillId="23" borderId="1" xfId="0" applyFont="1" applyFill="1" applyBorder="1" applyAlignment="1">
      <alignment horizontal="left" vertical="center"/>
    </xf>
    <xf numFmtId="0" fontId="34" fillId="23" borderId="1" xfId="0" applyFont="1" applyFill="1" applyBorder="1" applyAlignment="1">
      <alignment horizontal="center" vertical="center" wrapText="1"/>
    </xf>
    <xf numFmtId="0" fontId="35" fillId="23" borderId="1" xfId="0" applyFont="1" applyFill="1" applyBorder="1" applyAlignment="1">
      <alignment horizontal="center" vertical="center" wrapText="1"/>
    </xf>
    <xf numFmtId="0" fontId="43" fillId="30" borderId="1" xfId="0" applyFont="1" applyFill="1" applyBorder="1" applyAlignment="1">
      <alignment horizontal="left" vertical="center"/>
    </xf>
    <xf numFmtId="4" fontId="43" fillId="30" borderId="1" xfId="0" applyNumberFormat="1" applyFont="1" applyFill="1" applyBorder="1" applyAlignment="1">
      <alignment horizontal="right" vertical="center"/>
    </xf>
    <xf numFmtId="0" fontId="43" fillId="30" borderId="11" xfId="0" applyFont="1" applyFill="1" applyBorder="1" applyAlignment="1">
      <alignment horizontal="left" vertical="center"/>
    </xf>
    <xf numFmtId="4" fontId="43" fillId="30" borderId="11" xfId="0" applyNumberFormat="1" applyFont="1" applyFill="1" applyBorder="1" applyAlignment="1">
      <alignment horizontal="right" vertical="center"/>
    </xf>
    <xf numFmtId="0" fontId="34" fillId="29" borderId="1" xfId="0" applyFont="1" applyFill="1" applyBorder="1" applyAlignment="1">
      <alignment horizontal="left" vertical="center"/>
    </xf>
    <xf numFmtId="4" fontId="34" fillId="29" borderId="1" xfId="0" applyNumberFormat="1" applyFont="1" applyFill="1" applyBorder="1" applyAlignment="1">
      <alignment horizontal="right" vertical="center"/>
    </xf>
    <xf numFmtId="168" fontId="0" fillId="0" borderId="0" xfId="0" applyNumberFormat="1"/>
    <xf numFmtId="168" fontId="43" fillId="12" borderId="9" xfId="0" applyNumberFormat="1" applyFont="1" applyFill="1" applyBorder="1" applyAlignment="1">
      <alignment horizontal="right" vertical="center"/>
    </xf>
    <xf numFmtId="0" fontId="43" fillId="32" borderId="11" xfId="0" applyFont="1" applyFill="1" applyBorder="1" applyAlignment="1">
      <alignment horizontal="left" vertical="center"/>
    </xf>
    <xf numFmtId="169" fontId="43" fillId="32" borderId="11" xfId="0" applyNumberFormat="1" applyFont="1" applyFill="1" applyBorder="1" applyAlignment="1">
      <alignment horizontal="right" vertical="center"/>
    </xf>
    <xf numFmtId="4" fontId="43" fillId="32" borderId="11" xfId="0" applyNumberFormat="1" applyFont="1" applyFill="1" applyBorder="1" applyAlignment="1">
      <alignment horizontal="right" vertical="center"/>
    </xf>
    <xf numFmtId="168" fontId="43" fillId="32" borderId="11" xfId="0" applyNumberFormat="1" applyFont="1" applyFill="1" applyBorder="1" applyAlignment="1">
      <alignment horizontal="right" vertical="center"/>
    </xf>
    <xf numFmtId="0" fontId="46" fillId="0" borderId="1" xfId="0" applyFont="1" applyBorder="1" applyAlignment="1">
      <alignment horizontal="left" vertical="center"/>
    </xf>
    <xf numFmtId="2" fontId="46" fillId="33" borderId="1" xfId="0" applyNumberFormat="1" applyFont="1" applyFill="1" applyBorder="1"/>
    <xf numFmtId="169" fontId="35" fillId="34" borderId="1" xfId="0" applyNumberFormat="1" applyFont="1" applyFill="1" applyBorder="1" applyAlignment="1">
      <alignment horizontal="right" vertical="center"/>
    </xf>
    <xf numFmtId="10" fontId="25" fillId="36" borderId="9" xfId="0" applyNumberFormat="1" applyFont="1" applyFill="1" applyBorder="1" applyAlignment="1">
      <alignment horizontal="right" vertical="center"/>
    </xf>
    <xf numFmtId="169" fontId="25" fillId="36" borderId="9" xfId="0" applyNumberFormat="1" applyFont="1" applyFill="1" applyBorder="1" applyAlignment="1">
      <alignment horizontal="right" vertical="center"/>
    </xf>
    <xf numFmtId="0" fontId="24" fillId="23" borderId="9" xfId="0" applyFont="1" applyFill="1" applyBorder="1" applyAlignment="1">
      <alignment horizontal="center" vertical="center" wrapText="1"/>
    </xf>
    <xf numFmtId="169" fontId="41" fillId="38" borderId="9" xfId="0" applyNumberFormat="1" applyFont="1" applyFill="1" applyBorder="1" applyAlignment="1">
      <alignment horizontal="right" vertical="center"/>
    </xf>
    <xf numFmtId="0" fontId="24" fillId="41" borderId="1" xfId="0" applyFont="1" applyFill="1" applyBorder="1" applyAlignment="1">
      <alignment horizontal="center" vertical="center" wrapText="1"/>
    </xf>
    <xf numFmtId="10" fontId="35" fillId="29" borderId="13" xfId="0" applyNumberFormat="1" applyFont="1" applyFill="1" applyBorder="1" applyAlignment="1">
      <alignment horizontal="center" vertical="center" wrapText="1"/>
    </xf>
    <xf numFmtId="10" fontId="35" fillId="29" borderId="14" xfId="0" applyNumberFormat="1" applyFont="1" applyFill="1" applyBorder="1" applyAlignment="1">
      <alignment horizontal="center" vertical="center" wrapText="1"/>
    </xf>
    <xf numFmtId="0" fontId="26" fillId="0" borderId="9" xfId="0" applyFont="1" applyBorder="1" applyAlignment="1">
      <alignment horizontal="left" vertical="center"/>
    </xf>
    <xf numFmtId="0" fontId="23" fillId="23" borderId="9" xfId="0" applyFont="1" applyFill="1" applyBorder="1" applyAlignment="1">
      <alignment horizontal="left" vertical="center"/>
    </xf>
    <xf numFmtId="3" fontId="26" fillId="37" borderId="1" xfId="0" applyNumberFormat="1" applyFont="1" applyFill="1" applyBorder="1" applyAlignment="1">
      <alignment horizontal="right" vertical="center"/>
    </xf>
    <xf numFmtId="169" fontId="26" fillId="37" borderId="1" xfId="0" applyNumberFormat="1" applyFont="1" applyFill="1" applyBorder="1" applyAlignment="1">
      <alignment horizontal="right" vertical="center"/>
    </xf>
    <xf numFmtId="10" fontId="26" fillId="37" borderId="1" xfId="0" applyNumberFormat="1" applyFont="1" applyFill="1" applyBorder="1" applyAlignment="1">
      <alignment horizontal="right" vertical="center"/>
    </xf>
    <xf numFmtId="170" fontId="26" fillId="37" borderId="1" xfId="0" applyNumberFormat="1" applyFont="1" applyFill="1" applyBorder="1" applyAlignment="1">
      <alignment horizontal="right" vertical="center"/>
    </xf>
    <xf numFmtId="169" fontId="26" fillId="45" borderId="9" xfId="0" applyNumberFormat="1" applyFont="1" applyFill="1" applyBorder="1" applyAlignment="1">
      <alignment horizontal="right" vertical="center"/>
    </xf>
    <xf numFmtId="10" fontId="26" fillId="45" borderId="9" xfId="0" applyNumberFormat="1" applyFont="1" applyFill="1" applyBorder="1" applyAlignment="1">
      <alignment horizontal="right" vertical="center"/>
    </xf>
    <xf numFmtId="3" fontId="26" fillId="45" borderId="9" xfId="0" applyNumberFormat="1" applyFont="1" applyFill="1" applyBorder="1" applyAlignment="1">
      <alignment horizontal="right" vertical="center"/>
    </xf>
    <xf numFmtId="170" fontId="26" fillId="45" borderId="9" xfId="0" applyNumberFormat="1" applyFont="1" applyFill="1" applyBorder="1" applyAlignment="1">
      <alignment horizontal="right" vertical="center"/>
    </xf>
    <xf numFmtId="0" fontId="16" fillId="45" borderId="9" xfId="0" applyFont="1" applyFill="1" applyBorder="1" applyAlignment="1">
      <alignment horizontal="right" vertical="center"/>
    </xf>
    <xf numFmtId="169" fontId="29" fillId="46" borderId="9" xfId="0" applyNumberFormat="1" applyFont="1" applyFill="1" applyBorder="1" applyAlignment="1">
      <alignment horizontal="right" vertical="center"/>
    </xf>
    <xf numFmtId="169" fontId="29" fillId="29" borderId="9" xfId="0" applyNumberFormat="1" applyFont="1" applyFill="1" applyBorder="1" applyAlignment="1">
      <alignment horizontal="right" vertical="center"/>
    </xf>
    <xf numFmtId="0" fontId="29" fillId="29" borderId="9" xfId="0" applyFont="1" applyFill="1" applyBorder="1" applyAlignment="1">
      <alignment horizontal="right" vertical="center"/>
    </xf>
    <xf numFmtId="10" fontId="24" fillId="23" borderId="1" xfId="0" applyNumberFormat="1" applyFont="1" applyFill="1" applyBorder="1" applyAlignment="1">
      <alignment horizontal="center" vertical="center" wrapText="1"/>
    </xf>
    <xf numFmtId="169" fontId="24" fillId="23" borderId="1" xfId="0" applyNumberFormat="1" applyFont="1" applyFill="1" applyBorder="1" applyAlignment="1">
      <alignment horizontal="right" vertical="center"/>
    </xf>
    <xf numFmtId="169" fontId="56" fillId="39" borderId="1" xfId="0" applyNumberFormat="1" applyFont="1" applyFill="1" applyBorder="1" applyAlignment="1">
      <alignment horizontal="right" vertical="center"/>
    </xf>
    <xf numFmtId="169" fontId="56" fillId="47" borderId="1" xfId="0" applyNumberFormat="1" applyFont="1" applyFill="1" applyBorder="1" applyAlignment="1">
      <alignment horizontal="right" vertical="center"/>
    </xf>
    <xf numFmtId="0" fontId="10" fillId="6" borderId="0" xfId="0" applyFont="1" applyFill="1"/>
    <xf numFmtId="0" fontId="23" fillId="29" borderId="9" xfId="0" applyFont="1" applyFill="1" applyBorder="1" applyAlignment="1">
      <alignment horizontal="center" vertical="center" wrapText="1"/>
    </xf>
    <xf numFmtId="0" fontId="58" fillId="51" borderId="9" xfId="0" applyFont="1" applyFill="1" applyBorder="1" applyAlignment="1">
      <alignment horizontal="left" vertical="center"/>
    </xf>
    <xf numFmtId="4" fontId="58" fillId="51" borderId="9" xfId="0" applyNumberFormat="1" applyFont="1" applyFill="1" applyBorder="1" applyAlignment="1">
      <alignment horizontal="right" vertical="center"/>
    </xf>
    <xf numFmtId="10" fontId="58" fillId="51" borderId="9" xfId="0" applyNumberFormat="1" applyFont="1" applyFill="1" applyBorder="1" applyAlignment="1">
      <alignment horizontal="right" vertical="center"/>
    </xf>
    <xf numFmtId="0" fontId="26" fillId="52" borderId="9" xfId="0" applyFont="1" applyFill="1" applyBorder="1" applyAlignment="1">
      <alignment horizontal="left" vertical="center"/>
    </xf>
    <xf numFmtId="4" fontId="26" fillId="52" borderId="9" xfId="0" applyNumberFormat="1" applyFont="1" applyFill="1" applyBorder="1" applyAlignment="1">
      <alignment horizontal="right" vertical="center"/>
    </xf>
    <xf numFmtId="10" fontId="26" fillId="52" borderId="9" xfId="0" applyNumberFormat="1" applyFont="1" applyFill="1" applyBorder="1" applyAlignment="1">
      <alignment horizontal="right" vertical="center"/>
    </xf>
    <xf numFmtId="10" fontId="25" fillId="52" borderId="9" xfId="0" applyNumberFormat="1" applyFont="1" applyFill="1" applyBorder="1" applyAlignment="1">
      <alignment horizontal="right" vertical="center"/>
    </xf>
    <xf numFmtId="165" fontId="25" fillId="52" borderId="9" xfId="0" applyNumberFormat="1" applyFont="1" applyFill="1" applyBorder="1" applyAlignment="1">
      <alignment horizontal="right" vertical="center"/>
    </xf>
    <xf numFmtId="0" fontId="41" fillId="52" borderId="9" xfId="0" applyFont="1" applyFill="1" applyBorder="1" applyAlignment="1">
      <alignment horizontal="left" vertical="center"/>
    </xf>
    <xf numFmtId="4" fontId="41" fillId="52" borderId="9" xfId="0" applyNumberFormat="1" applyFont="1" applyFill="1" applyBorder="1" applyAlignment="1">
      <alignment horizontal="right" vertical="center"/>
    </xf>
    <xf numFmtId="170" fontId="26" fillId="52" borderId="9" xfId="0" applyNumberFormat="1" applyFont="1" applyFill="1" applyBorder="1" applyAlignment="1">
      <alignment horizontal="right" vertical="center"/>
    </xf>
    <xf numFmtId="0" fontId="59" fillId="53" borderId="9" xfId="0" applyFont="1" applyFill="1" applyBorder="1" applyAlignment="1">
      <alignment horizontal="left" vertical="center"/>
    </xf>
    <xf numFmtId="4" fontId="59" fillId="53" borderId="9" xfId="0" applyNumberFormat="1" applyFont="1" applyFill="1" applyBorder="1" applyAlignment="1">
      <alignment horizontal="right" vertical="center"/>
    </xf>
    <xf numFmtId="0" fontId="34" fillId="41" borderId="1" xfId="0" applyFont="1" applyFill="1" applyBorder="1" applyAlignment="1">
      <alignment horizontal="center" vertical="center"/>
    </xf>
    <xf numFmtId="0" fontId="46" fillId="54" borderId="1" xfId="0" applyFont="1" applyFill="1" applyBorder="1" applyAlignment="1">
      <alignment horizontal="left" vertical="center"/>
    </xf>
    <xf numFmtId="4" fontId="47" fillId="54" borderId="1" xfId="0" applyNumberFormat="1" applyFont="1" applyFill="1" applyBorder="1" applyAlignment="1">
      <alignment horizontal="right" vertical="center"/>
    </xf>
    <xf numFmtId="0" fontId="46" fillId="5" borderId="1" xfId="0" applyFont="1" applyFill="1" applyBorder="1" applyAlignment="1">
      <alignment horizontal="left" vertical="center"/>
    </xf>
    <xf numFmtId="4" fontId="47" fillId="5" borderId="1" xfId="0" applyNumberFormat="1" applyFont="1" applyFill="1" applyBorder="1" applyAlignment="1">
      <alignment horizontal="right" vertical="center"/>
    </xf>
    <xf numFmtId="2" fontId="47" fillId="54" borderId="1" xfId="0" applyNumberFormat="1" applyFont="1" applyFill="1" applyBorder="1" applyAlignment="1">
      <alignment horizontal="right" vertical="center"/>
    </xf>
    <xf numFmtId="2" fontId="47" fillId="5" borderId="1" xfId="0" applyNumberFormat="1" applyFont="1" applyFill="1" applyBorder="1" applyAlignment="1">
      <alignment horizontal="right" vertical="center"/>
    </xf>
    <xf numFmtId="167" fontId="61" fillId="55" borderId="1" xfId="0" applyNumberFormat="1" applyFont="1" applyFill="1" applyBorder="1" applyAlignment="1">
      <alignment horizontal="right" vertical="center"/>
    </xf>
    <xf numFmtId="2" fontId="61" fillId="55" borderId="1" xfId="0" applyNumberFormat="1" applyFont="1" applyFill="1" applyBorder="1" applyAlignment="1">
      <alignment horizontal="right" vertical="center"/>
    </xf>
    <xf numFmtId="0" fontId="62" fillId="0" borderId="0" xfId="0" applyFont="1" applyAlignment="1">
      <alignment horizontal="left" vertical="center"/>
    </xf>
    <xf numFmtId="0" fontId="63" fillId="56" borderId="1" xfId="0" applyFont="1" applyFill="1" applyBorder="1" applyAlignment="1">
      <alignment horizontal="center" vertical="center" wrapText="1"/>
    </xf>
    <xf numFmtId="0" fontId="10" fillId="56" borderId="1" xfId="0" applyFont="1" applyFill="1" applyBorder="1"/>
    <xf numFmtId="0" fontId="63" fillId="56" borderId="3" xfId="0" applyFont="1" applyFill="1" applyBorder="1" applyAlignment="1">
      <alignment horizontal="center" vertical="center" wrapText="1"/>
    </xf>
    <xf numFmtId="0" fontId="3" fillId="57" borderId="0" xfId="0" applyFont="1" applyFill="1"/>
    <xf numFmtId="2" fontId="46" fillId="54" borderId="1" xfId="0" applyNumberFormat="1" applyFont="1" applyFill="1" applyBorder="1" applyAlignment="1">
      <alignment horizontal="right" vertical="center"/>
    </xf>
    <xf numFmtId="2" fontId="46" fillId="5" borderId="1" xfId="0" applyNumberFormat="1" applyFont="1" applyFill="1" applyBorder="1" applyAlignment="1">
      <alignment horizontal="right" vertical="center"/>
    </xf>
    <xf numFmtId="0" fontId="54" fillId="58" borderId="1" xfId="0" applyFont="1" applyFill="1" applyBorder="1" applyAlignment="1">
      <alignment horizontal="left" vertical="center"/>
    </xf>
    <xf numFmtId="2" fontId="49" fillId="58" borderId="1" xfId="0" applyNumberFormat="1" applyFont="1" applyFill="1" applyBorder="1" applyAlignment="1">
      <alignment horizontal="right" vertical="center"/>
    </xf>
    <xf numFmtId="9" fontId="34" fillId="41" borderId="1" xfId="0" applyNumberFormat="1" applyFont="1" applyFill="1" applyBorder="1" applyAlignment="1">
      <alignment horizontal="center" vertical="center"/>
    </xf>
    <xf numFmtId="9" fontId="34" fillId="59" borderId="1" xfId="0" applyNumberFormat="1" applyFont="1" applyFill="1" applyBorder="1" applyAlignment="1">
      <alignment horizontal="center" vertical="center"/>
    </xf>
    <xf numFmtId="2" fontId="46" fillId="54" borderId="1" xfId="0" applyNumberFormat="1" applyFont="1" applyFill="1" applyBorder="1"/>
    <xf numFmtId="2" fontId="46" fillId="5" borderId="1" xfId="0" applyNumberFormat="1" applyFont="1" applyFill="1" applyBorder="1"/>
    <xf numFmtId="2" fontId="65" fillId="54" borderId="1" xfId="0" applyNumberFormat="1" applyFont="1" applyFill="1" applyBorder="1"/>
    <xf numFmtId="2" fontId="65" fillId="5" borderId="1" xfId="0" applyNumberFormat="1" applyFont="1" applyFill="1" applyBorder="1"/>
    <xf numFmtId="9" fontId="43" fillId="59" borderId="1" xfId="0" applyNumberFormat="1" applyFont="1" applyFill="1" applyBorder="1" applyAlignment="1">
      <alignment horizontal="center" vertical="center"/>
    </xf>
    <xf numFmtId="0" fontId="66" fillId="0" borderId="0" xfId="0" applyFont="1"/>
    <xf numFmtId="0" fontId="34" fillId="17" borderId="9" xfId="0" applyFont="1" applyFill="1" applyBorder="1" applyAlignment="1">
      <alignment horizontal="center" vertical="center" wrapText="1"/>
    </xf>
    <xf numFmtId="0" fontId="52" fillId="26" borderId="14" xfId="0" applyFont="1" applyFill="1" applyBorder="1" applyAlignment="1">
      <alignment horizontal="center" vertical="center" wrapText="1"/>
    </xf>
    <xf numFmtId="0" fontId="67" fillId="0" borderId="0" xfId="0" applyFont="1"/>
    <xf numFmtId="0" fontId="38" fillId="18" borderId="1" xfId="0" applyFont="1" applyFill="1" applyBorder="1" applyAlignment="1">
      <alignment horizontal="center" vertical="center" wrapText="1"/>
    </xf>
    <xf numFmtId="0" fontId="67" fillId="0" borderId="1" xfId="0" applyFont="1" applyBorder="1"/>
    <xf numFmtId="0" fontId="67" fillId="5" borderId="1" xfId="0" applyFont="1" applyFill="1" applyBorder="1" applyAlignment="1">
      <alignment horizontal="left" vertical="center" wrapText="1"/>
    </xf>
    <xf numFmtId="0" fontId="67" fillId="5" borderId="1" xfId="0" applyFont="1" applyFill="1" applyBorder="1" applyAlignment="1">
      <alignment horizontal="center" vertical="center" wrapText="1"/>
    </xf>
    <xf numFmtId="0" fontId="68" fillId="5" borderId="1" xfId="0" applyFont="1" applyFill="1" applyBorder="1" applyAlignment="1">
      <alignment horizontal="center" vertical="center" wrapText="1"/>
    </xf>
    <xf numFmtId="10" fontId="67" fillId="5" borderId="1" xfId="0" applyNumberFormat="1" applyFont="1" applyFill="1" applyBorder="1" applyAlignment="1">
      <alignment horizontal="center" vertical="center" wrapText="1"/>
    </xf>
    <xf numFmtId="9" fontId="67" fillId="5" borderId="1" xfId="0" applyNumberFormat="1" applyFont="1" applyFill="1" applyBorder="1" applyAlignment="1">
      <alignment horizontal="center" vertical="center" wrapText="1"/>
    </xf>
    <xf numFmtId="0" fontId="67" fillId="5" borderId="1" xfId="0" applyFont="1" applyFill="1" applyBorder="1"/>
    <xf numFmtId="0" fontId="69" fillId="6" borderId="1" xfId="0" applyFont="1" applyFill="1" applyBorder="1" applyAlignment="1">
      <alignment horizontal="center" vertical="center" wrapText="1"/>
    </xf>
    <xf numFmtId="0" fontId="24" fillId="29" borderId="1" xfId="0" applyFont="1" applyFill="1" applyBorder="1" applyAlignment="1">
      <alignment horizontal="center" vertical="center" wrapText="1"/>
    </xf>
    <xf numFmtId="0" fontId="38" fillId="6" borderId="1" xfId="0" applyFont="1" applyFill="1" applyBorder="1"/>
    <xf numFmtId="4" fontId="70" fillId="43" borderId="1" xfId="0" applyNumberFormat="1" applyFont="1" applyFill="1" applyBorder="1" applyAlignment="1">
      <alignment horizontal="right" vertical="center"/>
    </xf>
    <xf numFmtId="4" fontId="70" fillId="61" borderId="1" xfId="0" applyNumberFormat="1" applyFont="1" applyFill="1" applyBorder="1" applyAlignment="1">
      <alignment horizontal="right" vertical="center"/>
    </xf>
    <xf numFmtId="0" fontId="71" fillId="0" borderId="0" xfId="0" applyFont="1"/>
    <xf numFmtId="4" fontId="41" fillId="19" borderId="1" xfId="0" applyNumberFormat="1" applyFont="1" applyFill="1" applyBorder="1" applyAlignment="1">
      <alignment horizontal="right" vertical="center"/>
    </xf>
    <xf numFmtId="10" fontId="2" fillId="19" borderId="1" xfId="1" applyNumberFormat="1" applyFont="1" applyFill="1" applyBorder="1"/>
    <xf numFmtId="9" fontId="0" fillId="0" borderId="1" xfId="1" applyFont="1" applyBorder="1"/>
    <xf numFmtId="10" fontId="0" fillId="0" borderId="1" xfId="1" applyNumberFormat="1" applyFont="1" applyBorder="1"/>
    <xf numFmtId="4" fontId="0" fillId="19" borderId="1" xfId="0" applyNumberFormat="1" applyFill="1" applyBorder="1"/>
    <xf numFmtId="3" fontId="73" fillId="0" borderId="1" xfId="0" applyNumberFormat="1" applyFont="1" applyBorder="1" applyAlignment="1">
      <alignment horizontal="center" vertical="center"/>
    </xf>
    <xf numFmtId="3" fontId="74" fillId="0" borderId="1" xfId="0" applyNumberFormat="1" applyFont="1" applyBorder="1" applyAlignment="1">
      <alignment horizontal="center" vertical="center"/>
    </xf>
    <xf numFmtId="10" fontId="73" fillId="0" borderId="1" xfId="0" applyNumberFormat="1" applyFont="1" applyBorder="1" applyAlignment="1">
      <alignment horizontal="center" vertical="center"/>
    </xf>
    <xf numFmtId="3" fontId="36" fillId="0" borderId="1" xfId="0" applyNumberFormat="1" applyFont="1" applyBorder="1" applyAlignment="1">
      <alignment horizontal="center" vertical="center"/>
    </xf>
    <xf numFmtId="3" fontId="75" fillId="0" borderId="1" xfId="0" applyNumberFormat="1" applyFont="1" applyBorder="1" applyAlignment="1">
      <alignment horizontal="center" vertical="center"/>
    </xf>
    <xf numFmtId="10" fontId="75" fillId="0" borderId="1" xfId="0" applyNumberFormat="1" applyFont="1" applyBorder="1" applyAlignment="1">
      <alignment horizontal="center" vertical="center"/>
    </xf>
    <xf numFmtId="170" fontId="36" fillId="0" borderId="1" xfId="0" applyNumberFormat="1" applyFont="1" applyBorder="1" applyAlignment="1">
      <alignment horizontal="center" vertical="center"/>
    </xf>
    <xf numFmtId="0" fontId="48" fillId="63" borderId="1" xfId="0" applyFont="1" applyFill="1" applyBorder="1" applyAlignment="1">
      <alignment horizontal="center" vertical="center"/>
    </xf>
    <xf numFmtId="0" fontId="77" fillId="41" borderId="1" xfId="0" applyFont="1" applyFill="1" applyBorder="1" applyAlignment="1">
      <alignment horizontal="center" vertical="center"/>
    </xf>
    <xf numFmtId="0" fontId="37" fillId="64" borderId="1" xfId="0" applyFont="1" applyFill="1" applyBorder="1" applyAlignment="1">
      <alignment horizontal="left" vertical="center"/>
    </xf>
    <xf numFmtId="3" fontId="37" fillId="64" borderId="1" xfId="0" applyNumberFormat="1" applyFont="1" applyFill="1" applyBorder="1" applyAlignment="1">
      <alignment horizontal="center" vertical="center"/>
    </xf>
    <xf numFmtId="3" fontId="36" fillId="64" borderId="1" xfId="0" applyNumberFormat="1" applyFont="1" applyFill="1" applyBorder="1" applyAlignment="1">
      <alignment horizontal="center" vertical="center"/>
    </xf>
    <xf numFmtId="0" fontId="37" fillId="19" borderId="1" xfId="0" applyFont="1" applyFill="1" applyBorder="1" applyAlignment="1">
      <alignment horizontal="left" vertical="center"/>
    </xf>
    <xf numFmtId="10" fontId="67" fillId="0" borderId="1" xfId="1" applyNumberFormat="1" applyFont="1" applyBorder="1"/>
    <xf numFmtId="10" fontId="67" fillId="19" borderId="1" xfId="1" applyNumberFormat="1" applyFont="1" applyFill="1" applyBorder="1"/>
    <xf numFmtId="2" fontId="67" fillId="0" borderId="1" xfId="1" applyNumberFormat="1" applyFont="1" applyBorder="1"/>
    <xf numFmtId="2" fontId="67" fillId="19" borderId="1" xfId="1" applyNumberFormat="1" applyFont="1" applyFill="1" applyBorder="1"/>
    <xf numFmtId="10" fontId="67" fillId="5" borderId="1" xfId="1" applyNumberFormat="1" applyFont="1" applyFill="1" applyBorder="1"/>
    <xf numFmtId="165" fontId="67" fillId="0" borderId="1" xfId="0" applyNumberFormat="1" applyFont="1" applyBorder="1"/>
    <xf numFmtId="165" fontId="67" fillId="19" borderId="1" xfId="0" applyNumberFormat="1" applyFont="1" applyFill="1" applyBorder="1"/>
    <xf numFmtId="2" fontId="67" fillId="0" borderId="1" xfId="0" applyNumberFormat="1" applyFont="1" applyBorder="1"/>
    <xf numFmtId="2" fontId="67" fillId="19" borderId="1" xfId="0" applyNumberFormat="1" applyFont="1" applyFill="1" applyBorder="1"/>
    <xf numFmtId="171" fontId="67" fillId="0" borderId="1" xfId="1" applyNumberFormat="1" applyFont="1" applyBorder="1"/>
    <xf numFmtId="171" fontId="67" fillId="19" borderId="1" xfId="1" applyNumberFormat="1" applyFont="1" applyFill="1" applyBorder="1"/>
    <xf numFmtId="0" fontId="9" fillId="0" borderId="1" xfId="2" applyBorder="1"/>
    <xf numFmtId="0" fontId="9" fillId="0" borderId="1" xfId="2" applyBorder="1" applyAlignment="1">
      <alignment vertical="center" wrapText="1"/>
    </xf>
    <xf numFmtId="9" fontId="0" fillId="0" borderId="1" xfId="0" applyNumberFormat="1" applyBorder="1"/>
    <xf numFmtId="4" fontId="0" fillId="0" borderId="0" xfId="0" applyNumberFormat="1"/>
    <xf numFmtId="0" fontId="5" fillId="0" borderId="3" xfId="0" applyFont="1" applyBorder="1" applyAlignment="1">
      <alignment wrapText="1"/>
    </xf>
    <xf numFmtId="4" fontId="5" fillId="0" borderId="3" xfId="0" applyNumberFormat="1" applyFont="1" applyBorder="1" applyAlignment="1">
      <alignment wrapText="1"/>
    </xf>
    <xf numFmtId="4" fontId="5" fillId="0" borderId="5" xfId="0" applyNumberFormat="1" applyFont="1" applyBorder="1" applyAlignment="1">
      <alignment wrapText="1"/>
    </xf>
    <xf numFmtId="0" fontId="40" fillId="23" borderId="0" xfId="0" applyFont="1" applyFill="1" applyAlignment="1">
      <alignment horizontal="center" vertical="center" wrapText="1"/>
    </xf>
    <xf numFmtId="0" fontId="40" fillId="15" borderId="0" xfId="0" applyFont="1" applyFill="1" applyAlignment="1">
      <alignment horizontal="center" vertical="center" wrapText="1"/>
    </xf>
    <xf numFmtId="0" fontId="24" fillId="23" borderId="0" xfId="0" applyFont="1" applyFill="1" applyAlignment="1">
      <alignment horizontal="left" vertical="center"/>
    </xf>
    <xf numFmtId="0" fontId="42" fillId="0" borderId="0" xfId="0" applyFont="1" applyAlignment="1">
      <alignment horizontal="left" vertical="center"/>
    </xf>
    <xf numFmtId="0" fontId="78" fillId="0" borderId="0" xfId="0" applyFont="1" applyAlignment="1">
      <alignment horizontal="left" vertical="center"/>
    </xf>
    <xf numFmtId="0" fontId="64" fillId="57" borderId="0" xfId="0" applyFont="1" applyFill="1"/>
    <xf numFmtId="0" fontId="3" fillId="57" borderId="0" xfId="0" applyFont="1" applyFill="1"/>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21" xfId="0" applyBorder="1" applyAlignment="1">
      <alignment wrapText="1"/>
    </xf>
    <xf numFmtId="0" fontId="0" fillId="0" borderId="0" xfId="0" applyAlignment="1">
      <alignment wrapText="1"/>
    </xf>
    <xf numFmtId="0" fontId="0" fillId="0" borderId="22" xfId="0" applyBorder="1"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64" fillId="18" borderId="0" xfId="0" applyFont="1" applyFill="1"/>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0" xfId="0"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0" borderId="19" xfId="0" applyBorder="1" applyAlignment="1">
      <alignment vertical="top"/>
    </xf>
    <xf numFmtId="0" fontId="0" fillId="0" borderId="20" xfId="0" applyBorder="1" applyAlignment="1">
      <alignment vertical="top"/>
    </xf>
    <xf numFmtId="0" fontId="0" fillId="0" borderId="21" xfId="0" applyBorder="1" applyAlignment="1">
      <alignment vertical="top"/>
    </xf>
    <xf numFmtId="0" fontId="0" fillId="0" borderId="0" xfId="0" applyAlignment="1">
      <alignment vertical="top"/>
    </xf>
    <xf numFmtId="0" fontId="0" fillId="0" borderId="22" xfId="0" applyBorder="1" applyAlignment="1">
      <alignment vertical="top"/>
    </xf>
    <xf numFmtId="0" fontId="0" fillId="0" borderId="23" xfId="0" applyBorder="1" applyAlignment="1">
      <alignment vertical="top"/>
    </xf>
    <xf numFmtId="0" fontId="0" fillId="0" borderId="24" xfId="0" applyBorder="1" applyAlignment="1">
      <alignment vertical="top"/>
    </xf>
    <xf numFmtId="0" fontId="0" fillId="0" borderId="25" xfId="0" applyBorder="1" applyAlignment="1">
      <alignment vertical="top"/>
    </xf>
    <xf numFmtId="0" fontId="0" fillId="0" borderId="18" xfId="0" applyBorder="1" applyAlignment="1">
      <alignment vertical="center" wrapText="1"/>
    </xf>
    <xf numFmtId="0" fontId="0" fillId="0" borderId="19" xfId="0"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wrapText="1"/>
    </xf>
    <xf numFmtId="0" fontId="0" fillId="0" borderId="0" xfId="0"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64" fillId="18" borderId="24" xfId="0" applyFont="1" applyFill="1" applyBorder="1"/>
    <xf numFmtId="0" fontId="0" fillId="8" borderId="0" xfId="0" applyFill="1" applyAlignment="1">
      <alignment vertical="center" wrapText="1"/>
    </xf>
    <xf numFmtId="0" fontId="10" fillId="7" borderId="4" xfId="0" applyFont="1" applyFill="1" applyBorder="1"/>
    <xf numFmtId="0" fontId="10" fillId="7" borderId="1" xfId="0" applyFont="1" applyFill="1" applyBorder="1" applyAlignment="1">
      <alignment horizontal="center"/>
    </xf>
    <xf numFmtId="0" fontId="10" fillId="7" borderId="4" xfId="0" applyFont="1" applyFill="1" applyBorder="1" applyAlignment="1">
      <alignment horizontal="center"/>
    </xf>
    <xf numFmtId="0" fontId="10" fillId="7" borderId="4" xfId="0" applyFont="1" applyFill="1" applyBorder="1" applyAlignment="1">
      <alignment horizontal="center" vertical="center"/>
    </xf>
    <xf numFmtId="0" fontId="0" fillId="8" borderId="1" xfId="0" applyFill="1" applyBorder="1" applyAlignment="1">
      <alignment horizontal="center" vertical="center" wrapText="1"/>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0" xfId="0" applyAlignment="1">
      <alignment vertical="center"/>
    </xf>
    <xf numFmtId="0" fontId="0" fillId="0" borderId="22"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0" fillId="0" borderId="19" xfId="0" applyBorder="1"/>
    <xf numFmtId="0" fontId="0" fillId="0" borderId="20" xfId="0" applyBorder="1"/>
    <xf numFmtId="0" fontId="0" fillId="0" borderId="21" xfId="0" applyBorder="1"/>
    <xf numFmtId="0" fontId="0" fillId="0" borderId="0" xfId="0"/>
    <xf numFmtId="0" fontId="0" fillId="0" borderId="22" xfId="0" applyBorder="1"/>
    <xf numFmtId="0" fontId="0" fillId="0" borderId="23" xfId="0" applyBorder="1"/>
    <xf numFmtId="0" fontId="0" fillId="0" borderId="24" xfId="0" applyBorder="1"/>
    <xf numFmtId="0" fontId="0" fillId="0" borderId="25" xfId="0" applyBorder="1"/>
    <xf numFmtId="0" fontId="21" fillId="17" borderId="0" xfId="0" applyFont="1" applyFill="1" applyAlignment="1">
      <alignment horizontal="left" vertical="center"/>
    </xf>
    <xf numFmtId="0" fontId="34" fillId="14" borderId="0" xfId="0" applyFont="1" applyFill="1" applyAlignment="1">
      <alignment horizontal="center" vertical="center" wrapText="1"/>
    </xf>
    <xf numFmtId="0" fontId="34" fillId="15" borderId="0" xfId="0" applyFont="1" applyFill="1" applyAlignment="1">
      <alignment horizontal="center" vertical="center" wrapText="1"/>
    </xf>
    <xf numFmtId="0" fontId="28" fillId="16" borderId="0" xfId="0" applyFont="1" applyFill="1" applyAlignment="1">
      <alignment horizontal="center" vertical="center" wrapText="1"/>
    </xf>
    <xf numFmtId="0" fontId="60" fillId="0" borderId="0" xfId="0" applyFont="1" applyAlignment="1">
      <alignment horizontal="left" vertical="center"/>
    </xf>
    <xf numFmtId="0" fontId="2" fillId="19" borderId="1" xfId="0" applyFont="1" applyFill="1" applyBorder="1"/>
    <xf numFmtId="0" fontId="0" fillId="0" borderId="1" xfId="0" applyBorder="1"/>
    <xf numFmtId="0" fontId="21" fillId="26" borderId="1" xfId="0" applyFont="1" applyFill="1" applyBorder="1" applyAlignment="1">
      <alignment horizontal="center" vertical="center" wrapText="1"/>
    </xf>
    <xf numFmtId="0" fontId="23" fillId="26" borderId="1" xfId="0" applyFont="1" applyFill="1" applyBorder="1" applyAlignment="1">
      <alignment horizontal="center" vertical="center" wrapText="1"/>
    </xf>
    <xf numFmtId="0" fontId="44" fillId="16" borderId="0" xfId="0" applyFont="1" applyFill="1" applyAlignment="1">
      <alignment horizontal="left" vertical="center"/>
    </xf>
    <xf numFmtId="0" fontId="51" fillId="0" borderId="0" xfId="0" applyFont="1" applyAlignment="1">
      <alignment horizontal="left" vertical="center"/>
    </xf>
    <xf numFmtId="0" fontId="45" fillId="25" borderId="0" xfId="0" applyFont="1" applyFill="1" applyAlignment="1">
      <alignment horizontal="left" vertical="center"/>
    </xf>
    <xf numFmtId="0" fontId="34" fillId="35" borderId="10" xfId="0" applyFont="1" applyFill="1" applyBorder="1" applyAlignment="1">
      <alignment horizontal="center" vertical="center" wrapText="1"/>
    </xf>
    <xf numFmtId="0" fontId="34" fillId="35" borderId="15" xfId="0" applyFont="1" applyFill="1" applyBorder="1" applyAlignment="1">
      <alignment horizontal="center" vertical="center" wrapText="1"/>
    </xf>
    <xf numFmtId="0" fontId="34" fillId="35" borderId="13" xfId="0" applyFont="1" applyFill="1" applyBorder="1" applyAlignment="1">
      <alignment horizontal="center" vertical="center" wrapText="1"/>
    </xf>
    <xf numFmtId="0" fontId="50" fillId="29" borderId="0" xfId="0" applyFont="1" applyFill="1" applyAlignment="1">
      <alignment horizontal="left" vertical="center"/>
    </xf>
    <xf numFmtId="0" fontId="0" fillId="0" borderId="1" xfId="0" applyBorder="1" applyAlignment="1">
      <alignment horizontal="center" vertical="center"/>
    </xf>
    <xf numFmtId="0" fontId="34" fillId="42" borderId="12" xfId="0" applyFont="1" applyFill="1" applyBorder="1" applyAlignment="1">
      <alignment horizontal="center" vertical="center" wrapText="1"/>
    </xf>
    <xf numFmtId="0" fontId="34" fillId="42" borderId="8" xfId="0" applyFont="1" applyFill="1" applyBorder="1" applyAlignment="1">
      <alignment horizontal="center" vertical="center" wrapText="1"/>
    </xf>
    <xf numFmtId="0" fontId="34" fillId="35" borderId="1" xfId="0" applyFont="1" applyFill="1" applyBorder="1" applyAlignment="1">
      <alignment horizontal="center" vertical="center" wrapText="1"/>
    </xf>
    <xf numFmtId="0" fontId="46" fillId="27" borderId="9" xfId="0" applyFont="1" applyFill="1" applyBorder="1" applyAlignment="1">
      <alignment horizontal="left" vertical="center"/>
    </xf>
    <xf numFmtId="4" fontId="47" fillId="27" borderId="9" xfId="0" applyNumberFormat="1" applyFont="1" applyFill="1" applyBorder="1" applyAlignment="1">
      <alignment horizontal="right" vertical="center"/>
    </xf>
    <xf numFmtId="0" fontId="48" fillId="35" borderId="10" xfId="0" applyFont="1" applyFill="1" applyBorder="1" applyAlignment="1">
      <alignment horizontal="center" vertical="center" wrapText="1"/>
    </xf>
    <xf numFmtId="0" fontId="34" fillId="29" borderId="1" xfId="0" applyFont="1" applyFill="1" applyBorder="1" applyAlignment="1">
      <alignment horizontal="center" vertical="center" wrapText="1"/>
    </xf>
    <xf numFmtId="0" fontId="35" fillId="28" borderId="1" xfId="0" applyFont="1" applyFill="1" applyBorder="1" applyAlignment="1">
      <alignment horizontal="center" vertical="center" wrapText="1"/>
    </xf>
    <xf numFmtId="4" fontId="34" fillId="31" borderId="1" xfId="0" applyNumberFormat="1" applyFont="1" applyFill="1" applyBorder="1" applyAlignment="1">
      <alignment horizontal="right" vertical="center"/>
    </xf>
    <xf numFmtId="10" fontId="0" fillId="0" borderId="1" xfId="1" applyNumberFormat="1" applyFont="1" applyBorder="1"/>
    <xf numFmtId="4" fontId="34" fillId="31" borderId="11" xfId="0" applyNumberFormat="1" applyFont="1" applyFill="1" applyBorder="1" applyAlignment="1">
      <alignment horizontal="right" vertical="center"/>
    </xf>
    <xf numFmtId="0" fontId="47" fillId="27" borderId="9" xfId="0" applyFont="1" applyFill="1" applyBorder="1" applyAlignment="1">
      <alignment horizontal="right" vertical="center"/>
    </xf>
    <xf numFmtId="0" fontId="34" fillId="35" borderId="8" xfId="0" applyFont="1" applyFill="1" applyBorder="1" applyAlignment="1">
      <alignment horizontal="center" vertical="center" wrapText="1"/>
    </xf>
    <xf numFmtId="10" fontId="47" fillId="27" borderId="9" xfId="0" applyNumberFormat="1" applyFont="1" applyFill="1" applyBorder="1" applyAlignment="1">
      <alignment horizontal="right" vertical="center"/>
    </xf>
    <xf numFmtId="10" fontId="47" fillId="27" borderId="9" xfId="1" applyNumberFormat="1" applyFont="1" applyFill="1" applyBorder="1" applyAlignment="1">
      <alignment horizontal="right" vertical="center"/>
    </xf>
    <xf numFmtId="0" fontId="34" fillId="44" borderId="0" xfId="0" applyFont="1" applyFill="1" applyAlignment="1">
      <alignment horizontal="left" vertical="center"/>
    </xf>
    <xf numFmtId="0" fontId="23" fillId="44" borderId="0" xfId="0" applyFont="1" applyFill="1" applyAlignment="1">
      <alignment horizontal="left" vertical="center"/>
    </xf>
    <xf numFmtId="0" fontId="26" fillId="0" borderId="0" xfId="0" applyFont="1" applyAlignment="1">
      <alignment horizontal="left" vertical="center"/>
    </xf>
    <xf numFmtId="0" fontId="41" fillId="0" borderId="0" xfId="0" applyFont="1" applyAlignment="1">
      <alignment horizontal="left" vertical="center"/>
    </xf>
    <xf numFmtId="0" fontId="44" fillId="40" borderId="0" xfId="0" applyFont="1" applyFill="1" applyAlignment="1">
      <alignment horizontal="center" vertical="center" wrapText="1"/>
    </xf>
    <xf numFmtId="0" fontId="16" fillId="45" borderId="1" xfId="0" applyFont="1" applyFill="1" applyBorder="1" applyAlignment="1">
      <alignment horizontal="right" vertical="center"/>
    </xf>
    <xf numFmtId="0" fontId="50" fillId="23" borderId="1" xfId="0" applyFont="1" applyFill="1" applyBorder="1" applyAlignment="1">
      <alignment horizontal="center" vertical="center" wrapText="1"/>
    </xf>
    <xf numFmtId="0" fontId="57" fillId="23" borderId="1" xfId="0" applyFont="1" applyFill="1" applyBorder="1" applyAlignment="1">
      <alignment horizontal="center" vertical="center" wrapText="1"/>
    </xf>
    <xf numFmtId="0" fontId="0" fillId="45" borderId="1" xfId="0" applyFill="1" applyBorder="1"/>
    <xf numFmtId="0" fontId="40" fillId="23" borderId="0" xfId="0" applyFont="1" applyFill="1" applyAlignment="1">
      <alignment horizontal="left" vertical="center"/>
    </xf>
    <xf numFmtId="0" fontId="58" fillId="48" borderId="0" xfId="0" applyFont="1" applyFill="1" applyAlignment="1">
      <alignment horizontal="center" vertical="center" wrapText="1"/>
    </xf>
    <xf numFmtId="0" fontId="0" fillId="0" borderId="0" xfId="0" applyAlignment="1">
      <alignment horizontal="left" vertical="center" wrapText="1"/>
    </xf>
    <xf numFmtId="0" fontId="2" fillId="7" borderId="0" xfId="0" applyFont="1" applyFill="1" applyAlignment="1">
      <alignment vertical="center"/>
    </xf>
    <xf numFmtId="0" fontId="58" fillId="50" borderId="0" xfId="0" applyFont="1" applyFill="1" applyAlignment="1">
      <alignment horizontal="center" vertical="center" wrapText="1"/>
    </xf>
    <xf numFmtId="0" fontId="58" fillId="49" borderId="0" xfId="0" applyFont="1" applyFill="1" applyAlignment="1">
      <alignment horizontal="center" vertical="center" wrapText="1"/>
    </xf>
    <xf numFmtId="0" fontId="34" fillId="35" borderId="16" xfId="0" applyFont="1" applyFill="1" applyBorder="1" applyAlignment="1">
      <alignment horizontal="left" vertical="center"/>
    </xf>
    <xf numFmtId="3" fontId="46" fillId="0" borderId="1" xfId="0" applyNumberFormat="1" applyFont="1" applyBorder="1" applyAlignment="1">
      <alignment horizontal="center" vertical="center"/>
    </xf>
    <xf numFmtId="0" fontId="28" fillId="62" borderId="4" xfId="0" applyFont="1" applyFill="1" applyBorder="1" applyAlignment="1">
      <alignment horizontal="center" vertical="center"/>
    </xf>
    <xf numFmtId="4" fontId="46" fillId="0" borderId="1" xfId="0" applyNumberFormat="1" applyFont="1" applyBorder="1" applyAlignment="1">
      <alignment horizontal="center" vertical="center"/>
    </xf>
    <xf numFmtId="4" fontId="76" fillId="64" borderId="1" xfId="0" applyNumberFormat="1" applyFont="1" applyFill="1" applyBorder="1" applyAlignment="1">
      <alignment horizontal="center" vertical="center"/>
    </xf>
    <xf numFmtId="10" fontId="49" fillId="64" borderId="1" xfId="0" applyNumberFormat="1" applyFont="1" applyFill="1" applyBorder="1" applyAlignment="1">
      <alignment horizontal="center" vertical="center"/>
    </xf>
    <xf numFmtId="3" fontId="49" fillId="64" borderId="1" xfId="0" applyNumberFormat="1" applyFont="1" applyFill="1" applyBorder="1" applyAlignment="1">
      <alignment horizontal="center" vertical="center"/>
    </xf>
    <xf numFmtId="0" fontId="35" fillId="35" borderId="16" xfId="0" applyFont="1" applyFill="1" applyBorder="1" applyAlignment="1">
      <alignment horizontal="center" vertical="center"/>
    </xf>
    <xf numFmtId="0" fontId="35" fillId="35" borderId="17" xfId="0" applyFont="1" applyFill="1" applyBorder="1" applyAlignment="1">
      <alignment horizontal="center" vertical="center"/>
    </xf>
    <xf numFmtId="0" fontId="35" fillId="35" borderId="7" xfId="0" applyFont="1" applyFill="1" applyBorder="1" applyAlignment="1">
      <alignment horizontal="center" vertical="center"/>
    </xf>
    <xf numFmtId="0" fontId="7" fillId="49" borderId="0" xfId="0" applyFont="1" applyFill="1" applyAlignment="1">
      <alignment horizontal="left" vertical="center"/>
    </xf>
    <xf numFmtId="0" fontId="53" fillId="0" borderId="0" xfId="0" applyFont="1" applyAlignment="1">
      <alignment horizontal="center" vertical="center"/>
    </xf>
    <xf numFmtId="0" fontId="62" fillId="0" borderId="0" xfId="0" applyFont="1" applyAlignment="1">
      <alignment horizontal="center" vertical="center"/>
    </xf>
    <xf numFmtId="0" fontId="31" fillId="54" borderId="1" xfId="0" applyFont="1" applyFill="1" applyBorder="1" applyAlignment="1">
      <alignment horizontal="left" vertical="center"/>
    </xf>
    <xf numFmtId="0" fontId="55" fillId="16" borderId="0" xfId="0" applyFont="1" applyFill="1" applyAlignment="1">
      <alignment horizontal="center" vertical="center"/>
    </xf>
    <xf numFmtId="0" fontId="49" fillId="49" borderId="4" xfId="0" applyFont="1" applyFill="1" applyBorder="1" applyAlignment="1">
      <alignment horizontal="left" vertical="center"/>
    </xf>
    <xf numFmtId="0" fontId="31" fillId="5" borderId="1" xfId="0" applyFont="1" applyFill="1" applyBorder="1" applyAlignment="1">
      <alignment horizontal="left" vertical="center"/>
    </xf>
    <xf numFmtId="0" fontId="48" fillId="17" borderId="0" xfId="0" applyFont="1" applyFill="1" applyAlignment="1">
      <alignment horizontal="left" vertical="center"/>
    </xf>
    <xf numFmtId="0" fontId="49" fillId="49" borderId="0" xfId="0" applyFont="1" applyFill="1" applyAlignment="1">
      <alignment horizontal="left" vertical="center"/>
    </xf>
    <xf numFmtId="0" fontId="43" fillId="60" borderId="1" xfId="0" applyFont="1" applyFill="1" applyBorder="1" applyAlignment="1">
      <alignment horizontal="left" vertical="center"/>
    </xf>
    <xf numFmtId="0" fontId="48" fillId="17" borderId="0" xfId="0" applyFont="1" applyFill="1" applyAlignment="1">
      <alignment horizontal="center" vertical="center"/>
    </xf>
    <xf numFmtId="0" fontId="45" fillId="16" borderId="0" xfId="0" applyFont="1" applyFill="1" applyAlignment="1">
      <alignment horizontal="left" vertical="center"/>
    </xf>
    <xf numFmtId="0" fontId="34" fillId="17" borderId="8" xfId="0" applyFont="1" applyFill="1" applyBorder="1" applyAlignment="1">
      <alignment horizontal="center" vertical="center" wrapText="1"/>
    </xf>
    <xf numFmtId="0" fontId="43" fillId="12" borderId="8" xfId="0" applyFont="1" applyFill="1" applyBorder="1" applyAlignment="1">
      <alignment horizontal="left" vertical="center"/>
    </xf>
    <xf numFmtId="0" fontId="72" fillId="57" borderId="4" xfId="0" applyFont="1" applyFill="1" applyBorder="1" applyAlignment="1">
      <alignment horizontal="center"/>
    </xf>
    <xf numFmtId="0" fontId="68" fillId="5" borderId="1" xfId="0" applyFont="1" applyFill="1" applyBorder="1" applyAlignment="1">
      <alignment horizontal="center" vertical="center" wrapText="1"/>
    </xf>
    <xf numFmtId="0" fontId="38" fillId="18" borderId="1" xfId="0" applyFont="1" applyFill="1" applyBorder="1" applyAlignment="1">
      <alignment horizontal="left" vertical="center" wrapText="1"/>
    </xf>
    <xf numFmtId="10" fontId="67" fillId="0" borderId="1" xfId="1" applyNumberFormat="1" applyFont="1" applyFill="1" applyBorder="1"/>
  </cellXfs>
  <cellStyles count="3">
    <cellStyle name="Hyperlink" xfId="2" builtinId="8"/>
    <cellStyle name="Normal" xfId="0" builtinId="0"/>
    <cellStyle name="Per cent" xfId="1" builtinId="5"/>
  </cellStyles>
  <dxfs count="0"/>
  <tableStyles count="0" defaultTableStyle="TableStyleMedium2" defaultPivotStyle="PivotStyleLight16"/>
  <colors>
    <mruColors>
      <color rgb="FFF18377"/>
      <color rgb="FFCC3300"/>
      <color rgb="FFFF61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Debt to Equity</a:t>
            </a:r>
          </a:p>
        </c:rich>
      </c:tx>
      <c:overlay val="0"/>
      <c:spPr>
        <a:noFill/>
        <a:ln w="0">
          <a:noFill/>
        </a:ln>
      </c:spPr>
    </c:title>
    <c:autoTitleDeleted val="0"/>
    <c:plotArea>
      <c:layout/>
      <c:doughnutChart>
        <c:varyColors val="1"/>
        <c:ser>
          <c:idx val="0"/>
          <c:order val="0"/>
          <c:spPr>
            <a:solidFill>
              <a:srgbClr val="4F81BD"/>
            </a:solidFill>
            <a:ln w="9360">
              <a:solidFill>
                <a:srgbClr val="F9F9F9"/>
              </a:solidFill>
              <a:round/>
            </a:ln>
          </c:spPr>
          <c:dPt>
            <c:idx val="0"/>
            <c:bubble3D val="0"/>
            <c:spPr>
              <a:solidFill>
                <a:srgbClr val="4472C4"/>
              </a:solidFill>
              <a:ln w="9360">
                <a:solidFill>
                  <a:srgbClr val="F9F9F9"/>
                </a:solidFill>
                <a:round/>
              </a:ln>
            </c:spPr>
            <c:extLst>
              <c:ext xmlns:c16="http://schemas.microsoft.com/office/drawing/2014/chart" uri="{C3380CC4-5D6E-409C-BE32-E72D297353CC}">
                <c16:uniqueId val="{00000001-B829-4808-BE04-A07558491706}"/>
              </c:ext>
            </c:extLst>
          </c:dPt>
          <c:dPt>
            <c:idx val="1"/>
            <c:bubble3D val="0"/>
            <c:spPr>
              <a:solidFill>
                <a:srgbClr val="ED7D31"/>
              </a:solidFill>
              <a:ln w="9360">
                <a:solidFill>
                  <a:srgbClr val="F9F9F9"/>
                </a:solidFill>
                <a:round/>
              </a:ln>
            </c:spPr>
            <c:extLst>
              <c:ext xmlns:c16="http://schemas.microsoft.com/office/drawing/2014/chart" uri="{C3380CC4-5D6E-409C-BE32-E72D297353CC}">
                <c16:uniqueId val="{00000003-B829-4808-BE04-A07558491706}"/>
              </c:ext>
            </c:extLst>
          </c:dPt>
          <c:dLbls>
            <c:dLbl>
              <c:idx val="0"/>
              <c:layout>
                <c:manualLayout>
                  <c:x val="-6.3795869292812739E-3"/>
                  <c:y val="1.6032074247439188E-2"/>
                </c:manualLayout>
              </c:layout>
              <c:tx>
                <c:rich>
                  <a:bodyPr wrap="square"/>
                  <a:lstStyle/>
                  <a:p>
                    <a:pPr>
                      <a:defRPr sz="1000" b="1" strike="noStrike" spc="-1">
                        <a:solidFill>
                          <a:sysClr val="windowText" lastClr="000000"/>
                        </a:solidFill>
                        <a:latin typeface="Calibri"/>
                      </a:defRPr>
                    </a:pPr>
                    <a:r>
                      <a:rPr lang="en-US" b="1" baseline="0">
                        <a:solidFill>
                          <a:sysClr val="windowText" lastClr="000000"/>
                        </a:solidFill>
                      </a:rPr>
                      <a:t>Debt
</a:t>
                    </a:r>
                    <a:fld id="{26C40D4C-BB8E-4F9C-8F81-750FF14E5F0E}" type="PERCENTAGE">
                      <a:rPr lang="en-US" b="1" baseline="0">
                        <a:solidFill>
                          <a:sysClr val="windowText" lastClr="000000"/>
                        </a:solidFill>
                      </a:rPr>
                      <a:pPr>
                        <a:defRPr sz="1000" b="1" strike="noStrike" spc="-1">
                          <a:solidFill>
                            <a:sysClr val="windowText" lastClr="000000"/>
                          </a:solidFill>
                          <a:latin typeface="Calibri"/>
                        </a:defRPr>
                      </a:pPr>
                      <a:t>[PERCENTAGE]</a:t>
                    </a:fld>
                    <a:endParaRPr lang="en-US" b="1" baseline="0">
                      <a:solidFill>
                        <a:sysClr val="windowText" lastClr="000000"/>
                      </a:solidFill>
                    </a:endParaRPr>
                  </a:p>
                </c:rich>
              </c:tx>
              <c:spPr/>
              <c:showLegendKey val="1"/>
              <c:showVal val="0"/>
              <c:showCatName val="0"/>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B829-4808-BE04-A07558491706}"/>
                </c:ext>
              </c:extLst>
            </c:dLbl>
            <c:dLbl>
              <c:idx val="1"/>
              <c:tx>
                <c:rich>
                  <a:bodyPr wrap="square"/>
                  <a:lstStyle/>
                  <a:p>
                    <a:pPr>
                      <a:defRPr sz="1000" b="1" strike="noStrike" spc="-1">
                        <a:solidFill>
                          <a:sysClr val="windowText" lastClr="000000"/>
                        </a:solidFill>
                        <a:latin typeface="Calibri"/>
                      </a:defRPr>
                    </a:pPr>
                    <a:r>
                      <a:rPr lang="en-US" b="1" baseline="0">
                        <a:solidFill>
                          <a:sysClr val="windowText" lastClr="000000"/>
                        </a:solidFill>
                      </a:rPr>
                      <a:t>Equity
</a:t>
                    </a:r>
                    <a:fld id="{5C37E970-9C2D-4FD6-AF28-281B697B811B}" type="PERCENTAGE">
                      <a:rPr lang="en-US" b="1" baseline="0">
                        <a:solidFill>
                          <a:sysClr val="windowText" lastClr="000000"/>
                        </a:solidFill>
                      </a:rPr>
                      <a:pPr>
                        <a:defRPr sz="1000" b="1" strike="noStrike" spc="-1">
                          <a:solidFill>
                            <a:sysClr val="windowText" lastClr="000000"/>
                          </a:solidFill>
                          <a:latin typeface="Calibri"/>
                        </a:defRPr>
                      </a:pPr>
                      <a:t>[PERCENTAGE]</a:t>
                    </a:fld>
                    <a:endParaRPr lang="en-US" b="1" baseline="0">
                      <a:solidFill>
                        <a:sysClr val="windowText" lastClr="000000"/>
                      </a:solidFill>
                    </a:endParaRPr>
                  </a:p>
                </c:rich>
              </c:tx>
              <c:spPr/>
              <c:showLegendKey val="1"/>
              <c:showVal val="0"/>
              <c:showCatName val="0"/>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3-B829-4808-BE04-A07558491706}"/>
                </c:ext>
              </c:extLst>
            </c:dLbl>
            <c:spPr>
              <a:noFill/>
              <a:ln>
                <a:noFill/>
              </a:ln>
              <a:effectLst/>
            </c:spPr>
            <c:txPr>
              <a:bodyPr wrap="square"/>
              <a:lstStyle/>
              <a:p>
                <a:pPr>
                  <a:defRPr sz="1000" b="1" strike="noStrike" spc="-1">
                    <a:solidFill>
                      <a:schemeClr val="bg1"/>
                    </a:solidFill>
                    <a:latin typeface="Calibri"/>
                  </a:defRPr>
                </a:pPr>
                <a:endParaRPr lang="en-US"/>
              </a:p>
            </c:txPr>
            <c:showLegendKey val="1"/>
            <c:showVal val="0"/>
            <c:showCatName val="0"/>
            <c:showSerName val="1"/>
            <c:showPercent val="1"/>
            <c:showBubbleSize val="1"/>
            <c:separator>
</c:separator>
            <c:showLeaderLines val="1"/>
            <c:extLst>
              <c:ext xmlns:c15="http://schemas.microsoft.com/office/drawing/2012/chart" uri="{CE6537A1-D6FC-4f65-9D91-7224C49458BB}"/>
            </c:extLst>
          </c:dLbls>
          <c:cat>
            <c:strRef>
              <c:f>[1]WACC!$I$2:$I$3</c:f>
              <c:strCache>
                <c:ptCount val="2"/>
                <c:pt idx="0">
                  <c:v>% of Debt</c:v>
                </c:pt>
                <c:pt idx="1">
                  <c:v>% of Equity</c:v>
                </c:pt>
              </c:strCache>
            </c:strRef>
          </c:cat>
          <c:val>
            <c:numRef>
              <c:f>[1]WACC!$J$2:$J$3</c:f>
              <c:numCache>
                <c:formatCode>General</c:formatCode>
                <c:ptCount val="2"/>
                <c:pt idx="0">
                  <c:v>0.58681155141568997</c:v>
                </c:pt>
                <c:pt idx="1">
                  <c:v>0.41318844858430998</c:v>
                </c:pt>
              </c:numCache>
            </c:numRef>
          </c:val>
          <c:extLst>
            <c:ext xmlns:c16="http://schemas.microsoft.com/office/drawing/2014/chart" uri="{C3380CC4-5D6E-409C-BE32-E72D297353CC}">
              <c16:uniqueId val="{00000004-B829-4808-BE04-A07558491706}"/>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Market Value vs Fair Value</a:t>
            </a:r>
          </a:p>
        </c:rich>
      </c:tx>
      <c:overlay val="0"/>
      <c:spPr>
        <a:noFill/>
        <a:ln w="0">
          <a:noFill/>
        </a:ln>
      </c:spPr>
    </c:title>
    <c:autoTitleDeleted val="0"/>
    <c:plotArea>
      <c:layout/>
      <c:barChart>
        <c:barDir val="col"/>
        <c:grouping val="clustered"/>
        <c:varyColors val="0"/>
        <c:ser>
          <c:idx val="0"/>
          <c:order val="0"/>
          <c:tx>
            <c:strRef>
              <c:f>'[2]DCF Valuation'!$Q$1</c:f>
              <c:strCache>
                <c:ptCount val="1"/>
                <c:pt idx="0">
                  <c:v>Value</c:v>
                </c:pt>
              </c:strCache>
            </c:strRef>
          </c:tx>
          <c:spPr>
            <a:solidFill>
              <a:srgbClr val="4F81BD"/>
            </a:solidFill>
            <a:ln w="9360">
              <a:solidFill>
                <a:srgbClr val="F9F9F9"/>
              </a:solidFill>
              <a:round/>
            </a:ln>
          </c:spPr>
          <c:invertIfNegative val="0"/>
          <c:dPt>
            <c:idx val="0"/>
            <c:invertIfNegative val="0"/>
            <c:bubble3D val="0"/>
            <c:spPr>
              <a:solidFill>
                <a:srgbClr val="4472C4"/>
              </a:solidFill>
              <a:ln w="9360">
                <a:solidFill>
                  <a:srgbClr val="F9F9F9"/>
                </a:solidFill>
                <a:round/>
              </a:ln>
            </c:spPr>
            <c:extLst>
              <c:ext xmlns:c16="http://schemas.microsoft.com/office/drawing/2014/chart" uri="{C3380CC4-5D6E-409C-BE32-E72D297353CC}">
                <c16:uniqueId val="{00000001-AE0D-4087-A44B-F396AD37AB77}"/>
              </c:ext>
            </c:extLst>
          </c:dPt>
          <c:dPt>
            <c:idx val="1"/>
            <c:invertIfNegative val="0"/>
            <c:bubble3D val="0"/>
            <c:spPr>
              <a:solidFill>
                <a:srgbClr val="2E75B6"/>
              </a:solidFill>
              <a:ln w="9360">
                <a:solidFill>
                  <a:srgbClr val="F9F9F9"/>
                </a:solidFill>
                <a:round/>
              </a:ln>
            </c:spPr>
            <c:extLst>
              <c:ext xmlns:c16="http://schemas.microsoft.com/office/drawing/2014/chart" uri="{C3380CC4-5D6E-409C-BE32-E72D297353CC}">
                <c16:uniqueId val="{00000003-AE0D-4087-A44B-F396AD37AB77}"/>
              </c:ext>
            </c:extLst>
          </c:dPt>
          <c:dPt>
            <c:idx val="2"/>
            <c:invertIfNegative val="0"/>
            <c:bubble3D val="0"/>
            <c:spPr>
              <a:solidFill>
                <a:srgbClr val="1F3864"/>
              </a:solidFill>
              <a:ln w="9360">
                <a:solidFill>
                  <a:srgbClr val="F9F9F9"/>
                </a:solidFill>
                <a:round/>
              </a:ln>
            </c:spPr>
            <c:extLst>
              <c:ext xmlns:c16="http://schemas.microsoft.com/office/drawing/2014/chart" uri="{C3380CC4-5D6E-409C-BE32-E72D297353CC}">
                <c16:uniqueId val="{00000005-AE0D-4087-A44B-F396AD37AB77}"/>
              </c:ext>
            </c:extLst>
          </c:dPt>
          <c:dLbls>
            <c:dLbl>
              <c:idx val="0"/>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AE0D-4087-A44B-F396AD37AB77}"/>
                </c:ext>
              </c:extLst>
            </c:dLbl>
            <c:dLbl>
              <c:idx val="1"/>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AE0D-4087-A44B-F396AD37AB77}"/>
                </c:ext>
              </c:extLst>
            </c:dLbl>
            <c:dLbl>
              <c:idx val="2"/>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AE0D-4087-A44B-F396AD37AB77}"/>
                </c:ext>
              </c:extLst>
            </c:dLbl>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'[2]DCF Valuation'!$P$2:$P$4</c:f>
              <c:strCache>
                <c:ptCount val="3"/>
                <c:pt idx="0">
                  <c:v>CMP</c:v>
                </c:pt>
                <c:pt idx="1">
                  <c:v>Upside Potential</c:v>
                </c:pt>
                <c:pt idx="2">
                  <c:v>Fair Value</c:v>
                </c:pt>
              </c:strCache>
            </c:strRef>
          </c:cat>
          <c:val>
            <c:numRef>
              <c:f>'[2]DCF Valuation'!$Q$2:$Q$4</c:f>
              <c:numCache>
                <c:formatCode>General</c:formatCode>
                <c:ptCount val="3"/>
                <c:pt idx="0">
                  <c:v>330</c:v>
                </c:pt>
                <c:pt idx="1">
                  <c:v>657.09469390142499</c:v>
                </c:pt>
                <c:pt idx="2">
                  <c:v>0</c:v>
                </c:pt>
              </c:numCache>
            </c:numRef>
          </c:val>
          <c:extLst>
            <c:ext xmlns:c16="http://schemas.microsoft.com/office/drawing/2014/chart" uri="{C3380CC4-5D6E-409C-BE32-E72D297353CC}">
              <c16:uniqueId val="{00000006-AE0D-4087-A44B-F396AD37AB77}"/>
            </c:ext>
          </c:extLst>
        </c:ser>
        <c:dLbls>
          <c:showLegendKey val="0"/>
          <c:showVal val="0"/>
          <c:showCatName val="0"/>
          <c:showSerName val="0"/>
          <c:showPercent val="0"/>
          <c:showBubbleSize val="0"/>
        </c:dLbls>
        <c:gapWidth val="150"/>
        <c:axId val="70903352"/>
        <c:axId val="73298975"/>
      </c:barChart>
      <c:catAx>
        <c:axId val="70903352"/>
        <c:scaling>
          <c:orientation val="minMax"/>
        </c:scaling>
        <c:delete val="0"/>
        <c:axPos val="b"/>
        <c:numFmt formatCode="@"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298975"/>
        <c:crosses val="autoZero"/>
        <c:auto val="1"/>
        <c:lblAlgn val="ctr"/>
        <c:lblOffset val="100"/>
        <c:noMultiLvlLbl val="0"/>
      </c:catAx>
      <c:valAx>
        <c:axId val="7329897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Price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90335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'Relative Valuation'!$A$5</c:f>
              <c:strCache>
                <c:ptCount val="1"/>
                <c:pt idx="0">
                  <c:v>Adani Energy Solutions Ltd</c:v>
                </c:pt>
              </c:strCache>
            </c:strRef>
          </c:tx>
          <c:spPr>
            <a:solidFill>
              <a:schemeClr val="accent1"/>
            </a:solidFill>
            <a:ln>
              <a:noFill/>
            </a:ln>
            <a:effectLst/>
          </c:spPr>
          <c:invertIfNegative val="0"/>
          <c:cat>
            <c:strRef>
              <c:f>'Relative Valuation'!$J$4:$M$4</c:f>
              <c:strCache>
                <c:ptCount val="4"/>
                <c:pt idx="0">
                  <c:v>P/E</c:v>
                </c:pt>
                <c:pt idx="1">
                  <c:v>EV/Sales</c:v>
                </c:pt>
                <c:pt idx="2">
                  <c:v>EV/EBITDA</c:v>
                </c:pt>
                <c:pt idx="3">
                  <c:v>EV/EBIT</c:v>
                </c:pt>
              </c:strCache>
            </c:strRef>
          </c:cat>
          <c:val>
            <c:numRef>
              <c:f>'Relative Valuation'!$J$5:$M$5</c:f>
              <c:numCache>
                <c:formatCode>General</c:formatCode>
                <c:ptCount val="4"/>
                <c:pt idx="0">
                  <c:v>116.92307692307692</c:v>
                </c:pt>
                <c:pt idx="1">
                  <c:v>167.58461538461538</c:v>
                </c:pt>
                <c:pt idx="2">
                  <c:v>300.49655172413793</c:v>
                </c:pt>
                <c:pt idx="3">
                  <c:v>484.13333333333333</c:v>
                </c:pt>
              </c:numCache>
            </c:numRef>
          </c:val>
          <c:extLst>
            <c:ext xmlns:c16="http://schemas.microsoft.com/office/drawing/2014/chart" uri="{C3380CC4-5D6E-409C-BE32-E72D297353CC}">
              <c16:uniqueId val="{00000000-E9EF-4BCE-A1E6-7CB88E5056FC}"/>
            </c:ext>
          </c:extLst>
        </c:ser>
        <c:ser>
          <c:idx val="1"/>
          <c:order val="1"/>
          <c:tx>
            <c:strRef>
              <c:f>'Relative Valuation'!$A$6</c:f>
              <c:strCache>
                <c:ptCount val="1"/>
                <c:pt idx="0">
                  <c:v>IndiGrid InvIT</c:v>
                </c:pt>
              </c:strCache>
            </c:strRef>
          </c:tx>
          <c:spPr>
            <a:solidFill>
              <a:schemeClr val="accent2"/>
            </a:solidFill>
            <a:ln>
              <a:noFill/>
            </a:ln>
            <a:effectLst/>
          </c:spPr>
          <c:invertIfNegative val="0"/>
          <c:cat>
            <c:strRef>
              <c:f>'Relative Valuation'!$J$4:$M$4</c:f>
              <c:strCache>
                <c:ptCount val="4"/>
                <c:pt idx="0">
                  <c:v>P/E</c:v>
                </c:pt>
                <c:pt idx="1">
                  <c:v>EV/Sales</c:v>
                </c:pt>
                <c:pt idx="2">
                  <c:v>EV/EBITDA</c:v>
                </c:pt>
                <c:pt idx="3">
                  <c:v>EV/EBIT</c:v>
                </c:pt>
              </c:strCache>
            </c:strRef>
          </c:cat>
          <c:val>
            <c:numRef>
              <c:f>'Relative Valuation'!$J$6:$M$6</c:f>
              <c:numCache>
                <c:formatCode>General</c:formatCode>
                <c:ptCount val="4"/>
                <c:pt idx="0">
                  <c:v>11.25</c:v>
                </c:pt>
                <c:pt idx="1">
                  <c:v>137.35897435897436</c:v>
                </c:pt>
                <c:pt idx="2">
                  <c:v>155.72674418604652</c:v>
                </c:pt>
                <c:pt idx="3">
                  <c:v>243.5</c:v>
                </c:pt>
              </c:numCache>
            </c:numRef>
          </c:val>
          <c:extLst>
            <c:ext xmlns:c16="http://schemas.microsoft.com/office/drawing/2014/chart" uri="{C3380CC4-5D6E-409C-BE32-E72D297353CC}">
              <c16:uniqueId val="{00000001-E9EF-4BCE-A1E6-7CB88E5056FC}"/>
            </c:ext>
          </c:extLst>
        </c:ser>
        <c:ser>
          <c:idx val="2"/>
          <c:order val="2"/>
          <c:tx>
            <c:strRef>
              <c:f>'Relative Valuation'!$A$7</c:f>
              <c:strCache>
                <c:ptCount val="1"/>
                <c:pt idx="0">
                  <c:v>PowerGrid InfraInvIT (PGInvIT)</c:v>
                </c:pt>
              </c:strCache>
            </c:strRef>
          </c:tx>
          <c:spPr>
            <a:solidFill>
              <a:schemeClr val="accent3"/>
            </a:solidFill>
            <a:ln>
              <a:noFill/>
            </a:ln>
            <a:effectLst/>
          </c:spPr>
          <c:invertIfNegative val="0"/>
          <c:cat>
            <c:strRef>
              <c:f>'Relative Valuation'!$J$4:$M$4</c:f>
              <c:strCache>
                <c:ptCount val="4"/>
                <c:pt idx="0">
                  <c:v>P/E</c:v>
                </c:pt>
                <c:pt idx="1">
                  <c:v>EV/Sales</c:v>
                </c:pt>
                <c:pt idx="2">
                  <c:v>EV/EBITDA</c:v>
                </c:pt>
                <c:pt idx="3">
                  <c:v>EV/EBIT</c:v>
                </c:pt>
              </c:strCache>
            </c:strRef>
          </c:cat>
          <c:val>
            <c:numRef>
              <c:f>'Relative Valuation'!$J$7:$M$7</c:f>
              <c:numCache>
                <c:formatCode>General</c:formatCode>
                <c:ptCount val="4"/>
                <c:pt idx="0">
                  <c:v>8</c:v>
                </c:pt>
                <c:pt idx="1">
                  <c:v>94.266666666666666</c:v>
                </c:pt>
                <c:pt idx="2">
                  <c:v>103.97058823529412</c:v>
                </c:pt>
                <c:pt idx="3">
                  <c:v>164.41860465116278</c:v>
                </c:pt>
              </c:numCache>
            </c:numRef>
          </c:val>
          <c:extLst>
            <c:ext xmlns:c16="http://schemas.microsoft.com/office/drawing/2014/chart" uri="{C3380CC4-5D6E-409C-BE32-E72D297353CC}">
              <c16:uniqueId val="{00000002-E9EF-4BCE-A1E6-7CB88E5056FC}"/>
            </c:ext>
          </c:extLst>
        </c:ser>
        <c:ser>
          <c:idx val="3"/>
          <c:order val="3"/>
          <c:tx>
            <c:strRef>
              <c:f>'Relative Valuation'!$A$8</c:f>
              <c:strCache>
                <c:ptCount val="1"/>
                <c:pt idx="0">
                  <c:v>Anzen India Energy Yield Platform</c:v>
                </c:pt>
              </c:strCache>
            </c:strRef>
          </c:tx>
          <c:spPr>
            <a:solidFill>
              <a:schemeClr val="accent4"/>
            </a:solidFill>
            <a:ln>
              <a:noFill/>
            </a:ln>
            <a:effectLst/>
          </c:spPr>
          <c:invertIfNegative val="0"/>
          <c:cat>
            <c:strRef>
              <c:f>'Relative Valuation'!$J$4:$M$4</c:f>
              <c:strCache>
                <c:ptCount val="4"/>
                <c:pt idx="0">
                  <c:v>P/E</c:v>
                </c:pt>
                <c:pt idx="1">
                  <c:v>EV/Sales</c:v>
                </c:pt>
                <c:pt idx="2">
                  <c:v>EV/EBITDA</c:v>
                </c:pt>
                <c:pt idx="3">
                  <c:v>EV/EBIT</c:v>
                </c:pt>
              </c:strCache>
            </c:strRef>
          </c:cat>
          <c:val>
            <c:numRef>
              <c:f>'Relative Valuation'!$J$8:$M$8</c:f>
              <c:numCache>
                <c:formatCode>General</c:formatCode>
                <c:ptCount val="4"/>
                <c:pt idx="0">
                  <c:v>11.875</c:v>
                </c:pt>
                <c:pt idx="1">
                  <c:v>175.71428571428572</c:v>
                </c:pt>
                <c:pt idx="2">
                  <c:v>196.8</c:v>
                </c:pt>
                <c:pt idx="3">
                  <c:v>273.33333333333331</c:v>
                </c:pt>
              </c:numCache>
            </c:numRef>
          </c:val>
          <c:extLst>
            <c:ext xmlns:c16="http://schemas.microsoft.com/office/drawing/2014/chart" uri="{C3380CC4-5D6E-409C-BE32-E72D297353CC}">
              <c16:uniqueId val="{00000003-E9EF-4BCE-A1E6-7CB88E5056FC}"/>
            </c:ext>
          </c:extLst>
        </c:ser>
        <c:ser>
          <c:idx val="4"/>
          <c:order val="4"/>
          <c:tx>
            <c:strRef>
              <c:f>'Relative Valuation'!$A$9</c:f>
              <c:strCache>
                <c:ptCount val="1"/>
                <c:pt idx="0">
                  <c:v>Power Grid Corporation of India Ltd</c:v>
                </c:pt>
              </c:strCache>
            </c:strRef>
          </c:tx>
          <c:spPr>
            <a:solidFill>
              <a:schemeClr val="accent5"/>
            </a:solidFill>
            <a:ln>
              <a:noFill/>
            </a:ln>
            <a:effectLst/>
          </c:spPr>
          <c:invertIfNegative val="0"/>
          <c:cat>
            <c:strRef>
              <c:f>'Relative Valuation'!$J$4:$M$4</c:f>
              <c:strCache>
                <c:ptCount val="4"/>
                <c:pt idx="0">
                  <c:v>P/E</c:v>
                </c:pt>
                <c:pt idx="1">
                  <c:v>EV/Sales</c:v>
                </c:pt>
                <c:pt idx="2">
                  <c:v>EV/EBITDA</c:v>
                </c:pt>
                <c:pt idx="3">
                  <c:v>EV/EBIT</c:v>
                </c:pt>
              </c:strCache>
            </c:strRef>
          </c:cat>
          <c:val>
            <c:numRef>
              <c:f>'Relative Valuation'!$J$9:$M$9</c:f>
              <c:numCache>
                <c:formatCode>0.00\x</c:formatCode>
                <c:ptCount val="4"/>
                <c:pt idx="0">
                  <c:v>19.98788612961841</c:v>
                </c:pt>
                <c:pt idx="1">
                  <c:v>10.413947458804886</c:v>
                </c:pt>
                <c:pt idx="2">
                  <c:v>10.666375944414696</c:v>
                </c:pt>
                <c:pt idx="3">
                  <c:v>15.355322211842163</c:v>
                </c:pt>
              </c:numCache>
            </c:numRef>
          </c:val>
          <c:extLst>
            <c:ext xmlns:c16="http://schemas.microsoft.com/office/drawing/2014/chart" uri="{C3380CC4-5D6E-409C-BE32-E72D297353CC}">
              <c16:uniqueId val="{00000004-E9EF-4BCE-A1E6-7CB88E5056FC}"/>
            </c:ext>
          </c:extLst>
        </c:ser>
        <c:dLbls>
          <c:showLegendKey val="0"/>
          <c:showVal val="0"/>
          <c:showCatName val="0"/>
          <c:showSerName val="0"/>
          <c:showPercent val="0"/>
          <c:showBubbleSize val="0"/>
        </c:dLbls>
        <c:gapWidth val="219"/>
        <c:overlap val="-27"/>
        <c:axId val="203451312"/>
        <c:axId val="203454192"/>
      </c:barChart>
      <c:catAx>
        <c:axId val="20345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54192"/>
        <c:crosses val="autoZero"/>
        <c:auto val="1"/>
        <c:lblAlgn val="ctr"/>
        <c:lblOffset val="100"/>
        <c:noMultiLvlLbl val="0"/>
      </c:catAx>
      <c:valAx>
        <c:axId val="20345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5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Valuation Ratio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'All ratios forecasted'!$A$20</c:f>
              <c:strCache>
                <c:ptCount val="1"/>
                <c:pt idx="0">
                  <c:v>Price-earnings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ratios forecasted'!$B$3:$G$3</c:f>
              <c:strCache>
                <c:ptCount val="6"/>
                <c:pt idx="0">
                  <c:v>2025A</c:v>
                </c:pt>
                <c:pt idx="1">
                  <c:v>2026F</c:v>
                </c:pt>
                <c:pt idx="2">
                  <c:v>2027F</c:v>
                </c:pt>
                <c:pt idx="3">
                  <c:v>2028F</c:v>
                </c:pt>
                <c:pt idx="4">
                  <c:v>2029F</c:v>
                </c:pt>
                <c:pt idx="5">
                  <c:v>2030F</c:v>
                </c:pt>
              </c:strCache>
            </c:strRef>
          </c:cat>
          <c:val>
            <c:numRef>
              <c:f>'All ratios forecasted'!$B$20:$G$20</c:f>
              <c:numCache>
                <c:formatCode>0.00</c:formatCode>
                <c:ptCount val="6"/>
                <c:pt idx="0">
                  <c:v>19.98788612961841</c:v>
                </c:pt>
                <c:pt idx="1">
                  <c:v>19.594775960820847</c:v>
                </c:pt>
                <c:pt idx="2">
                  <c:v>17.604087394600541</c:v>
                </c:pt>
                <c:pt idx="3">
                  <c:v>15.917343728050296</c:v>
                </c:pt>
                <c:pt idx="4">
                  <c:v>14.470557619263159</c:v>
                </c:pt>
                <c:pt idx="5">
                  <c:v>13.216564708453696</c:v>
                </c:pt>
              </c:numCache>
            </c:numRef>
          </c:val>
          <c:smooth val="0"/>
          <c:extLst>
            <c:ext xmlns:c16="http://schemas.microsoft.com/office/drawing/2014/chart" uri="{C3380CC4-5D6E-409C-BE32-E72D297353CC}">
              <c16:uniqueId val="{00000000-7F0D-4BFE-8F48-F18FE5546A4A}"/>
            </c:ext>
          </c:extLst>
        </c:ser>
        <c:ser>
          <c:idx val="1"/>
          <c:order val="1"/>
          <c:tx>
            <c:strRef>
              <c:f>'All ratios forecasted'!$A$21</c:f>
              <c:strCache>
                <c:ptCount val="1"/>
                <c:pt idx="0">
                  <c:v>Price-book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ratios forecasted'!$B$3:$G$3</c:f>
              <c:strCache>
                <c:ptCount val="6"/>
                <c:pt idx="0">
                  <c:v>2025A</c:v>
                </c:pt>
                <c:pt idx="1">
                  <c:v>2026F</c:v>
                </c:pt>
                <c:pt idx="2">
                  <c:v>2027F</c:v>
                </c:pt>
                <c:pt idx="3">
                  <c:v>2028F</c:v>
                </c:pt>
                <c:pt idx="4">
                  <c:v>2029F</c:v>
                </c:pt>
                <c:pt idx="5">
                  <c:v>2030F</c:v>
                </c:pt>
              </c:strCache>
            </c:strRef>
          </c:cat>
          <c:val>
            <c:numRef>
              <c:f>'All ratios forecasted'!$B$21:$G$21</c:f>
              <c:numCache>
                <c:formatCode>0.000</c:formatCode>
                <c:ptCount val="6"/>
                <c:pt idx="0">
                  <c:v>33.282832144001596</c:v>
                </c:pt>
                <c:pt idx="1">
                  <c:v>30.297987398062677</c:v>
                </c:pt>
                <c:pt idx="2">
                  <c:v>27.548071223920214</c:v>
                </c:pt>
                <c:pt idx="3">
                  <c:v>25.035045253723901</c:v>
                </c:pt>
                <c:pt idx="4">
                  <c:v>22.752018314473613</c:v>
                </c:pt>
                <c:pt idx="5">
                  <c:v>20.686554904495036</c:v>
                </c:pt>
              </c:numCache>
            </c:numRef>
          </c:val>
          <c:smooth val="0"/>
          <c:extLst>
            <c:ext xmlns:c16="http://schemas.microsoft.com/office/drawing/2014/chart" uri="{C3380CC4-5D6E-409C-BE32-E72D297353CC}">
              <c16:uniqueId val="{00000001-7F0D-4BFE-8F48-F18FE5546A4A}"/>
            </c:ext>
          </c:extLst>
        </c:ser>
        <c:ser>
          <c:idx val="2"/>
          <c:order val="2"/>
          <c:tx>
            <c:strRef>
              <c:f>'All ratios forecasted'!$A$22</c:f>
              <c:strCache>
                <c:ptCount val="1"/>
                <c:pt idx="0">
                  <c:v>EV/EBITDA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ratios forecasted'!$B$3:$G$3</c:f>
              <c:strCache>
                <c:ptCount val="6"/>
                <c:pt idx="0">
                  <c:v>2025A</c:v>
                </c:pt>
                <c:pt idx="1">
                  <c:v>2026F</c:v>
                </c:pt>
                <c:pt idx="2">
                  <c:v>2027F</c:v>
                </c:pt>
                <c:pt idx="3">
                  <c:v>2028F</c:v>
                </c:pt>
                <c:pt idx="4">
                  <c:v>2029F</c:v>
                </c:pt>
                <c:pt idx="5">
                  <c:v>2030F</c:v>
                </c:pt>
              </c:strCache>
            </c:strRef>
          </c:cat>
          <c:val>
            <c:numRef>
              <c:f>'All ratios forecasted'!$B$22:$G$22</c:f>
              <c:numCache>
                <c:formatCode>0.00</c:formatCode>
                <c:ptCount val="6"/>
                <c:pt idx="0">
                  <c:v>24.948583786000597</c:v>
                </c:pt>
                <c:pt idx="1">
                  <c:v>23.765514716244862</c:v>
                </c:pt>
                <c:pt idx="2">
                  <c:v>22.63831350960999</c:v>
                </c:pt>
                <c:pt idx="3">
                  <c:v>21.564358495594384</c:v>
                </c:pt>
                <c:pt idx="4">
                  <c:v>20.541149876943976</c:v>
                </c:pt>
                <c:pt idx="5">
                  <c:v>19.566304142933276</c:v>
                </c:pt>
              </c:numCache>
            </c:numRef>
          </c:val>
          <c:smooth val="0"/>
          <c:extLst>
            <c:ext xmlns:c16="http://schemas.microsoft.com/office/drawing/2014/chart" uri="{C3380CC4-5D6E-409C-BE32-E72D297353CC}">
              <c16:uniqueId val="{00000002-7F0D-4BFE-8F48-F18FE5546A4A}"/>
            </c:ext>
          </c:extLst>
        </c:ser>
        <c:dLbls>
          <c:dLblPos val="t"/>
          <c:showLegendKey val="0"/>
          <c:showVal val="1"/>
          <c:showCatName val="0"/>
          <c:showSerName val="0"/>
          <c:showPercent val="0"/>
          <c:showBubbleSize val="0"/>
        </c:dLbls>
        <c:marker val="1"/>
        <c:smooth val="0"/>
        <c:axId val="502053984"/>
        <c:axId val="502057344"/>
      </c:lineChart>
      <c:catAx>
        <c:axId val="50205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57344"/>
        <c:crosses val="autoZero"/>
        <c:auto val="1"/>
        <c:lblAlgn val="ctr"/>
        <c:lblOffset val="100"/>
        <c:noMultiLvlLbl val="0"/>
      </c:catAx>
      <c:valAx>
        <c:axId val="502057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5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PAT VS PAT Margin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'All ratios forecasted'!$A$14</c:f>
              <c:strCache>
                <c:ptCount val="1"/>
                <c:pt idx="0">
                  <c:v>PAT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ratios forecasted'!$B$3:$G$3</c:f>
              <c:strCache>
                <c:ptCount val="6"/>
                <c:pt idx="0">
                  <c:v>2025A</c:v>
                </c:pt>
                <c:pt idx="1">
                  <c:v>2026F</c:v>
                </c:pt>
                <c:pt idx="2">
                  <c:v>2027F</c:v>
                </c:pt>
                <c:pt idx="3">
                  <c:v>2028F</c:v>
                </c:pt>
                <c:pt idx="4">
                  <c:v>2029F</c:v>
                </c:pt>
                <c:pt idx="5">
                  <c:v>2030F</c:v>
                </c:pt>
              </c:strCache>
            </c:strRef>
          </c:cat>
          <c:val>
            <c:numRef>
              <c:f>'All ratios forecasted'!$B$14:$G$14</c:f>
              <c:numCache>
                <c:formatCode>0.00</c:formatCode>
                <c:ptCount val="6"/>
                <c:pt idx="0">
                  <c:v>15353.57</c:v>
                </c:pt>
                <c:pt idx="1">
                  <c:v>15663.348262500002</c:v>
                </c:pt>
                <c:pt idx="2">
                  <c:v>17434.576023187507</c:v>
                </c:pt>
                <c:pt idx="3">
                  <c:v>19282.099151954066</c:v>
                </c:pt>
                <c:pt idx="4">
                  <c:v>21209.949752829798</c:v>
                </c:pt>
                <c:pt idx="5">
                  <c:v>23222.358212621257</c:v>
                </c:pt>
              </c:numCache>
            </c:numRef>
          </c:val>
          <c:extLst>
            <c:ext xmlns:c16="http://schemas.microsoft.com/office/drawing/2014/chart" uri="{C3380CC4-5D6E-409C-BE32-E72D297353CC}">
              <c16:uniqueId val="{00000000-7CD3-47AE-936A-0A24A2BA9FDE}"/>
            </c:ext>
          </c:extLst>
        </c:ser>
        <c:dLbls>
          <c:showLegendKey val="0"/>
          <c:showVal val="0"/>
          <c:showCatName val="0"/>
          <c:showSerName val="0"/>
          <c:showPercent val="0"/>
          <c:showBubbleSize val="0"/>
        </c:dLbls>
        <c:gapWidth val="219"/>
        <c:overlap val="-27"/>
        <c:axId val="502051584"/>
        <c:axId val="502045824"/>
      </c:barChart>
      <c:lineChart>
        <c:grouping val="standard"/>
        <c:varyColors val="0"/>
        <c:ser>
          <c:idx val="1"/>
          <c:order val="1"/>
          <c:tx>
            <c:strRef>
              <c:f>'All ratios forecasted'!$A$15</c:f>
              <c:strCache>
                <c:ptCount val="1"/>
                <c:pt idx="0">
                  <c:v>PAT Margin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'All ratios forecasted'!$B$3:$G$3</c:f>
              <c:strCache>
                <c:ptCount val="6"/>
                <c:pt idx="0">
                  <c:v>2025A</c:v>
                </c:pt>
                <c:pt idx="1">
                  <c:v>2026F</c:v>
                </c:pt>
                <c:pt idx="2">
                  <c:v>2027F</c:v>
                </c:pt>
                <c:pt idx="3">
                  <c:v>2028F</c:v>
                </c:pt>
                <c:pt idx="4">
                  <c:v>2029F</c:v>
                </c:pt>
                <c:pt idx="5">
                  <c:v>2030F</c:v>
                </c:pt>
              </c:strCache>
            </c:strRef>
          </c:cat>
          <c:val>
            <c:numRef>
              <c:f>'All ratios forecasted'!$B$15:$G$15</c:f>
              <c:numCache>
                <c:formatCode>0.00%</c:formatCode>
                <c:ptCount val="6"/>
                <c:pt idx="0">
                  <c:v>-7.8218449447191793E-3</c:v>
                </c:pt>
                <c:pt idx="1">
                  <c:v>2.017630183077954E-2</c:v>
                </c:pt>
                <c:pt idx="2">
                  <c:v>0.11308104314631399</c:v>
                </c:pt>
                <c:pt idx="3">
                  <c:v>0.10596891638256097</c:v>
                </c:pt>
                <c:pt idx="4">
                  <c:v>9.9981365394045396E-2</c:v>
                </c:pt>
                <c:pt idx="5">
                  <c:v>9.4880397324985016E-2</c:v>
                </c:pt>
              </c:numCache>
            </c:numRef>
          </c:val>
          <c:smooth val="0"/>
          <c:extLst>
            <c:ext xmlns:c16="http://schemas.microsoft.com/office/drawing/2014/chart" uri="{C3380CC4-5D6E-409C-BE32-E72D297353CC}">
              <c16:uniqueId val="{00000001-7CD3-47AE-936A-0A24A2BA9FDE}"/>
            </c:ext>
          </c:extLst>
        </c:ser>
        <c:dLbls>
          <c:showLegendKey val="0"/>
          <c:showVal val="0"/>
          <c:showCatName val="0"/>
          <c:showSerName val="0"/>
          <c:showPercent val="0"/>
          <c:showBubbleSize val="0"/>
        </c:dLbls>
        <c:marker val="1"/>
        <c:smooth val="0"/>
        <c:axId val="502044864"/>
        <c:axId val="502043424"/>
      </c:lineChart>
      <c:catAx>
        <c:axId val="502051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45824"/>
        <c:crosses val="autoZero"/>
        <c:auto val="1"/>
        <c:lblAlgn val="ctr"/>
        <c:lblOffset val="100"/>
        <c:noMultiLvlLbl val="0"/>
      </c:catAx>
      <c:valAx>
        <c:axId val="502045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51584"/>
        <c:crosses val="autoZero"/>
        <c:crossBetween val="between"/>
      </c:valAx>
      <c:valAx>
        <c:axId val="50204342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44864"/>
        <c:crosses val="max"/>
        <c:crossBetween val="between"/>
      </c:valAx>
      <c:catAx>
        <c:axId val="502044864"/>
        <c:scaling>
          <c:orientation val="minMax"/>
        </c:scaling>
        <c:delete val="1"/>
        <c:axPos val="b"/>
        <c:numFmt formatCode="General" sourceLinked="1"/>
        <c:majorTickMark val="none"/>
        <c:minorTickMark val="none"/>
        <c:tickLblPos val="nextTo"/>
        <c:crossAx val="502043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Operating Income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'All ratios forecasted'!$A$5</c:f>
              <c:strCache>
                <c:ptCount val="1"/>
                <c:pt idx="0">
                  <c:v>Operating Income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ratios forecasted'!$B$3:$G$3</c:f>
              <c:strCache>
                <c:ptCount val="6"/>
                <c:pt idx="0">
                  <c:v>2025A</c:v>
                </c:pt>
                <c:pt idx="1">
                  <c:v>2026F</c:v>
                </c:pt>
                <c:pt idx="2">
                  <c:v>2027F</c:v>
                </c:pt>
                <c:pt idx="3">
                  <c:v>2028F</c:v>
                </c:pt>
                <c:pt idx="4">
                  <c:v>2029F</c:v>
                </c:pt>
                <c:pt idx="5">
                  <c:v>2030F</c:v>
                </c:pt>
              </c:strCache>
            </c:strRef>
          </c:cat>
          <c:val>
            <c:numRef>
              <c:f>'All ratios forecasted'!$B$5:$G$5</c:f>
              <c:numCache>
                <c:formatCode>0.00</c:formatCode>
                <c:ptCount val="6"/>
                <c:pt idx="0">
                  <c:v>41431.49</c:v>
                </c:pt>
                <c:pt idx="1">
                  <c:v>43503.0645</c:v>
                </c:pt>
                <c:pt idx="2">
                  <c:v>45678.217725000002</c:v>
                </c:pt>
                <c:pt idx="3">
                  <c:v>47962.128611250002</c:v>
                </c:pt>
                <c:pt idx="4">
                  <c:v>50360.235041812506</c:v>
                </c:pt>
                <c:pt idx="5">
                  <c:v>52878.246793903134</c:v>
                </c:pt>
              </c:numCache>
            </c:numRef>
          </c:val>
          <c:extLst>
            <c:ext xmlns:c16="http://schemas.microsoft.com/office/drawing/2014/chart" uri="{C3380CC4-5D6E-409C-BE32-E72D297353CC}">
              <c16:uniqueId val="{00000000-553C-4CF5-A95D-D528AC262B4F}"/>
            </c:ext>
          </c:extLst>
        </c:ser>
        <c:dLbls>
          <c:showLegendKey val="0"/>
          <c:showVal val="0"/>
          <c:showCatName val="0"/>
          <c:showSerName val="0"/>
          <c:showPercent val="0"/>
          <c:showBubbleSize val="0"/>
        </c:dLbls>
        <c:gapWidth val="219"/>
        <c:overlap val="-27"/>
        <c:axId val="502087104"/>
        <c:axId val="502085664"/>
      </c:barChart>
      <c:lineChart>
        <c:grouping val="standard"/>
        <c:varyColors val="0"/>
        <c:ser>
          <c:idx val="1"/>
          <c:order val="1"/>
          <c:tx>
            <c:strRef>
              <c:f>'All ratios forecasted'!$A$13</c:f>
              <c:strCache>
                <c:ptCount val="1"/>
                <c:pt idx="0">
                  <c:v>EBIT Margin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'All ratios forecasted'!$B$3:$G$3</c:f>
              <c:strCache>
                <c:ptCount val="6"/>
                <c:pt idx="0">
                  <c:v>2025A</c:v>
                </c:pt>
                <c:pt idx="1">
                  <c:v>2026F</c:v>
                </c:pt>
                <c:pt idx="2">
                  <c:v>2027F</c:v>
                </c:pt>
                <c:pt idx="3">
                  <c:v>2028F</c:v>
                </c:pt>
                <c:pt idx="4">
                  <c:v>2029F</c:v>
                </c:pt>
                <c:pt idx="5">
                  <c:v>2030F</c:v>
                </c:pt>
              </c:strCache>
            </c:strRef>
          </c:cat>
          <c:val>
            <c:numRef>
              <c:f>'All ratios forecasted'!$B$13:$G$13</c:f>
              <c:numCache>
                <c:formatCode>0.00%</c:formatCode>
                <c:ptCount val="6"/>
                <c:pt idx="0">
                  <c:v>3.4812874676008174E-2</c:v>
                </c:pt>
                <c:pt idx="1">
                  <c:v>7.3862643356021232E-2</c:v>
                </c:pt>
                <c:pt idx="2">
                  <c:v>7.2109367939306085E-2</c:v>
                </c:pt>
                <c:pt idx="3">
                  <c:v>7.0518780580167209E-2</c:v>
                </c:pt>
                <c:pt idx="4">
                  <c:v>6.907128784432931E-2</c:v>
                </c:pt>
                <c:pt idx="5">
                  <c:v>6.7750282393774286E-2</c:v>
                </c:pt>
              </c:numCache>
            </c:numRef>
          </c:val>
          <c:smooth val="0"/>
          <c:extLst>
            <c:ext xmlns:c16="http://schemas.microsoft.com/office/drawing/2014/chart" uri="{C3380CC4-5D6E-409C-BE32-E72D297353CC}">
              <c16:uniqueId val="{00000001-553C-4CF5-A95D-D528AC262B4F}"/>
            </c:ext>
          </c:extLst>
        </c:ser>
        <c:dLbls>
          <c:showLegendKey val="0"/>
          <c:showVal val="0"/>
          <c:showCatName val="0"/>
          <c:showSerName val="0"/>
          <c:showPercent val="0"/>
          <c:showBubbleSize val="0"/>
        </c:dLbls>
        <c:marker val="1"/>
        <c:smooth val="0"/>
        <c:axId val="502088064"/>
        <c:axId val="502087584"/>
      </c:lineChart>
      <c:catAx>
        <c:axId val="502087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85664"/>
        <c:crosses val="autoZero"/>
        <c:auto val="1"/>
        <c:lblAlgn val="ctr"/>
        <c:lblOffset val="100"/>
        <c:noMultiLvlLbl val="0"/>
      </c:catAx>
      <c:valAx>
        <c:axId val="502085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87104"/>
        <c:crosses val="autoZero"/>
        <c:crossBetween val="between"/>
      </c:valAx>
      <c:valAx>
        <c:axId val="50208758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88064"/>
        <c:crosses val="max"/>
        <c:crossBetween val="between"/>
      </c:valAx>
      <c:catAx>
        <c:axId val="502088064"/>
        <c:scaling>
          <c:orientation val="minMax"/>
        </c:scaling>
        <c:delete val="1"/>
        <c:axPos val="b"/>
        <c:numFmt formatCode="General" sourceLinked="1"/>
        <c:majorTickMark val="none"/>
        <c:minorTickMark val="none"/>
        <c:tickLblPos val="nextTo"/>
        <c:crossAx val="5020875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'All ratios forecasted'!$A$32</c:f>
              <c:strCache>
                <c:ptCount val="1"/>
                <c:pt idx="0">
                  <c:v>Current ratio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ratios forecasted'!$B$3:$G$3</c:f>
              <c:strCache>
                <c:ptCount val="6"/>
                <c:pt idx="0">
                  <c:v>2025A</c:v>
                </c:pt>
                <c:pt idx="1">
                  <c:v>2026F</c:v>
                </c:pt>
                <c:pt idx="2">
                  <c:v>2027F</c:v>
                </c:pt>
                <c:pt idx="3">
                  <c:v>2028F</c:v>
                </c:pt>
                <c:pt idx="4">
                  <c:v>2029F</c:v>
                </c:pt>
                <c:pt idx="5">
                  <c:v>2030F</c:v>
                </c:pt>
              </c:strCache>
            </c:strRef>
          </c:cat>
          <c:val>
            <c:numRef>
              <c:f>'All ratios forecasted'!$B$32:$G$32</c:f>
              <c:numCache>
                <c:formatCode>0.00</c:formatCode>
                <c:ptCount val="6"/>
                <c:pt idx="0">
                  <c:v>0.74435025128238497</c:v>
                </c:pt>
                <c:pt idx="1">
                  <c:v>0.75092161625836307</c:v>
                </c:pt>
                <c:pt idx="2">
                  <c:v>0.75849816819843952</c:v>
                </c:pt>
                <c:pt idx="3">
                  <c:v>0.76710369962244684</c:v>
                </c:pt>
                <c:pt idx="4">
                  <c:v>0.77676212177484072</c:v>
                </c:pt>
                <c:pt idx="5">
                  <c:v>0.7874977294957376</c:v>
                </c:pt>
              </c:numCache>
            </c:numRef>
          </c:val>
          <c:extLst>
            <c:ext xmlns:c16="http://schemas.microsoft.com/office/drawing/2014/chart" uri="{C3380CC4-5D6E-409C-BE32-E72D297353CC}">
              <c16:uniqueId val="{00000000-5EC4-436B-A6ED-BFCF8C37BF08}"/>
            </c:ext>
          </c:extLst>
        </c:ser>
        <c:dLbls>
          <c:dLblPos val="outEnd"/>
          <c:showLegendKey val="0"/>
          <c:showVal val="1"/>
          <c:showCatName val="0"/>
          <c:showSerName val="0"/>
          <c:showPercent val="0"/>
          <c:showBubbleSize val="0"/>
        </c:dLbls>
        <c:gapWidth val="100"/>
        <c:overlap val="-24"/>
        <c:axId val="502044384"/>
        <c:axId val="502047264"/>
      </c:barChart>
      <c:catAx>
        <c:axId val="5020443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47264"/>
        <c:crosses val="autoZero"/>
        <c:auto val="1"/>
        <c:lblAlgn val="ctr"/>
        <c:lblOffset val="100"/>
        <c:noMultiLvlLbl val="0"/>
      </c:catAx>
      <c:valAx>
        <c:axId val="502047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44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Debt/Equity and Interest Coverage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'All ratios forecasted'!$A$33</c:f>
              <c:strCache>
                <c:ptCount val="1"/>
                <c:pt idx="0">
                  <c:v>Debt/equity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'All ratios forecasted'!$B$3:$G$3</c:f>
              <c:strCache>
                <c:ptCount val="6"/>
                <c:pt idx="0">
                  <c:v>2025A</c:v>
                </c:pt>
                <c:pt idx="1">
                  <c:v>2026F</c:v>
                </c:pt>
                <c:pt idx="2">
                  <c:v>2027F</c:v>
                </c:pt>
                <c:pt idx="3">
                  <c:v>2028F</c:v>
                </c:pt>
                <c:pt idx="4">
                  <c:v>2029F</c:v>
                </c:pt>
                <c:pt idx="5">
                  <c:v>2030F</c:v>
                </c:pt>
              </c:strCache>
            </c:strRef>
          </c:cat>
          <c:val>
            <c:numRef>
              <c:f>'All ratios forecasted'!$B$33:$G$33</c:f>
              <c:numCache>
                <c:formatCode>0.00</c:formatCode>
                <c:ptCount val="6"/>
                <c:pt idx="0">
                  <c:v>1.3505902739936226</c:v>
                </c:pt>
                <c:pt idx="1">
                  <c:v>1.1764250705872616</c:v>
                </c:pt>
                <c:pt idx="2">
                  <c:v>1.0236884893117879</c:v>
                </c:pt>
                <c:pt idx="3">
                  <c:v>0.89046141600758721</c:v>
                </c:pt>
                <c:pt idx="4">
                  <c:v>0.7746795209191355</c:v>
                </c:pt>
                <c:pt idx="5">
                  <c:v>0.67429230038569898</c:v>
                </c:pt>
              </c:numCache>
            </c:numRef>
          </c:val>
          <c:extLst>
            <c:ext xmlns:c16="http://schemas.microsoft.com/office/drawing/2014/chart" uri="{C3380CC4-5D6E-409C-BE32-E72D297353CC}">
              <c16:uniqueId val="{00000000-6D5D-4884-A1F7-36F76D07EBD6}"/>
            </c:ext>
          </c:extLst>
        </c:ser>
        <c:ser>
          <c:idx val="1"/>
          <c:order val="1"/>
          <c:tx>
            <c:strRef>
              <c:f>'All ratios forecasted'!$A$34</c:f>
              <c:strCache>
                <c:ptCount val="1"/>
                <c:pt idx="0">
                  <c:v>Interest Coverage ratio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'All ratios forecasted'!$B$3:$G$3</c:f>
              <c:strCache>
                <c:ptCount val="6"/>
                <c:pt idx="0">
                  <c:v>2025A</c:v>
                </c:pt>
                <c:pt idx="1">
                  <c:v>2026F</c:v>
                </c:pt>
                <c:pt idx="2">
                  <c:v>2027F</c:v>
                </c:pt>
                <c:pt idx="3">
                  <c:v>2028F</c:v>
                </c:pt>
                <c:pt idx="4">
                  <c:v>2029F</c:v>
                </c:pt>
                <c:pt idx="5">
                  <c:v>2030F</c:v>
                </c:pt>
              </c:strCache>
            </c:strRef>
          </c:cat>
          <c:val>
            <c:numRef>
              <c:f>'All ratios forecasted'!$B$34:$G$34</c:f>
              <c:numCache>
                <c:formatCode>0.00</c:formatCode>
                <c:ptCount val="6"/>
                <c:pt idx="0">
                  <c:v>2.9642157876303363</c:v>
                </c:pt>
                <c:pt idx="1">
                  <c:v>3.2481230624309831</c:v>
                </c:pt>
                <c:pt idx="2">
                  <c:v>3.5534113912775149</c:v>
                </c:pt>
                <c:pt idx="3">
                  <c:v>3.8816261525408988</c:v>
                </c:pt>
                <c:pt idx="4">
                  <c:v>4.2344235406399262</c:v>
                </c:pt>
                <c:pt idx="5">
                  <c:v>4.6135785013195179</c:v>
                </c:pt>
              </c:numCache>
            </c:numRef>
          </c:val>
          <c:extLst>
            <c:ext xmlns:c16="http://schemas.microsoft.com/office/drawing/2014/chart" uri="{C3380CC4-5D6E-409C-BE32-E72D297353CC}">
              <c16:uniqueId val="{00000001-6D5D-4884-A1F7-36F76D07EBD6}"/>
            </c:ext>
          </c:extLst>
        </c:ser>
        <c:dLbls>
          <c:dLblPos val="ctr"/>
          <c:showLegendKey val="0"/>
          <c:showVal val="1"/>
          <c:showCatName val="0"/>
          <c:showSerName val="0"/>
          <c:showPercent val="0"/>
          <c:showBubbleSize val="0"/>
        </c:dLbls>
        <c:gapWidth val="79"/>
        <c:overlap val="100"/>
        <c:axId val="502090944"/>
        <c:axId val="502026624"/>
      </c:barChart>
      <c:catAx>
        <c:axId val="50209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2026624"/>
        <c:crosses val="autoZero"/>
        <c:auto val="1"/>
        <c:lblAlgn val="ctr"/>
        <c:lblOffset val="100"/>
        <c:noMultiLvlLbl val="0"/>
      </c:catAx>
      <c:valAx>
        <c:axId val="502026624"/>
        <c:scaling>
          <c:orientation val="minMax"/>
        </c:scaling>
        <c:delete val="1"/>
        <c:axPos val="b"/>
        <c:numFmt formatCode="0.00" sourceLinked="1"/>
        <c:majorTickMark val="none"/>
        <c:minorTickMark val="none"/>
        <c:tickLblPos val="nextTo"/>
        <c:crossAx val="5020909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195263</xdr:colOff>
      <xdr:row>2</xdr:row>
      <xdr:rowOff>161925</xdr:rowOff>
    </xdr:from>
    <xdr:to>
      <xdr:col>16</xdr:col>
      <xdr:colOff>114300</xdr:colOff>
      <xdr:row>26</xdr:row>
      <xdr:rowOff>38100</xdr:rowOff>
    </xdr:to>
    <xdr:sp macro="" textlink="">
      <xdr:nvSpPr>
        <xdr:cNvPr id="2" name="Rectangle: Rounded Corners 1">
          <a:extLst>
            <a:ext uri="{FF2B5EF4-FFF2-40B4-BE49-F238E27FC236}">
              <a16:creationId xmlns:a16="http://schemas.microsoft.com/office/drawing/2014/main" id="{9BDC69A3-E178-A5AC-7B70-F56DA5459C44}"/>
            </a:ext>
          </a:extLst>
        </xdr:cNvPr>
        <xdr:cNvSpPr/>
      </xdr:nvSpPr>
      <xdr:spPr>
        <a:xfrm>
          <a:off x="2138363" y="523875"/>
          <a:ext cx="8339137" cy="4219575"/>
        </a:xfrm>
        <a:prstGeom prst="roundRect">
          <a:avLst/>
        </a:prstGeom>
        <a:ln w="12700">
          <a:solidFill>
            <a:schemeClr val="accent2">
              <a:lumMod val="5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2800" b="1">
              <a:solidFill>
                <a:schemeClr val="bg1"/>
              </a:solidFill>
            </a:rPr>
            <a:t>Equity Analysis and Business Valuation</a:t>
          </a:r>
        </a:p>
        <a:p>
          <a:pPr algn="ctr"/>
          <a:endParaRPr lang="en-IN" sz="2800" b="1">
            <a:solidFill>
              <a:schemeClr val="bg1"/>
            </a:solidFill>
          </a:endParaRPr>
        </a:p>
        <a:p>
          <a:pPr algn="ctr"/>
          <a:r>
            <a:rPr lang="en-IN" sz="2800" b="1">
              <a:solidFill>
                <a:schemeClr val="bg1"/>
              </a:solidFill>
            </a:rPr>
            <a:t>Valuation models</a:t>
          </a:r>
        </a:p>
        <a:p>
          <a:pPr algn="ctr"/>
          <a:endParaRPr lang="en-IN" sz="2800" b="1">
            <a:solidFill>
              <a:schemeClr val="bg1"/>
            </a:solidFill>
          </a:endParaRPr>
        </a:p>
        <a:p>
          <a:pPr algn="ctr"/>
          <a:endParaRPr lang="en-IN" sz="2800" b="1">
            <a:solidFill>
              <a:schemeClr val="bg1"/>
            </a:solidFill>
          </a:endParaRPr>
        </a:p>
        <a:p>
          <a:pPr algn="ctr"/>
          <a:r>
            <a:rPr lang="en-IN" sz="2800" b="1">
              <a:solidFill>
                <a:schemeClr val="bg1"/>
              </a:solidFill>
            </a:rPr>
            <a:t>SUBMITTED TO:</a:t>
          </a:r>
          <a:r>
            <a:rPr lang="en-IN" sz="2800" b="1" baseline="0">
              <a:solidFill>
                <a:schemeClr val="bg1"/>
              </a:solidFill>
            </a:rPr>
            <a:t> Dr. Purnima Rao</a:t>
          </a:r>
        </a:p>
        <a:p>
          <a:pPr algn="ctr"/>
          <a:r>
            <a:rPr lang="en-IN" sz="2800" b="1" baseline="0">
              <a:solidFill>
                <a:schemeClr val="bg1"/>
              </a:solidFill>
            </a:rPr>
            <a:t>SUBMITTED BY: Akansha Saini (25PGDMFM006)</a:t>
          </a:r>
          <a:endParaRPr lang="en-IN" sz="28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66676</xdr:colOff>
      <xdr:row>3</xdr:row>
      <xdr:rowOff>195264</xdr:rowOff>
    </xdr:from>
    <xdr:to>
      <xdr:col>13</xdr:col>
      <xdr:colOff>476250</xdr:colOff>
      <xdr:row>17</xdr:row>
      <xdr:rowOff>23812</xdr:rowOff>
    </xdr:to>
    <xdr:graphicFrame macro="">
      <xdr:nvGraphicFramePr>
        <xdr:cNvPr id="2" name="Chart 1">
          <a:extLst>
            <a:ext uri="{FF2B5EF4-FFF2-40B4-BE49-F238E27FC236}">
              <a16:creationId xmlns:a16="http://schemas.microsoft.com/office/drawing/2014/main" id="{D109519E-C817-4CBA-9DE7-4BEAE3A26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504825</xdr:colOff>
      <xdr:row>1</xdr:row>
      <xdr:rowOff>76200</xdr:rowOff>
    </xdr:from>
    <xdr:to>
      <xdr:col>8</xdr:col>
      <xdr:colOff>723900</xdr:colOff>
      <xdr:row>12</xdr:row>
      <xdr:rowOff>85726</xdr:rowOff>
    </xdr:to>
    <xdr:graphicFrame macro="">
      <xdr:nvGraphicFramePr>
        <xdr:cNvPr id="2" name="Chart 1">
          <a:extLst>
            <a:ext uri="{FF2B5EF4-FFF2-40B4-BE49-F238E27FC236}">
              <a16:creationId xmlns:a16="http://schemas.microsoft.com/office/drawing/2014/main" id="{45A1090F-D76A-4C08-BBD6-750212FF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1145046</xdr:colOff>
      <xdr:row>14</xdr:row>
      <xdr:rowOff>203095</xdr:rowOff>
    </xdr:from>
    <xdr:to>
      <xdr:col>4</xdr:col>
      <xdr:colOff>880805</xdr:colOff>
      <xdr:row>29</xdr:row>
      <xdr:rowOff>112660</xdr:rowOff>
    </xdr:to>
    <xdr:graphicFrame macro="">
      <xdr:nvGraphicFramePr>
        <xdr:cNvPr id="3" name="Chart 2">
          <a:extLst>
            <a:ext uri="{FF2B5EF4-FFF2-40B4-BE49-F238E27FC236}">
              <a16:creationId xmlns:a16="http://schemas.microsoft.com/office/drawing/2014/main" id="{F2AB7B35-02B2-79CA-F163-50BB79880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407192</xdr:colOff>
      <xdr:row>1</xdr:row>
      <xdr:rowOff>128589</xdr:rowOff>
    </xdr:from>
    <xdr:to>
      <xdr:col>14</xdr:col>
      <xdr:colOff>461962</xdr:colOff>
      <xdr:row>14</xdr:row>
      <xdr:rowOff>28576</xdr:rowOff>
    </xdr:to>
    <xdr:graphicFrame macro="">
      <xdr:nvGraphicFramePr>
        <xdr:cNvPr id="2" name="Chart 1">
          <a:extLst>
            <a:ext uri="{FF2B5EF4-FFF2-40B4-BE49-F238E27FC236}">
              <a16:creationId xmlns:a16="http://schemas.microsoft.com/office/drawing/2014/main" id="{D5034380-A2B8-D7CF-F477-6AF480DFE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364331</xdr:colOff>
      <xdr:row>15</xdr:row>
      <xdr:rowOff>114300</xdr:rowOff>
    </xdr:from>
    <xdr:to>
      <xdr:col>14</xdr:col>
      <xdr:colOff>200025</xdr:colOff>
      <xdr:row>26</xdr:row>
      <xdr:rowOff>123825</xdr:rowOff>
    </xdr:to>
    <xdr:graphicFrame macro="">
      <xdr:nvGraphicFramePr>
        <xdr:cNvPr id="3" name="Chart 2">
          <a:extLst>
            <a:ext uri="{FF2B5EF4-FFF2-40B4-BE49-F238E27FC236}">
              <a16:creationId xmlns:a16="http://schemas.microsoft.com/office/drawing/2014/main" id="{31DA3683-0F59-B815-6B51-010371A67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119061</xdr:colOff>
      <xdr:row>1</xdr:row>
      <xdr:rowOff>190499</xdr:rowOff>
    </xdr:from>
    <xdr:to>
      <xdr:col>20</xdr:col>
      <xdr:colOff>485774</xdr:colOff>
      <xdr:row>13</xdr:row>
      <xdr:rowOff>138113</xdr:rowOff>
    </xdr:to>
    <xdr:graphicFrame macro="">
      <xdr:nvGraphicFramePr>
        <xdr:cNvPr id="4" name="Chart 3">
          <a:extLst>
            <a:ext uri="{FF2B5EF4-FFF2-40B4-BE49-F238E27FC236}">
              <a16:creationId xmlns:a16="http://schemas.microsoft.com/office/drawing/2014/main" id="{6CB3741A-C87D-7F09-6736-379806918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571500</xdr:colOff>
      <xdr:row>16</xdr:row>
      <xdr:rowOff>33337</xdr:rowOff>
    </xdr:from>
    <xdr:to>
      <xdr:col>20</xdr:col>
      <xdr:colOff>607218</xdr:colOff>
      <xdr:row>28</xdr:row>
      <xdr:rowOff>9525</xdr:rowOff>
    </xdr:to>
    <xdr:graphicFrame macro="">
      <xdr:nvGraphicFramePr>
        <xdr:cNvPr id="5" name="Chart 4">
          <a:extLst>
            <a:ext uri="{FF2B5EF4-FFF2-40B4-BE49-F238E27FC236}">
              <a16:creationId xmlns:a16="http://schemas.microsoft.com/office/drawing/2014/main" id="{C0DFF5A2-9378-5B1A-1694-383826BD8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164305</xdr:colOff>
      <xdr:row>27</xdr:row>
      <xdr:rowOff>147637</xdr:rowOff>
    </xdr:from>
    <xdr:to>
      <xdr:col>14</xdr:col>
      <xdr:colOff>285750</xdr:colOff>
      <xdr:row>41</xdr:row>
      <xdr:rowOff>76200</xdr:rowOff>
    </xdr:to>
    <xdr:graphicFrame macro="">
      <xdr:nvGraphicFramePr>
        <xdr:cNvPr id="6" name="Chart 5">
          <a:extLst>
            <a:ext uri="{FF2B5EF4-FFF2-40B4-BE49-F238E27FC236}">
              <a16:creationId xmlns:a16="http://schemas.microsoft.com/office/drawing/2014/main" id="{DE1FC002-DF2B-7300-04A8-AC5450211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PowerGrid_WACC.xlsx" TargetMode="External"/><Relationship Id="rId1" Type="http://schemas.openxmlformats.org/officeDocument/2006/relationships/externalLinkPath" Target="file:///C:\Users\hp\Downloads\PowerGrid_WACC.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p\Downloads\PowerGrid_DCF.xlsx" TargetMode="External"/><Relationship Id="rId1" Type="http://schemas.openxmlformats.org/officeDocument/2006/relationships/externalLinkPath" Target="file:///C:\Users\hp\Downloads\PowerGrid_DC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ACC"/>
    </sheetNames>
    <sheetDataSet>
      <sheetData sheetId="0">
        <row r="2">
          <cell r="I2" t="str">
            <v>% of Debt</v>
          </cell>
          <cell r="J2">
            <v>0.58681155141568997</v>
          </cell>
        </row>
        <row r="3">
          <cell r="I3" t="str">
            <v>% of Equity</v>
          </cell>
          <cell r="J3">
            <v>0.41318844858430998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CF Valuation"/>
    </sheetNames>
    <sheetDataSet>
      <sheetData sheetId="0">
        <row r="1">
          <cell r="Q1" t="str">
            <v>Value</v>
          </cell>
        </row>
        <row r="2">
          <cell r="P2" t="str">
            <v>CMP</v>
          </cell>
          <cell r="Q2">
            <v>330</v>
          </cell>
        </row>
        <row r="3">
          <cell r="P3" t="str">
            <v>Upside Potential</v>
          </cell>
          <cell r="Q3">
            <v>657.09469390142499</v>
          </cell>
        </row>
        <row r="4">
          <cell r="P4" t="str">
            <v>Fair Value</v>
          </cell>
          <cell r="Q4" t="str">
            <v>Intrinsic Value of Share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awsone.capitaline.com/index.html" TargetMode="External"/><Relationship Id="rId3" Type="http://schemas.openxmlformats.org/officeDocument/2006/relationships/hyperlink" Target="https://www.nseindia.com/get-quotes/equity?symbol=POWERGRID" TargetMode="External"/><Relationship Id="rId7" Type="http://schemas.openxmlformats.org/officeDocument/2006/relationships/hyperlink" Target="https://www.indigrid.co.in/wp-content/uploads/2025/07/Valuation.pdf" TargetMode="External"/><Relationship Id="rId2" Type="http://schemas.openxmlformats.org/officeDocument/2006/relationships/hyperlink" Target="mailto:https://www.powergrid.in/annual-reports" TargetMode="External"/><Relationship Id="rId1" Type="http://schemas.openxmlformats.org/officeDocument/2006/relationships/hyperlink" Target="https://awsone.capitaline.com/index.html" TargetMode="External"/><Relationship Id="rId6" Type="http://schemas.openxmlformats.org/officeDocument/2006/relationships/hyperlink" Target="https://www.screener.in/company/POWERGRID/consolidated/" TargetMode="External"/><Relationship Id="rId5" Type="http://schemas.openxmlformats.org/officeDocument/2006/relationships/hyperlink" Target="mailto:https://ticker.finology.in/company/POWERGRID" TargetMode="External"/><Relationship Id="rId10" Type="http://schemas.openxmlformats.org/officeDocument/2006/relationships/hyperlink" Target="https://images.assettype.com/bloombergquint/2021-06/a25d87d1-ef19-46d2-93c3-eb995c94e641/Motilal_Oswal_Power_Grid_Q4FY21_Result_Update.pdf" TargetMode="External"/><Relationship Id="rId4" Type="http://schemas.openxmlformats.org/officeDocument/2006/relationships/hyperlink" Target="https://in.investing.com/rates-bonds/india-10-year-bond-yield" TargetMode="External"/><Relationship Id="rId9" Type="http://schemas.openxmlformats.org/officeDocument/2006/relationships/hyperlink" Target="https://powermin.gov.in/en/content/depreciation-norms-generating-companies"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4EFD2-75B5-49F3-9C56-F286D3AC091D}">
  <dimension ref="A1"/>
  <sheetViews>
    <sheetView workbookViewId="0">
      <selection activeCell="A18" sqref="A18"/>
    </sheetView>
  </sheetViews>
  <sheetFormatPr defaultRowHeight="14.25" x14ac:dyDescent="0.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BAD49-5F6C-49F9-8D56-9C78846F3755}">
  <dimension ref="A1:E15"/>
  <sheetViews>
    <sheetView topLeftCell="A6" workbookViewId="0">
      <selection activeCell="G10" sqref="G10"/>
    </sheetView>
  </sheetViews>
  <sheetFormatPr defaultRowHeight="14.25" x14ac:dyDescent="0.45"/>
  <cols>
    <col min="1" max="1" width="12.796875" customWidth="1"/>
    <col min="2" max="2" width="44.6640625" customWidth="1"/>
    <col min="3" max="3" width="23.1328125" customWidth="1"/>
    <col min="4" max="4" width="35.53125" customWidth="1"/>
    <col min="5" max="5" width="43.86328125" customWidth="1"/>
  </cols>
  <sheetData>
    <row r="1" spans="1:5" ht="21" x14ac:dyDescent="0.65">
      <c r="A1" s="276" t="s">
        <v>202</v>
      </c>
      <c r="B1" s="276"/>
      <c r="C1" s="276"/>
    </row>
    <row r="3" spans="1:5" ht="26.75" customHeight="1" x14ac:dyDescent="0.45">
      <c r="A3" s="20" t="s">
        <v>203</v>
      </c>
      <c r="B3" s="21" t="s">
        <v>204</v>
      </c>
      <c r="C3" s="20" t="s">
        <v>205</v>
      </c>
      <c r="D3" s="20" t="s">
        <v>206</v>
      </c>
      <c r="E3" s="20" t="s">
        <v>207</v>
      </c>
    </row>
    <row r="4" spans="1:5" ht="28.5" x14ac:dyDescent="0.45">
      <c r="A4" s="3">
        <v>1</v>
      </c>
      <c r="B4" s="23" t="s">
        <v>208</v>
      </c>
      <c r="C4" s="24" t="s">
        <v>211</v>
      </c>
      <c r="D4" s="22" t="s">
        <v>213</v>
      </c>
      <c r="E4" s="28" t="s">
        <v>212</v>
      </c>
    </row>
    <row r="5" spans="1:5" ht="71.25" x14ac:dyDescent="0.45">
      <c r="A5" s="3">
        <v>2</v>
      </c>
      <c r="B5" s="3" t="s">
        <v>209</v>
      </c>
      <c r="C5" s="3"/>
      <c r="D5" s="25" t="s">
        <v>226</v>
      </c>
      <c r="E5" s="28" t="s">
        <v>212</v>
      </c>
    </row>
    <row r="6" spans="1:5" ht="57" x14ac:dyDescent="0.45">
      <c r="A6" s="3">
        <v>3</v>
      </c>
      <c r="B6" s="3" t="s">
        <v>210</v>
      </c>
      <c r="C6" s="26">
        <v>0.19550000000000001</v>
      </c>
      <c r="D6" s="25" t="s">
        <v>224</v>
      </c>
      <c r="E6" s="29" t="s">
        <v>225</v>
      </c>
    </row>
    <row r="7" spans="1:5" ht="42.75" x14ac:dyDescent="0.45">
      <c r="A7" s="3">
        <v>3</v>
      </c>
      <c r="B7" s="3" t="s">
        <v>214</v>
      </c>
      <c r="C7" s="27" t="s">
        <v>211</v>
      </c>
      <c r="D7" s="25" t="s">
        <v>227</v>
      </c>
      <c r="E7" s="28" t="s">
        <v>221</v>
      </c>
    </row>
    <row r="8" spans="1:5" ht="42.75" x14ac:dyDescent="0.45">
      <c r="A8" s="3">
        <v>4</v>
      </c>
      <c r="B8" s="3" t="s">
        <v>215</v>
      </c>
      <c r="C8" s="26">
        <v>6.6699999999999995E-2</v>
      </c>
      <c r="D8" s="25" t="s">
        <v>223</v>
      </c>
      <c r="E8" s="28" t="s">
        <v>222</v>
      </c>
    </row>
    <row r="9" spans="1:5" ht="57" x14ac:dyDescent="0.45">
      <c r="A9" s="3">
        <v>5</v>
      </c>
      <c r="B9" s="3" t="s">
        <v>216</v>
      </c>
      <c r="C9" s="26">
        <v>6.8500000000000005E-2</v>
      </c>
      <c r="D9" s="30" t="s">
        <v>228</v>
      </c>
      <c r="E9" s="265" t="s">
        <v>862</v>
      </c>
    </row>
    <row r="10" spans="1:5" ht="57" x14ac:dyDescent="0.45">
      <c r="A10" s="3">
        <v>6</v>
      </c>
      <c r="B10" s="3" t="s">
        <v>217</v>
      </c>
      <c r="C10" s="131">
        <v>5.5E-2</v>
      </c>
      <c r="D10" s="3"/>
      <c r="E10" s="28" t="s">
        <v>866</v>
      </c>
    </row>
    <row r="11" spans="1:5" ht="28.5" x14ac:dyDescent="0.45">
      <c r="A11" s="3">
        <v>7</v>
      </c>
      <c r="B11" s="3" t="s">
        <v>218</v>
      </c>
      <c r="C11" s="3"/>
      <c r="D11" s="3" t="s">
        <v>860</v>
      </c>
      <c r="E11" s="28" t="s">
        <v>861</v>
      </c>
    </row>
    <row r="12" spans="1:5" x14ac:dyDescent="0.45">
      <c r="A12" s="3">
        <v>8</v>
      </c>
      <c r="B12" s="3" t="s">
        <v>219</v>
      </c>
      <c r="C12" s="3"/>
      <c r="D12" s="3"/>
      <c r="E12" s="3"/>
    </row>
    <row r="13" spans="1:5" x14ac:dyDescent="0.45">
      <c r="A13" s="3">
        <v>9</v>
      </c>
      <c r="B13" s="3" t="s">
        <v>220</v>
      </c>
      <c r="C13" s="3"/>
      <c r="D13" s="3"/>
      <c r="E13" s="3"/>
    </row>
    <row r="14" spans="1:5" x14ac:dyDescent="0.45">
      <c r="A14" s="3">
        <v>10</v>
      </c>
      <c r="B14" s="3" t="s">
        <v>366</v>
      </c>
      <c r="C14" s="3"/>
      <c r="D14" s="3"/>
      <c r="E14" s="264" t="s">
        <v>367</v>
      </c>
    </row>
    <row r="15" spans="1:5" ht="28.5" x14ac:dyDescent="0.45">
      <c r="A15" s="3">
        <v>11</v>
      </c>
      <c r="B15" s="3" t="s">
        <v>863</v>
      </c>
      <c r="C15" s="266">
        <v>7.0000000000000007E-2</v>
      </c>
      <c r="D15" s="25" t="s">
        <v>864</v>
      </c>
      <c r="E15" s="28" t="s">
        <v>865</v>
      </c>
    </row>
  </sheetData>
  <mergeCells count="1">
    <mergeCell ref="A1:C1"/>
  </mergeCells>
  <hyperlinks>
    <hyperlink ref="E4" r:id="rId1" location="/Company/Condensed/condensed?section=ProfitLoss" xr:uid="{F9D62267-A9A9-4ECE-BBC8-110FA2435DFD}"/>
    <hyperlink ref="E6" r:id="rId2" xr:uid="{BA3CEC1B-9100-47D8-A770-DBC5BA11130C}"/>
    <hyperlink ref="E7" r:id="rId3" xr:uid="{CBF4DACC-DC33-4F20-AE0B-4A51C2EBD996}"/>
    <hyperlink ref="E8" r:id="rId4" xr:uid="{16285075-BA91-4EDD-B0B0-052FA13C3CF4}"/>
    <hyperlink ref="E14" r:id="rId5" xr:uid="{416DD7C5-9C8E-4065-9A97-811BAFE79E88}"/>
    <hyperlink ref="E11" r:id="rId6" location="peers" xr:uid="{66C0ABDE-0C08-4427-AB33-EF3134189A33}"/>
    <hyperlink ref="E9" r:id="rId7" xr:uid="{EE9F7EC4-7042-49FA-A18A-9A0F02C8EBE9}"/>
    <hyperlink ref="E5" r:id="rId8" location="/Company/Condensed/condensed?section=ProfitLoss" xr:uid="{B4D0D679-8113-472B-9D93-C2F738C8A980}"/>
    <hyperlink ref="E15" r:id="rId9" xr:uid="{C2EF557C-DB22-40C0-8745-D16524339AEF}"/>
    <hyperlink ref="E10" r:id="rId10" xr:uid="{C9E24ED8-53DE-42BC-ACBA-6B578FFE83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A81B9-0C6F-4A5C-8A55-BF0383AD0463}">
  <dimension ref="A1:U33"/>
  <sheetViews>
    <sheetView workbookViewId="0">
      <selection activeCell="I20" sqref="I20"/>
    </sheetView>
  </sheetViews>
  <sheetFormatPr defaultRowHeight="14.25" x14ac:dyDescent="0.45"/>
  <sheetData>
    <row r="1" spans="1:21" ht="25.5" x14ac:dyDescent="0.75">
      <c r="A1" s="277" t="s">
        <v>2</v>
      </c>
      <c r="B1" s="277"/>
      <c r="C1" s="277"/>
      <c r="D1" s="277"/>
    </row>
    <row r="3" spans="1:21" ht="21.4" thickBot="1" x14ac:dyDescent="0.7">
      <c r="A3" s="287" t="s">
        <v>854</v>
      </c>
      <c r="B3" s="287"/>
      <c r="C3" s="287"/>
      <c r="K3" s="314" t="s">
        <v>855</v>
      </c>
      <c r="L3" s="314"/>
      <c r="M3" s="314"/>
    </row>
    <row r="4" spans="1:21" ht="14.25" customHeight="1" x14ac:dyDescent="0.45">
      <c r="A4" s="278" t="s">
        <v>853</v>
      </c>
      <c r="B4" s="279"/>
      <c r="C4" s="279"/>
      <c r="D4" s="279"/>
      <c r="E4" s="279"/>
      <c r="F4" s="279"/>
      <c r="G4" s="279"/>
      <c r="H4" s="279"/>
      <c r="I4" s="280"/>
      <c r="J4" s="30"/>
      <c r="K4" s="288" t="s">
        <v>856</v>
      </c>
      <c r="L4" s="289"/>
      <c r="M4" s="289"/>
      <c r="N4" s="289"/>
      <c r="O4" s="289"/>
      <c r="P4" s="289"/>
      <c r="Q4" s="289"/>
      <c r="R4" s="289"/>
      <c r="S4" s="289"/>
      <c r="T4" s="289"/>
      <c r="U4" s="290"/>
    </row>
    <row r="5" spans="1:21" x14ac:dyDescent="0.45">
      <c r="A5" s="281"/>
      <c r="B5" s="282"/>
      <c r="C5" s="282"/>
      <c r="D5" s="282"/>
      <c r="E5" s="282"/>
      <c r="F5" s="282"/>
      <c r="G5" s="282"/>
      <c r="H5" s="282"/>
      <c r="I5" s="283"/>
      <c r="J5" s="30"/>
      <c r="K5" s="291"/>
      <c r="L5" s="292"/>
      <c r="M5" s="292"/>
      <c r="N5" s="292"/>
      <c r="O5" s="292"/>
      <c r="P5" s="292"/>
      <c r="Q5" s="292"/>
      <c r="R5" s="292"/>
      <c r="S5" s="292"/>
      <c r="T5" s="292"/>
      <c r="U5" s="293"/>
    </row>
    <row r="6" spans="1:21" x14ac:dyDescent="0.45">
      <c r="A6" s="281"/>
      <c r="B6" s="282"/>
      <c r="C6" s="282"/>
      <c r="D6" s="282"/>
      <c r="E6" s="282"/>
      <c r="F6" s="282"/>
      <c r="G6" s="282"/>
      <c r="H6" s="282"/>
      <c r="I6" s="283"/>
      <c r="J6" s="30"/>
      <c r="K6" s="291"/>
      <c r="L6" s="292"/>
      <c r="M6" s="292"/>
      <c r="N6" s="292"/>
      <c r="O6" s="292"/>
      <c r="P6" s="292"/>
      <c r="Q6" s="292"/>
      <c r="R6" s="292"/>
      <c r="S6" s="292"/>
      <c r="T6" s="292"/>
      <c r="U6" s="293"/>
    </row>
    <row r="7" spans="1:21" x14ac:dyDescent="0.45">
      <c r="A7" s="281"/>
      <c r="B7" s="282"/>
      <c r="C7" s="282"/>
      <c r="D7" s="282"/>
      <c r="E7" s="282"/>
      <c r="F7" s="282"/>
      <c r="G7" s="282"/>
      <c r="H7" s="282"/>
      <c r="I7" s="283"/>
      <c r="J7" s="30"/>
      <c r="K7" s="291"/>
      <c r="L7" s="292"/>
      <c r="M7" s="292"/>
      <c r="N7" s="292"/>
      <c r="O7" s="292"/>
      <c r="P7" s="292"/>
      <c r="Q7" s="292"/>
      <c r="R7" s="292"/>
      <c r="S7" s="292"/>
      <c r="T7" s="292"/>
      <c r="U7" s="293"/>
    </row>
    <row r="8" spans="1:21" x14ac:dyDescent="0.45">
      <c r="A8" s="281"/>
      <c r="B8" s="282"/>
      <c r="C8" s="282"/>
      <c r="D8" s="282"/>
      <c r="E8" s="282"/>
      <c r="F8" s="282"/>
      <c r="G8" s="282"/>
      <c r="H8" s="282"/>
      <c r="I8" s="283"/>
      <c r="J8" s="30"/>
      <c r="K8" s="291"/>
      <c r="L8" s="292"/>
      <c r="M8" s="292"/>
      <c r="N8" s="292"/>
      <c r="O8" s="292"/>
      <c r="P8" s="292"/>
      <c r="Q8" s="292"/>
      <c r="R8" s="292"/>
      <c r="S8" s="292"/>
      <c r="T8" s="292"/>
      <c r="U8" s="293"/>
    </row>
    <row r="9" spans="1:21" x14ac:dyDescent="0.45">
      <c r="A9" s="281"/>
      <c r="B9" s="282"/>
      <c r="C9" s="282"/>
      <c r="D9" s="282"/>
      <c r="E9" s="282"/>
      <c r="F9" s="282"/>
      <c r="G9" s="282"/>
      <c r="H9" s="282"/>
      <c r="I9" s="283"/>
      <c r="J9" s="30"/>
      <c r="K9" s="291"/>
      <c r="L9" s="292"/>
      <c r="M9" s="292"/>
      <c r="N9" s="292"/>
      <c r="O9" s="292"/>
      <c r="P9" s="292"/>
      <c r="Q9" s="292"/>
      <c r="R9" s="292"/>
      <c r="S9" s="292"/>
      <c r="T9" s="292"/>
      <c r="U9" s="293"/>
    </row>
    <row r="10" spans="1:21" x14ac:dyDescent="0.45">
      <c r="A10" s="281"/>
      <c r="B10" s="282"/>
      <c r="C10" s="282"/>
      <c r="D10" s="282"/>
      <c r="E10" s="282"/>
      <c r="F10" s="282"/>
      <c r="G10" s="282"/>
      <c r="H10" s="282"/>
      <c r="I10" s="283"/>
      <c r="J10" s="30"/>
      <c r="K10" s="291"/>
      <c r="L10" s="292"/>
      <c r="M10" s="292"/>
      <c r="N10" s="292"/>
      <c r="O10" s="292"/>
      <c r="P10" s="292"/>
      <c r="Q10" s="292"/>
      <c r="R10" s="292"/>
      <c r="S10" s="292"/>
      <c r="T10" s="292"/>
      <c r="U10" s="293"/>
    </row>
    <row r="11" spans="1:21" x14ac:dyDescent="0.45">
      <c r="A11" s="281"/>
      <c r="B11" s="282"/>
      <c r="C11" s="282"/>
      <c r="D11" s="282"/>
      <c r="E11" s="282"/>
      <c r="F11" s="282"/>
      <c r="G11" s="282"/>
      <c r="H11" s="282"/>
      <c r="I11" s="283"/>
      <c r="J11" s="30"/>
      <c r="K11" s="291"/>
      <c r="L11" s="292"/>
      <c r="M11" s="292"/>
      <c r="N11" s="292"/>
      <c r="O11" s="292"/>
      <c r="P11" s="292"/>
      <c r="Q11" s="292"/>
      <c r="R11" s="292"/>
      <c r="S11" s="292"/>
      <c r="T11" s="292"/>
      <c r="U11" s="293"/>
    </row>
    <row r="12" spans="1:21" x14ac:dyDescent="0.45">
      <c r="A12" s="281"/>
      <c r="B12" s="282"/>
      <c r="C12" s="282"/>
      <c r="D12" s="282"/>
      <c r="E12" s="282"/>
      <c r="F12" s="282"/>
      <c r="G12" s="282"/>
      <c r="H12" s="282"/>
      <c r="I12" s="283"/>
      <c r="J12" s="30"/>
      <c r="K12" s="291"/>
      <c r="L12" s="292"/>
      <c r="M12" s="292"/>
      <c r="N12" s="292"/>
      <c r="O12" s="292"/>
      <c r="P12" s="292"/>
      <c r="Q12" s="292"/>
      <c r="R12" s="292"/>
      <c r="S12" s="292"/>
      <c r="T12" s="292"/>
      <c r="U12" s="293"/>
    </row>
    <row r="13" spans="1:21" x14ac:dyDescent="0.45">
      <c r="A13" s="281"/>
      <c r="B13" s="282"/>
      <c r="C13" s="282"/>
      <c r="D13" s="282"/>
      <c r="E13" s="282"/>
      <c r="F13" s="282"/>
      <c r="G13" s="282"/>
      <c r="H13" s="282"/>
      <c r="I13" s="283"/>
      <c r="J13" s="30"/>
      <c r="K13" s="291"/>
      <c r="L13" s="292"/>
      <c r="M13" s="292"/>
      <c r="N13" s="292"/>
      <c r="O13" s="292"/>
      <c r="P13" s="292"/>
      <c r="Q13" s="292"/>
      <c r="R13" s="292"/>
      <c r="S13" s="292"/>
      <c r="T13" s="292"/>
      <c r="U13" s="293"/>
    </row>
    <row r="14" spans="1:21" x14ac:dyDescent="0.45">
      <c r="A14" s="281"/>
      <c r="B14" s="282"/>
      <c r="C14" s="282"/>
      <c r="D14" s="282"/>
      <c r="E14" s="282"/>
      <c r="F14" s="282"/>
      <c r="G14" s="282"/>
      <c r="H14" s="282"/>
      <c r="I14" s="283"/>
      <c r="J14" s="30"/>
      <c r="K14" s="291"/>
      <c r="L14" s="292"/>
      <c r="M14" s="292"/>
      <c r="N14" s="292"/>
      <c r="O14" s="292"/>
      <c r="P14" s="292"/>
      <c r="Q14" s="292"/>
      <c r="R14" s="292"/>
      <c r="S14" s="292"/>
      <c r="T14" s="292"/>
      <c r="U14" s="293"/>
    </row>
    <row r="15" spans="1:21" x14ac:dyDescent="0.45">
      <c r="A15" s="281"/>
      <c r="B15" s="282"/>
      <c r="C15" s="282"/>
      <c r="D15" s="282"/>
      <c r="E15" s="282"/>
      <c r="F15" s="282"/>
      <c r="G15" s="282"/>
      <c r="H15" s="282"/>
      <c r="I15" s="283"/>
      <c r="J15" s="30"/>
      <c r="K15" s="291"/>
      <c r="L15" s="292"/>
      <c r="M15" s="292"/>
      <c r="N15" s="292"/>
      <c r="O15" s="292"/>
      <c r="P15" s="292"/>
      <c r="Q15" s="292"/>
      <c r="R15" s="292"/>
      <c r="S15" s="292"/>
      <c r="T15" s="292"/>
      <c r="U15" s="293"/>
    </row>
    <row r="16" spans="1:21" x14ac:dyDescent="0.45">
      <c r="A16" s="281"/>
      <c r="B16" s="282"/>
      <c r="C16" s="282"/>
      <c r="D16" s="282"/>
      <c r="E16" s="282"/>
      <c r="F16" s="282"/>
      <c r="G16" s="282"/>
      <c r="H16" s="282"/>
      <c r="I16" s="283"/>
      <c r="J16" s="30"/>
      <c r="K16" s="291"/>
      <c r="L16" s="292"/>
      <c r="M16" s="292"/>
      <c r="N16" s="292"/>
      <c r="O16" s="292"/>
      <c r="P16" s="292"/>
      <c r="Q16" s="292"/>
      <c r="R16" s="292"/>
      <c r="S16" s="292"/>
      <c r="T16" s="292"/>
      <c r="U16" s="293"/>
    </row>
    <row r="17" spans="1:21" ht="14.65" thickBot="1" x14ac:dyDescent="0.5">
      <c r="A17" s="284"/>
      <c r="B17" s="285"/>
      <c r="C17" s="285"/>
      <c r="D17" s="285"/>
      <c r="E17" s="285"/>
      <c r="F17" s="285"/>
      <c r="G17" s="285"/>
      <c r="H17" s="285"/>
      <c r="I17" s="286"/>
      <c r="J17" s="30"/>
      <c r="K17" s="294"/>
      <c r="L17" s="295"/>
      <c r="M17" s="295"/>
      <c r="N17" s="295"/>
      <c r="O17" s="295"/>
      <c r="P17" s="295"/>
      <c r="Q17" s="295"/>
      <c r="R17" s="295"/>
      <c r="S17" s="295"/>
      <c r="T17" s="295"/>
      <c r="U17" s="296"/>
    </row>
    <row r="18" spans="1:21" x14ac:dyDescent="0.45">
      <c r="K18" s="31"/>
      <c r="L18" s="31"/>
      <c r="M18" s="31"/>
      <c r="N18" s="31"/>
      <c r="O18" s="31"/>
      <c r="P18" s="31"/>
      <c r="Q18" s="31"/>
      <c r="R18" s="31"/>
      <c r="S18" s="31"/>
      <c r="T18" s="31"/>
      <c r="U18" s="31"/>
    </row>
    <row r="19" spans="1:21" x14ac:dyDescent="0.45">
      <c r="K19" s="31"/>
      <c r="L19" s="31"/>
      <c r="M19" s="31"/>
      <c r="N19" s="31"/>
      <c r="O19" s="31"/>
      <c r="P19" s="31"/>
      <c r="Q19" s="31"/>
      <c r="R19" s="31"/>
      <c r="S19" s="31"/>
      <c r="T19" s="31"/>
      <c r="U19" s="31"/>
    </row>
    <row r="20" spans="1:21" ht="21.4" thickBot="1" x14ac:dyDescent="0.7">
      <c r="A20" s="314" t="s">
        <v>857</v>
      </c>
      <c r="B20" s="314"/>
      <c r="K20" s="31"/>
      <c r="L20" s="31"/>
      <c r="M20" s="31"/>
      <c r="N20" s="31"/>
      <c r="O20" s="31"/>
      <c r="P20" s="31"/>
      <c r="Q20" s="31"/>
      <c r="R20" s="31"/>
      <c r="S20" s="31"/>
      <c r="T20" s="31"/>
      <c r="U20" s="31"/>
    </row>
    <row r="21" spans="1:21" ht="14.65" thickBot="1" x14ac:dyDescent="0.5">
      <c r="A21" s="288" t="s">
        <v>858</v>
      </c>
      <c r="B21" s="297"/>
      <c r="C21" s="297"/>
      <c r="D21" s="297"/>
      <c r="E21" s="297"/>
      <c r="F21" s="297"/>
      <c r="G21" s="297"/>
      <c r="H21" s="297"/>
      <c r="I21" s="298"/>
      <c r="K21" s="31"/>
      <c r="L21" s="31"/>
      <c r="M21" s="31"/>
      <c r="N21" s="31"/>
      <c r="O21" s="31"/>
      <c r="P21" s="31"/>
      <c r="Q21" s="31"/>
      <c r="R21" s="31"/>
      <c r="S21" s="31"/>
      <c r="T21" s="31"/>
      <c r="U21" s="31"/>
    </row>
    <row r="22" spans="1:21" x14ac:dyDescent="0.45">
      <c r="A22" s="299"/>
      <c r="B22" s="300"/>
      <c r="C22" s="300"/>
      <c r="D22" s="300"/>
      <c r="E22" s="300"/>
      <c r="F22" s="300"/>
      <c r="G22" s="300"/>
      <c r="H22" s="300"/>
      <c r="I22" s="301"/>
      <c r="K22" s="305" t="s">
        <v>859</v>
      </c>
      <c r="L22" s="306"/>
      <c r="M22" s="306"/>
      <c r="N22" s="306"/>
      <c r="O22" s="306"/>
      <c r="P22" s="306"/>
      <c r="Q22" s="306"/>
      <c r="R22" s="306"/>
      <c r="S22" s="306"/>
      <c r="T22" s="306"/>
      <c r="U22" s="307"/>
    </row>
    <row r="23" spans="1:21" x14ac:dyDescent="0.45">
      <c r="A23" s="299"/>
      <c r="B23" s="300"/>
      <c r="C23" s="300"/>
      <c r="D23" s="300"/>
      <c r="E23" s="300"/>
      <c r="F23" s="300"/>
      <c r="G23" s="300"/>
      <c r="H23" s="300"/>
      <c r="I23" s="301"/>
      <c r="K23" s="308"/>
      <c r="L23" s="309"/>
      <c r="M23" s="309"/>
      <c r="N23" s="309"/>
      <c r="O23" s="309"/>
      <c r="P23" s="309"/>
      <c r="Q23" s="309"/>
      <c r="R23" s="309"/>
      <c r="S23" s="309"/>
      <c r="T23" s="309"/>
      <c r="U23" s="310"/>
    </row>
    <row r="24" spans="1:21" x14ac:dyDescent="0.45">
      <c r="A24" s="299"/>
      <c r="B24" s="300"/>
      <c r="C24" s="300"/>
      <c r="D24" s="300"/>
      <c r="E24" s="300"/>
      <c r="F24" s="300"/>
      <c r="G24" s="300"/>
      <c r="H24" s="300"/>
      <c r="I24" s="301"/>
      <c r="K24" s="308"/>
      <c r="L24" s="309"/>
      <c r="M24" s="309"/>
      <c r="N24" s="309"/>
      <c r="O24" s="309"/>
      <c r="P24" s="309"/>
      <c r="Q24" s="309"/>
      <c r="R24" s="309"/>
      <c r="S24" s="309"/>
      <c r="T24" s="309"/>
      <c r="U24" s="310"/>
    </row>
    <row r="25" spans="1:21" x14ac:dyDescent="0.45">
      <c r="A25" s="299"/>
      <c r="B25" s="300"/>
      <c r="C25" s="300"/>
      <c r="D25" s="300"/>
      <c r="E25" s="300"/>
      <c r="F25" s="300"/>
      <c r="G25" s="300"/>
      <c r="H25" s="300"/>
      <c r="I25" s="301"/>
      <c r="K25" s="308"/>
      <c r="L25" s="309"/>
      <c r="M25" s="309"/>
      <c r="N25" s="309"/>
      <c r="O25" s="309"/>
      <c r="P25" s="309"/>
      <c r="Q25" s="309"/>
      <c r="R25" s="309"/>
      <c r="S25" s="309"/>
      <c r="T25" s="309"/>
      <c r="U25" s="310"/>
    </row>
    <row r="26" spans="1:21" x14ac:dyDescent="0.45">
      <c r="A26" s="299"/>
      <c r="B26" s="300"/>
      <c r="C26" s="300"/>
      <c r="D26" s="300"/>
      <c r="E26" s="300"/>
      <c r="F26" s="300"/>
      <c r="G26" s="300"/>
      <c r="H26" s="300"/>
      <c r="I26" s="301"/>
      <c r="K26" s="308"/>
      <c r="L26" s="309"/>
      <c r="M26" s="309"/>
      <c r="N26" s="309"/>
      <c r="O26" s="309"/>
      <c r="P26" s="309"/>
      <c r="Q26" s="309"/>
      <c r="R26" s="309"/>
      <c r="S26" s="309"/>
      <c r="T26" s="309"/>
      <c r="U26" s="310"/>
    </row>
    <row r="27" spans="1:21" x14ac:dyDescent="0.45">
      <c r="A27" s="299"/>
      <c r="B27" s="300"/>
      <c r="C27" s="300"/>
      <c r="D27" s="300"/>
      <c r="E27" s="300"/>
      <c r="F27" s="300"/>
      <c r="G27" s="300"/>
      <c r="H27" s="300"/>
      <c r="I27" s="301"/>
      <c r="K27" s="308"/>
      <c r="L27" s="309"/>
      <c r="M27" s="309"/>
      <c r="N27" s="309"/>
      <c r="O27" s="309"/>
      <c r="P27" s="309"/>
      <c r="Q27" s="309"/>
      <c r="R27" s="309"/>
      <c r="S27" s="309"/>
      <c r="T27" s="309"/>
      <c r="U27" s="310"/>
    </row>
    <row r="28" spans="1:21" x14ac:dyDescent="0.45">
      <c r="A28" s="299"/>
      <c r="B28" s="300"/>
      <c r="C28" s="300"/>
      <c r="D28" s="300"/>
      <c r="E28" s="300"/>
      <c r="F28" s="300"/>
      <c r="G28" s="300"/>
      <c r="H28" s="300"/>
      <c r="I28" s="301"/>
      <c r="K28" s="308"/>
      <c r="L28" s="309"/>
      <c r="M28" s="309"/>
      <c r="N28" s="309"/>
      <c r="O28" s="309"/>
      <c r="P28" s="309"/>
      <c r="Q28" s="309"/>
      <c r="R28" s="309"/>
      <c r="S28" s="309"/>
      <c r="T28" s="309"/>
      <c r="U28" s="310"/>
    </row>
    <row r="29" spans="1:21" ht="14.65" thickBot="1" x14ac:dyDescent="0.5">
      <c r="A29" s="299"/>
      <c r="B29" s="300"/>
      <c r="C29" s="300"/>
      <c r="D29" s="300"/>
      <c r="E29" s="300"/>
      <c r="F29" s="300"/>
      <c r="G29" s="300"/>
      <c r="H29" s="300"/>
      <c r="I29" s="301"/>
      <c r="K29" s="311"/>
      <c r="L29" s="312"/>
      <c r="M29" s="312"/>
      <c r="N29" s="312"/>
      <c r="O29" s="312"/>
      <c r="P29" s="312"/>
      <c r="Q29" s="312"/>
      <c r="R29" s="312"/>
      <c r="S29" s="312"/>
      <c r="T29" s="312"/>
      <c r="U29" s="313"/>
    </row>
    <row r="30" spans="1:21" x14ac:dyDescent="0.45">
      <c r="A30" s="299"/>
      <c r="B30" s="300"/>
      <c r="C30" s="300"/>
      <c r="D30" s="300"/>
      <c r="E30" s="300"/>
      <c r="F30" s="300"/>
      <c r="G30" s="300"/>
      <c r="H30" s="300"/>
      <c r="I30" s="301"/>
    </row>
    <row r="31" spans="1:21" x14ac:dyDescent="0.45">
      <c r="A31" s="299"/>
      <c r="B31" s="300"/>
      <c r="C31" s="300"/>
      <c r="D31" s="300"/>
      <c r="E31" s="300"/>
      <c r="F31" s="300"/>
      <c r="G31" s="300"/>
      <c r="H31" s="300"/>
      <c r="I31" s="301"/>
    </row>
    <row r="32" spans="1:21" x14ac:dyDescent="0.45">
      <c r="A32" s="299"/>
      <c r="B32" s="300"/>
      <c r="C32" s="300"/>
      <c r="D32" s="300"/>
      <c r="E32" s="300"/>
      <c r="F32" s="300"/>
      <c r="G32" s="300"/>
      <c r="H32" s="300"/>
      <c r="I32" s="301"/>
    </row>
    <row r="33" spans="1:9" ht="14.65" thickBot="1" x14ac:dyDescent="0.5">
      <c r="A33" s="302"/>
      <c r="B33" s="303"/>
      <c r="C33" s="303"/>
      <c r="D33" s="303"/>
      <c r="E33" s="303"/>
      <c r="F33" s="303"/>
      <c r="G33" s="303"/>
      <c r="H33" s="303"/>
      <c r="I33" s="304"/>
    </row>
  </sheetData>
  <mergeCells count="8">
    <mergeCell ref="A1:D1"/>
    <mergeCell ref="A4:I17"/>
    <mergeCell ref="A3:C3"/>
    <mergeCell ref="K4:U17"/>
    <mergeCell ref="A21:I33"/>
    <mergeCell ref="K22:U29"/>
    <mergeCell ref="K3:M3"/>
    <mergeCell ref="A20:B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8"/>
  <sheetViews>
    <sheetView zoomScale="73" zoomScaleNormal="90" workbookViewId="0">
      <selection sqref="A1:E1"/>
    </sheetView>
  </sheetViews>
  <sheetFormatPr defaultRowHeight="14.25" x14ac:dyDescent="0.45"/>
  <cols>
    <col min="1" max="1" width="17.265625" customWidth="1"/>
    <col min="2" max="2" width="28.46484375" customWidth="1"/>
    <col min="5" max="5" width="38.3984375" customWidth="1"/>
    <col min="6" max="6" width="39.19921875" style="30" customWidth="1"/>
    <col min="7" max="7" width="52.06640625" style="30" customWidth="1"/>
    <col min="8" max="8" width="12.19921875" customWidth="1"/>
    <col min="9" max="9" width="17.53125" customWidth="1"/>
    <col min="10" max="10" width="27.265625" customWidth="1"/>
    <col min="11" max="11" width="42.06640625" customWidth="1"/>
    <col min="12" max="12" width="24.265625" customWidth="1"/>
  </cols>
  <sheetData>
    <row r="1" spans="1:12" ht="25.5" x14ac:dyDescent="0.75">
      <c r="A1" s="277" t="s">
        <v>0</v>
      </c>
      <c r="B1" s="277"/>
      <c r="C1" s="277"/>
      <c r="D1" s="277"/>
      <c r="E1" s="277"/>
    </row>
    <row r="3" spans="1:12" ht="22.25" customHeight="1" x14ac:dyDescent="0.45">
      <c r="A3" s="317" t="s">
        <v>248</v>
      </c>
      <c r="B3" s="317"/>
      <c r="E3" s="318" t="s">
        <v>264</v>
      </c>
      <c r="F3" s="318"/>
      <c r="G3" s="318"/>
      <c r="I3" s="318" t="s">
        <v>293</v>
      </c>
      <c r="J3" s="318"/>
      <c r="K3" s="318"/>
      <c r="L3" s="318"/>
    </row>
    <row r="4" spans="1:12" ht="22.5" customHeight="1" x14ac:dyDescent="0.45">
      <c r="A4" s="37" t="s">
        <v>229</v>
      </c>
      <c r="B4" s="37" t="s">
        <v>232</v>
      </c>
      <c r="E4" s="37" t="s">
        <v>249</v>
      </c>
      <c r="F4" s="37" t="s">
        <v>250</v>
      </c>
      <c r="G4" s="37" t="s">
        <v>251</v>
      </c>
      <c r="I4" s="37" t="s">
        <v>294</v>
      </c>
      <c r="J4" s="37" t="s">
        <v>295</v>
      </c>
      <c r="K4" s="37" t="s">
        <v>296</v>
      </c>
      <c r="L4" s="37" t="s">
        <v>267</v>
      </c>
    </row>
    <row r="5" spans="1:12" ht="68.75" customHeight="1" x14ac:dyDescent="0.45">
      <c r="A5" s="34" t="s">
        <v>233</v>
      </c>
      <c r="B5" s="32" t="s">
        <v>234</v>
      </c>
      <c r="E5" s="36" t="s">
        <v>252</v>
      </c>
      <c r="F5" s="35" t="s">
        <v>253</v>
      </c>
      <c r="G5" s="35" t="s">
        <v>254</v>
      </c>
      <c r="I5" s="34" t="s">
        <v>297</v>
      </c>
      <c r="J5" s="32" t="s">
        <v>298</v>
      </c>
      <c r="K5" s="32" t="s">
        <v>299</v>
      </c>
      <c r="L5" s="32" t="s">
        <v>300</v>
      </c>
    </row>
    <row r="6" spans="1:12" ht="53.35" customHeight="1" x14ac:dyDescent="0.45">
      <c r="A6" s="34" t="s">
        <v>235</v>
      </c>
      <c r="B6" s="32" t="s">
        <v>236</v>
      </c>
      <c r="E6" s="36" t="s">
        <v>255</v>
      </c>
      <c r="F6" s="35" t="s">
        <v>256</v>
      </c>
      <c r="G6" s="35" t="s">
        <v>257</v>
      </c>
      <c r="I6" s="32"/>
      <c r="J6" s="32" t="s">
        <v>301</v>
      </c>
      <c r="K6" s="32" t="s">
        <v>302</v>
      </c>
      <c r="L6" s="32" t="s">
        <v>303</v>
      </c>
    </row>
    <row r="7" spans="1:12" ht="43.9" customHeight="1" x14ac:dyDescent="0.45">
      <c r="A7" s="34" t="s">
        <v>237</v>
      </c>
      <c r="B7" s="32" t="s">
        <v>238</v>
      </c>
      <c r="E7" s="36" t="s">
        <v>258</v>
      </c>
      <c r="F7" s="35" t="s">
        <v>259</v>
      </c>
      <c r="G7" s="35" t="s">
        <v>260</v>
      </c>
      <c r="I7" s="32"/>
      <c r="J7" s="32" t="s">
        <v>304</v>
      </c>
      <c r="K7" s="32" t="s">
        <v>305</v>
      </c>
      <c r="L7" s="32" t="s">
        <v>306</v>
      </c>
    </row>
    <row r="8" spans="1:12" ht="56.75" customHeight="1" x14ac:dyDescent="0.45">
      <c r="A8" s="34" t="s">
        <v>239</v>
      </c>
      <c r="B8" s="32" t="s">
        <v>240</v>
      </c>
      <c r="E8" s="36" t="s">
        <v>261</v>
      </c>
      <c r="F8" s="35" t="s">
        <v>262</v>
      </c>
      <c r="G8" s="35" t="s">
        <v>263</v>
      </c>
      <c r="I8" s="32"/>
      <c r="J8" s="32" t="s">
        <v>307</v>
      </c>
      <c r="K8" s="32" t="s">
        <v>308</v>
      </c>
      <c r="L8" s="32" t="s">
        <v>309</v>
      </c>
    </row>
    <row r="9" spans="1:12" ht="48.4" customHeight="1" x14ac:dyDescent="0.45">
      <c r="A9" s="34" t="s">
        <v>241</v>
      </c>
      <c r="B9" s="33">
        <v>1989</v>
      </c>
      <c r="I9" s="32"/>
      <c r="J9" s="32" t="s">
        <v>310</v>
      </c>
      <c r="K9" s="32" t="s">
        <v>311</v>
      </c>
      <c r="L9" s="32" t="s">
        <v>312</v>
      </c>
    </row>
    <row r="10" spans="1:12" ht="45" customHeight="1" x14ac:dyDescent="0.45">
      <c r="A10" s="34" t="s">
        <v>242</v>
      </c>
      <c r="B10" s="32" t="s">
        <v>243</v>
      </c>
      <c r="I10" s="34" t="s">
        <v>313</v>
      </c>
      <c r="J10" s="32" t="s">
        <v>314</v>
      </c>
      <c r="K10" s="32" t="s">
        <v>315</v>
      </c>
      <c r="L10" s="32" t="s">
        <v>316</v>
      </c>
    </row>
    <row r="11" spans="1:12" ht="45" customHeight="1" x14ac:dyDescent="0.45">
      <c r="A11" s="34" t="s">
        <v>244</v>
      </c>
      <c r="B11" s="32" t="s">
        <v>245</v>
      </c>
      <c r="E11" s="319" t="s">
        <v>289</v>
      </c>
      <c r="F11" s="319"/>
      <c r="G11" s="319"/>
      <c r="I11" s="32"/>
      <c r="J11" s="32" t="s">
        <v>317</v>
      </c>
      <c r="K11" s="32" t="s">
        <v>318</v>
      </c>
      <c r="L11" s="32" t="s">
        <v>319</v>
      </c>
    </row>
    <row r="12" spans="1:12" ht="33" customHeight="1" x14ac:dyDescent="0.45">
      <c r="A12" s="34" t="s">
        <v>246</v>
      </c>
      <c r="B12" s="32" t="s">
        <v>247</v>
      </c>
      <c r="E12" s="38" t="s">
        <v>265</v>
      </c>
      <c r="F12" s="39" t="s">
        <v>266</v>
      </c>
      <c r="G12" s="39" t="s">
        <v>267</v>
      </c>
      <c r="I12" s="32"/>
      <c r="J12" s="32" t="s">
        <v>320</v>
      </c>
      <c r="K12" s="32" t="s">
        <v>321</v>
      </c>
      <c r="L12" s="32" t="s">
        <v>322</v>
      </c>
    </row>
    <row r="13" spans="1:12" ht="45.4" customHeight="1" x14ac:dyDescent="0.45">
      <c r="E13" s="36" t="s">
        <v>268</v>
      </c>
      <c r="F13" s="35" t="s">
        <v>269</v>
      </c>
      <c r="G13" s="35" t="s">
        <v>270</v>
      </c>
      <c r="I13" s="32"/>
      <c r="J13" s="32" t="s">
        <v>323</v>
      </c>
      <c r="K13" s="32" t="s">
        <v>324</v>
      </c>
      <c r="L13" s="32" t="s">
        <v>325</v>
      </c>
    </row>
    <row r="14" spans="1:12" ht="44.75" customHeight="1" x14ac:dyDescent="0.45">
      <c r="A14" s="320" t="s">
        <v>290</v>
      </c>
      <c r="B14" s="320"/>
      <c r="C14" s="320"/>
      <c r="E14" s="36" t="s">
        <v>271</v>
      </c>
      <c r="F14" s="35" t="s">
        <v>272</v>
      </c>
      <c r="G14" s="35" t="s">
        <v>273</v>
      </c>
      <c r="I14" s="34" t="s">
        <v>326</v>
      </c>
      <c r="J14" s="32" t="s">
        <v>327</v>
      </c>
      <c r="K14" s="32" t="s">
        <v>328</v>
      </c>
      <c r="L14" s="32" t="s">
        <v>329</v>
      </c>
    </row>
    <row r="15" spans="1:12" ht="53.75" customHeight="1" x14ac:dyDescent="0.45">
      <c r="A15" s="320"/>
      <c r="B15" s="320"/>
      <c r="C15" s="320"/>
      <c r="E15" s="36" t="s">
        <v>274</v>
      </c>
      <c r="F15" s="35" t="s">
        <v>275</v>
      </c>
      <c r="G15" s="35" t="s">
        <v>276</v>
      </c>
      <c r="I15" s="32"/>
      <c r="J15" s="32" t="s">
        <v>330</v>
      </c>
      <c r="K15" s="32" t="s">
        <v>331</v>
      </c>
      <c r="L15" s="32" t="s">
        <v>332</v>
      </c>
    </row>
    <row r="16" spans="1:12" ht="36.85" customHeight="1" x14ac:dyDescent="0.45">
      <c r="A16" s="320"/>
      <c r="B16" s="320"/>
      <c r="C16" s="320"/>
      <c r="E16" s="36" t="s">
        <v>277</v>
      </c>
      <c r="F16" s="35" t="s">
        <v>278</v>
      </c>
      <c r="G16" s="35" t="s">
        <v>279</v>
      </c>
      <c r="I16" s="32"/>
      <c r="J16" s="32" t="s">
        <v>333</v>
      </c>
      <c r="K16" s="32" t="s">
        <v>334</v>
      </c>
      <c r="L16" s="32" t="s">
        <v>335</v>
      </c>
    </row>
    <row r="17" spans="1:12" ht="30" customHeight="1" x14ac:dyDescent="0.45">
      <c r="A17" s="320"/>
      <c r="B17" s="320"/>
      <c r="C17" s="320"/>
      <c r="E17" s="36" t="s">
        <v>280</v>
      </c>
      <c r="F17" s="35" t="s">
        <v>281</v>
      </c>
      <c r="G17" s="32" t="s">
        <v>282</v>
      </c>
      <c r="H17" s="6"/>
      <c r="I17" s="32"/>
      <c r="J17" s="32" t="s">
        <v>283</v>
      </c>
      <c r="K17" s="32" t="s">
        <v>336</v>
      </c>
      <c r="L17" s="32" t="s">
        <v>337</v>
      </c>
    </row>
    <row r="18" spans="1:12" ht="33.85" customHeight="1" x14ac:dyDescent="0.45">
      <c r="A18" s="320"/>
      <c r="B18" s="320"/>
      <c r="C18" s="320"/>
      <c r="E18" s="36" t="s">
        <v>283</v>
      </c>
      <c r="F18" s="35" t="s">
        <v>284</v>
      </c>
      <c r="G18" s="32" t="s">
        <v>285</v>
      </c>
      <c r="H18" s="6"/>
      <c r="I18" s="32"/>
      <c r="J18" s="32" t="s">
        <v>338</v>
      </c>
      <c r="K18" s="32" t="s">
        <v>339</v>
      </c>
      <c r="L18" s="32" t="s">
        <v>340</v>
      </c>
    </row>
    <row r="19" spans="1:12" ht="36.85" customHeight="1" x14ac:dyDescent="0.45">
      <c r="A19" s="320"/>
      <c r="B19" s="320"/>
      <c r="C19" s="320"/>
      <c r="E19" s="36" t="s">
        <v>286</v>
      </c>
      <c r="F19" s="35" t="s">
        <v>287</v>
      </c>
      <c r="G19" s="32" t="s">
        <v>288</v>
      </c>
      <c r="H19" s="6"/>
      <c r="I19" s="6"/>
    </row>
    <row r="20" spans="1:12" x14ac:dyDescent="0.45">
      <c r="A20" s="31"/>
      <c r="B20" s="31"/>
      <c r="C20" s="31"/>
      <c r="G20" s="7"/>
      <c r="H20" s="6"/>
      <c r="I20" s="6"/>
    </row>
    <row r="21" spans="1:12" x14ac:dyDescent="0.45">
      <c r="A21" s="31"/>
      <c r="B21" s="31"/>
      <c r="C21" s="31"/>
    </row>
    <row r="22" spans="1:12" x14ac:dyDescent="0.45">
      <c r="A22" s="31"/>
      <c r="B22" s="31"/>
      <c r="C22" s="31"/>
    </row>
    <row r="23" spans="1:12" ht="22.25" customHeight="1" x14ac:dyDescent="0.45">
      <c r="A23" s="316" t="s">
        <v>291</v>
      </c>
      <c r="B23" s="316"/>
      <c r="C23" s="316"/>
      <c r="F23" s="5"/>
      <c r="G23" s="5"/>
      <c r="H23" s="5"/>
    </row>
    <row r="24" spans="1:12" ht="14.25" customHeight="1" x14ac:dyDescent="0.45">
      <c r="A24" s="315" t="s">
        <v>292</v>
      </c>
      <c r="B24" s="315"/>
      <c r="C24" s="315"/>
      <c r="D24" s="315"/>
      <c r="E24" s="315"/>
      <c r="F24" s="315"/>
      <c r="G24" s="315"/>
      <c r="H24" s="6"/>
    </row>
    <row r="25" spans="1:12" x14ac:dyDescent="0.45">
      <c r="A25" s="315"/>
      <c r="B25" s="315"/>
      <c r="C25" s="315"/>
      <c r="D25" s="315"/>
      <c r="E25" s="315"/>
      <c r="F25" s="315"/>
      <c r="G25" s="315"/>
      <c r="H25" s="6"/>
    </row>
    <row r="26" spans="1:12" x14ac:dyDescent="0.45">
      <c r="A26" s="315"/>
      <c r="B26" s="315"/>
      <c r="C26" s="315"/>
      <c r="D26" s="315"/>
      <c r="E26" s="315"/>
      <c r="F26" s="315"/>
      <c r="G26" s="315"/>
      <c r="H26" s="6"/>
    </row>
    <row r="27" spans="1:12" x14ac:dyDescent="0.45">
      <c r="A27" s="315"/>
      <c r="B27" s="315"/>
      <c r="C27" s="315"/>
      <c r="D27" s="315"/>
      <c r="E27" s="315"/>
      <c r="F27" s="315"/>
      <c r="G27" s="315"/>
      <c r="H27" s="6"/>
    </row>
    <row r="28" spans="1:12" x14ac:dyDescent="0.45">
      <c r="F28" s="7"/>
      <c r="G28" s="6"/>
      <c r="H28" s="6"/>
    </row>
    <row r="29" spans="1:12" x14ac:dyDescent="0.45">
      <c r="F29" s="7"/>
      <c r="G29" s="6"/>
      <c r="H29" s="6"/>
    </row>
    <row r="30" spans="1:12" ht="41.25" x14ac:dyDescent="0.45">
      <c r="B30" s="114" t="s">
        <v>341</v>
      </c>
      <c r="C30" s="6"/>
      <c r="D30" s="6"/>
    </row>
    <row r="31" spans="1:12" x14ac:dyDescent="0.45">
      <c r="B31" s="40"/>
      <c r="C31" s="30"/>
    </row>
    <row r="32" spans="1:12" ht="21" x14ac:dyDescent="0.65">
      <c r="B32" s="48" t="s">
        <v>246</v>
      </c>
      <c r="C32" s="49"/>
      <c r="D32" s="49"/>
      <c r="E32" s="48" t="s">
        <v>343</v>
      </c>
      <c r="F32" s="50"/>
      <c r="G32" s="48" t="s">
        <v>345</v>
      </c>
    </row>
    <row r="33" spans="2:7" ht="21" x14ac:dyDescent="0.65">
      <c r="B33" s="51" t="s">
        <v>342</v>
      </c>
      <c r="C33" s="49"/>
      <c r="D33" s="49"/>
      <c r="E33" s="51" t="s">
        <v>344</v>
      </c>
      <c r="F33" s="50"/>
      <c r="G33" s="51" t="s">
        <v>346</v>
      </c>
    </row>
    <row r="34" spans="2:7" ht="21" x14ac:dyDescent="0.65">
      <c r="B34" s="52"/>
      <c r="C34" s="49"/>
      <c r="D34" s="49"/>
      <c r="E34" s="50"/>
      <c r="F34" s="50"/>
      <c r="G34" s="49"/>
    </row>
    <row r="35" spans="2:7" ht="21" x14ac:dyDescent="0.65">
      <c r="B35" s="48" t="s">
        <v>347</v>
      </c>
      <c r="C35" s="49"/>
      <c r="D35" s="49"/>
      <c r="E35" s="48" t="s">
        <v>348</v>
      </c>
      <c r="F35" s="50"/>
      <c r="G35" s="48" t="s">
        <v>349</v>
      </c>
    </row>
    <row r="36" spans="2:7" ht="21" x14ac:dyDescent="0.65">
      <c r="B36" s="51">
        <v>19.149999999999999</v>
      </c>
      <c r="C36" s="49"/>
      <c r="D36" s="49"/>
      <c r="E36" s="51">
        <v>2.74</v>
      </c>
      <c r="F36" s="50"/>
      <c r="G36" s="53">
        <v>10</v>
      </c>
    </row>
    <row r="37" spans="2:7" ht="21" x14ac:dyDescent="0.65">
      <c r="B37" s="52"/>
      <c r="C37" s="49"/>
      <c r="D37" s="49"/>
      <c r="E37" s="50"/>
      <c r="F37" s="50"/>
      <c r="G37" s="49"/>
    </row>
    <row r="38" spans="2:7" ht="21" x14ac:dyDescent="0.65">
      <c r="B38" s="48" t="s">
        <v>350</v>
      </c>
      <c r="C38" s="49"/>
      <c r="D38" s="49"/>
      <c r="E38" s="48" t="s">
        <v>351</v>
      </c>
      <c r="F38" s="50"/>
      <c r="G38" s="48" t="s">
        <v>353</v>
      </c>
    </row>
    <row r="39" spans="2:7" ht="21" x14ac:dyDescent="0.65">
      <c r="B39" s="54">
        <v>2.93E-2</v>
      </c>
      <c r="C39" s="49"/>
      <c r="D39" s="49"/>
      <c r="E39" s="51" t="s">
        <v>352</v>
      </c>
      <c r="F39" s="50"/>
      <c r="G39" s="51" t="s">
        <v>354</v>
      </c>
    </row>
    <row r="40" spans="2:7" x14ac:dyDescent="0.45">
      <c r="F40" s="40"/>
    </row>
    <row r="43" spans="2:7" x14ac:dyDescent="0.45">
      <c r="F43" s="40"/>
    </row>
    <row r="46" spans="2:7" x14ac:dyDescent="0.45">
      <c r="F46" s="40"/>
    </row>
    <row r="49" spans="6:6" x14ac:dyDescent="0.45">
      <c r="F49" s="40"/>
    </row>
    <row r="52" spans="6:6" x14ac:dyDescent="0.45">
      <c r="F52" s="40"/>
    </row>
    <row r="55" spans="6:6" x14ac:dyDescent="0.45">
      <c r="F55" s="40"/>
    </row>
    <row r="58" spans="6:6" x14ac:dyDescent="0.45">
      <c r="F58" s="40"/>
    </row>
    <row r="59" spans="6:6" x14ac:dyDescent="0.45">
      <c r="F59" s="41" t="s">
        <v>355</v>
      </c>
    </row>
    <row r="60" spans="6:6" x14ac:dyDescent="0.45">
      <c r="F60" s="42" t="s">
        <v>356</v>
      </c>
    </row>
    <row r="61" spans="6:6" x14ac:dyDescent="0.45">
      <c r="F61" s="40"/>
    </row>
    <row r="62" spans="6:6" x14ac:dyDescent="0.45">
      <c r="F62" s="41" t="s">
        <v>357</v>
      </c>
    </row>
    <row r="63" spans="6:6" x14ac:dyDescent="0.45">
      <c r="F63" s="43">
        <v>0.51339999999999997</v>
      </c>
    </row>
    <row r="64" spans="6:6" x14ac:dyDescent="0.45">
      <c r="F64" s="40"/>
    </row>
    <row r="65" spans="6:6" x14ac:dyDescent="0.45">
      <c r="F65" s="41" t="s">
        <v>358</v>
      </c>
    </row>
    <row r="66" spans="6:6" x14ac:dyDescent="0.45">
      <c r="F66" s="42" t="s">
        <v>359</v>
      </c>
    </row>
    <row r="67" spans="6:6" x14ac:dyDescent="0.45">
      <c r="F67" s="40"/>
    </row>
    <row r="68" spans="6:6" x14ac:dyDescent="0.45">
      <c r="F68" s="41" t="s">
        <v>360</v>
      </c>
    </row>
    <row r="69" spans="6:6" x14ac:dyDescent="0.45">
      <c r="F69" s="43">
        <v>-2.2599999999999999E-2</v>
      </c>
    </row>
    <row r="70" spans="6:6" x14ac:dyDescent="0.45">
      <c r="F70" s="40"/>
    </row>
    <row r="71" spans="6:6" x14ac:dyDescent="0.45">
      <c r="F71" s="41" t="s">
        <v>361</v>
      </c>
    </row>
    <row r="72" spans="6:6" x14ac:dyDescent="0.45">
      <c r="F72" s="42" t="s">
        <v>362</v>
      </c>
    </row>
    <row r="73" spans="6:6" x14ac:dyDescent="0.45">
      <c r="F73" s="40"/>
    </row>
    <row r="74" spans="6:6" x14ac:dyDescent="0.45">
      <c r="F74" s="41" t="s">
        <v>363</v>
      </c>
    </row>
    <row r="75" spans="6:6" x14ac:dyDescent="0.45">
      <c r="F75" s="43">
        <v>0.12959999999999999</v>
      </c>
    </row>
    <row r="76" spans="6:6" x14ac:dyDescent="0.45">
      <c r="F76" s="40"/>
    </row>
    <row r="77" spans="6:6" x14ac:dyDescent="0.45">
      <c r="F77" s="41" t="s">
        <v>364</v>
      </c>
    </row>
    <row r="78" spans="6:6" x14ac:dyDescent="0.45">
      <c r="F78" s="42" t="s">
        <v>365</v>
      </c>
    </row>
  </sheetData>
  <mergeCells count="8">
    <mergeCell ref="I3:L3"/>
    <mergeCell ref="A14:C19"/>
    <mergeCell ref="A24:G27"/>
    <mergeCell ref="A23:C23"/>
    <mergeCell ref="A3:B3"/>
    <mergeCell ref="A1:E1"/>
    <mergeCell ref="E3:G3"/>
    <mergeCell ref="E11:G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39B74-1F3A-428B-911A-005C343D8E47}">
  <dimension ref="A1:T39"/>
  <sheetViews>
    <sheetView topLeftCell="A13" workbookViewId="0">
      <selection activeCell="R35" sqref="R35"/>
    </sheetView>
  </sheetViews>
  <sheetFormatPr defaultRowHeight="14.25" x14ac:dyDescent="0.45"/>
  <sheetData>
    <row r="1" spans="1:20" ht="25.5" x14ac:dyDescent="0.75">
      <c r="A1" s="277" t="s">
        <v>1</v>
      </c>
      <c r="B1" s="277"/>
      <c r="C1" s="277"/>
      <c r="D1" s="277"/>
    </row>
    <row r="3" spans="1:20" ht="21.4" thickBot="1" x14ac:dyDescent="0.7">
      <c r="A3" s="287" t="s">
        <v>845</v>
      </c>
      <c r="B3" s="287"/>
      <c r="C3" s="287"/>
      <c r="D3" s="287"/>
      <c r="K3" s="287" t="s">
        <v>847</v>
      </c>
      <c r="L3" s="287"/>
      <c r="M3" s="287"/>
      <c r="N3" s="287"/>
    </row>
    <row r="4" spans="1:20" x14ac:dyDescent="0.45">
      <c r="A4" s="278" t="s">
        <v>844</v>
      </c>
      <c r="B4" s="279"/>
      <c r="C4" s="279"/>
      <c r="D4" s="279"/>
      <c r="E4" s="279"/>
      <c r="F4" s="279"/>
      <c r="G4" s="279"/>
      <c r="H4" s="279"/>
      <c r="I4" s="280"/>
      <c r="K4" s="305" t="s">
        <v>846</v>
      </c>
      <c r="L4" s="321"/>
      <c r="M4" s="321"/>
      <c r="N4" s="321"/>
      <c r="O4" s="321"/>
      <c r="P4" s="321"/>
      <c r="Q4" s="321"/>
      <c r="R4" s="321"/>
      <c r="S4" s="321"/>
      <c r="T4" s="322"/>
    </row>
    <row r="5" spans="1:20" x14ac:dyDescent="0.45">
      <c r="A5" s="281"/>
      <c r="B5" s="282"/>
      <c r="C5" s="282"/>
      <c r="D5" s="282"/>
      <c r="E5" s="282"/>
      <c r="F5" s="282"/>
      <c r="G5" s="282"/>
      <c r="H5" s="282"/>
      <c r="I5" s="283"/>
      <c r="K5" s="323"/>
      <c r="L5" s="324"/>
      <c r="M5" s="324"/>
      <c r="N5" s="324"/>
      <c r="O5" s="324"/>
      <c r="P5" s="324"/>
      <c r="Q5" s="324"/>
      <c r="R5" s="324"/>
      <c r="S5" s="324"/>
      <c r="T5" s="325"/>
    </row>
    <row r="6" spans="1:20" ht="14.25" customHeight="1" x14ac:dyDescent="0.45">
      <c r="A6" s="281"/>
      <c r="B6" s="282"/>
      <c r="C6" s="282"/>
      <c r="D6" s="282"/>
      <c r="E6" s="282"/>
      <c r="F6" s="282"/>
      <c r="G6" s="282"/>
      <c r="H6" s="282"/>
      <c r="I6" s="283"/>
      <c r="K6" s="323"/>
      <c r="L6" s="324"/>
      <c r="M6" s="324"/>
      <c r="N6" s="324"/>
      <c r="O6" s="324"/>
      <c r="P6" s="324"/>
      <c r="Q6" s="324"/>
      <c r="R6" s="324"/>
      <c r="S6" s="324"/>
      <c r="T6" s="325"/>
    </row>
    <row r="7" spans="1:20" x14ac:dyDescent="0.45">
      <c r="A7" s="281"/>
      <c r="B7" s="282"/>
      <c r="C7" s="282"/>
      <c r="D7" s="282"/>
      <c r="E7" s="282"/>
      <c r="F7" s="282"/>
      <c r="G7" s="282"/>
      <c r="H7" s="282"/>
      <c r="I7" s="283"/>
      <c r="K7" s="323"/>
      <c r="L7" s="324"/>
      <c r="M7" s="324"/>
      <c r="N7" s="324"/>
      <c r="O7" s="324"/>
      <c r="P7" s="324"/>
      <c r="Q7" s="324"/>
      <c r="R7" s="324"/>
      <c r="S7" s="324"/>
      <c r="T7" s="325"/>
    </row>
    <row r="8" spans="1:20" x14ac:dyDescent="0.45">
      <c r="A8" s="281"/>
      <c r="B8" s="282"/>
      <c r="C8" s="282"/>
      <c r="D8" s="282"/>
      <c r="E8" s="282"/>
      <c r="F8" s="282"/>
      <c r="G8" s="282"/>
      <c r="H8" s="282"/>
      <c r="I8" s="283"/>
      <c r="K8" s="323"/>
      <c r="L8" s="324"/>
      <c r="M8" s="324"/>
      <c r="N8" s="324"/>
      <c r="O8" s="324"/>
      <c r="P8" s="324"/>
      <c r="Q8" s="324"/>
      <c r="R8" s="324"/>
      <c r="S8" s="324"/>
      <c r="T8" s="325"/>
    </row>
    <row r="9" spans="1:20" x14ac:dyDescent="0.45">
      <c r="A9" s="281"/>
      <c r="B9" s="282"/>
      <c r="C9" s="282"/>
      <c r="D9" s="282"/>
      <c r="E9" s="282"/>
      <c r="F9" s="282"/>
      <c r="G9" s="282"/>
      <c r="H9" s="282"/>
      <c r="I9" s="283"/>
      <c r="K9" s="323"/>
      <c r="L9" s="324"/>
      <c r="M9" s="324"/>
      <c r="N9" s="324"/>
      <c r="O9" s="324"/>
      <c r="P9" s="324"/>
      <c r="Q9" s="324"/>
      <c r="R9" s="324"/>
      <c r="S9" s="324"/>
      <c r="T9" s="325"/>
    </row>
    <row r="10" spans="1:20" x14ac:dyDescent="0.45">
      <c r="A10" s="281"/>
      <c r="B10" s="282"/>
      <c r="C10" s="282"/>
      <c r="D10" s="282"/>
      <c r="E10" s="282"/>
      <c r="F10" s="282"/>
      <c r="G10" s="282"/>
      <c r="H10" s="282"/>
      <c r="I10" s="283"/>
      <c r="K10" s="323"/>
      <c r="L10" s="324"/>
      <c r="M10" s="324"/>
      <c r="N10" s="324"/>
      <c r="O10" s="324"/>
      <c r="P10" s="324"/>
      <c r="Q10" s="324"/>
      <c r="R10" s="324"/>
      <c r="S10" s="324"/>
      <c r="T10" s="325"/>
    </row>
    <row r="11" spans="1:20" x14ac:dyDescent="0.45">
      <c r="A11" s="281"/>
      <c r="B11" s="282"/>
      <c r="C11" s="282"/>
      <c r="D11" s="282"/>
      <c r="E11" s="282"/>
      <c r="F11" s="282"/>
      <c r="G11" s="282"/>
      <c r="H11" s="282"/>
      <c r="I11" s="283"/>
      <c r="K11" s="323"/>
      <c r="L11" s="324"/>
      <c r="M11" s="324"/>
      <c r="N11" s="324"/>
      <c r="O11" s="324"/>
      <c r="P11" s="324"/>
      <c r="Q11" s="324"/>
      <c r="R11" s="324"/>
      <c r="S11" s="324"/>
      <c r="T11" s="325"/>
    </row>
    <row r="12" spans="1:20" x14ac:dyDescent="0.45">
      <c r="A12" s="281"/>
      <c r="B12" s="282"/>
      <c r="C12" s="282"/>
      <c r="D12" s="282"/>
      <c r="E12" s="282"/>
      <c r="F12" s="282"/>
      <c r="G12" s="282"/>
      <c r="H12" s="282"/>
      <c r="I12" s="283"/>
      <c r="K12" s="323"/>
      <c r="L12" s="324"/>
      <c r="M12" s="324"/>
      <c r="N12" s="324"/>
      <c r="O12" s="324"/>
      <c r="P12" s="324"/>
      <c r="Q12" s="324"/>
      <c r="R12" s="324"/>
      <c r="S12" s="324"/>
      <c r="T12" s="325"/>
    </row>
    <row r="13" spans="1:20" x14ac:dyDescent="0.45">
      <c r="A13" s="281"/>
      <c r="B13" s="282"/>
      <c r="C13" s="282"/>
      <c r="D13" s="282"/>
      <c r="E13" s="282"/>
      <c r="F13" s="282"/>
      <c r="G13" s="282"/>
      <c r="H13" s="282"/>
      <c r="I13" s="283"/>
      <c r="K13" s="323"/>
      <c r="L13" s="324"/>
      <c r="M13" s="324"/>
      <c r="N13" s="324"/>
      <c r="O13" s="324"/>
      <c r="P13" s="324"/>
      <c r="Q13" s="324"/>
      <c r="R13" s="324"/>
      <c r="S13" s="324"/>
      <c r="T13" s="325"/>
    </row>
    <row r="14" spans="1:20" x14ac:dyDescent="0.45">
      <c r="A14" s="281"/>
      <c r="B14" s="282"/>
      <c r="C14" s="282"/>
      <c r="D14" s="282"/>
      <c r="E14" s="282"/>
      <c r="F14" s="282"/>
      <c r="G14" s="282"/>
      <c r="H14" s="282"/>
      <c r="I14" s="283"/>
      <c r="K14" s="323"/>
      <c r="L14" s="324"/>
      <c r="M14" s="324"/>
      <c r="N14" s="324"/>
      <c r="O14" s="324"/>
      <c r="P14" s="324"/>
      <c r="Q14" s="324"/>
      <c r="R14" s="324"/>
      <c r="S14" s="324"/>
      <c r="T14" s="325"/>
    </row>
    <row r="15" spans="1:20" ht="14.65" thickBot="1" x14ac:dyDescent="0.5">
      <c r="A15" s="284"/>
      <c r="B15" s="285"/>
      <c r="C15" s="285"/>
      <c r="D15" s="285"/>
      <c r="E15" s="285"/>
      <c r="F15" s="285"/>
      <c r="G15" s="285"/>
      <c r="H15" s="285"/>
      <c r="I15" s="286"/>
      <c r="K15" s="326"/>
      <c r="L15" s="327"/>
      <c r="M15" s="327"/>
      <c r="N15" s="327"/>
      <c r="O15" s="327"/>
      <c r="P15" s="327"/>
      <c r="Q15" s="327"/>
      <c r="R15" s="327"/>
      <c r="S15" s="327"/>
      <c r="T15" s="328"/>
    </row>
    <row r="18" spans="1:20" ht="21.4" thickBot="1" x14ac:dyDescent="0.7">
      <c r="A18" s="287" t="s">
        <v>848</v>
      </c>
      <c r="B18" s="287"/>
      <c r="C18" s="287"/>
      <c r="D18" s="287"/>
      <c r="K18" s="287" t="s">
        <v>851</v>
      </c>
      <c r="L18" s="287"/>
      <c r="M18" s="287"/>
      <c r="N18" s="287"/>
      <c r="O18" s="287"/>
    </row>
    <row r="19" spans="1:20" x14ac:dyDescent="0.45">
      <c r="A19" s="278" t="s">
        <v>849</v>
      </c>
      <c r="B19" s="279"/>
      <c r="C19" s="279"/>
      <c r="D19" s="279"/>
      <c r="E19" s="279"/>
      <c r="F19" s="279"/>
      <c r="G19" s="279"/>
      <c r="H19" s="279"/>
      <c r="I19" s="280"/>
      <c r="K19" s="278" t="s">
        <v>850</v>
      </c>
      <c r="L19" s="329"/>
      <c r="M19" s="329"/>
      <c r="N19" s="329"/>
      <c r="O19" s="329"/>
      <c r="P19" s="329"/>
      <c r="Q19" s="329"/>
      <c r="R19" s="329"/>
      <c r="S19" s="329"/>
      <c r="T19" s="330"/>
    </row>
    <row r="20" spans="1:20" x14ac:dyDescent="0.45">
      <c r="A20" s="281"/>
      <c r="B20" s="282"/>
      <c r="C20" s="282"/>
      <c r="D20" s="282"/>
      <c r="E20" s="282"/>
      <c r="F20" s="282"/>
      <c r="G20" s="282"/>
      <c r="H20" s="282"/>
      <c r="I20" s="283"/>
      <c r="K20" s="331"/>
      <c r="L20" s="332"/>
      <c r="M20" s="332"/>
      <c r="N20" s="332"/>
      <c r="O20" s="332"/>
      <c r="P20" s="332"/>
      <c r="Q20" s="332"/>
      <c r="R20" s="332"/>
      <c r="S20" s="332"/>
      <c r="T20" s="333"/>
    </row>
    <row r="21" spans="1:20" x14ac:dyDescent="0.45">
      <c r="A21" s="281"/>
      <c r="B21" s="282"/>
      <c r="C21" s="282"/>
      <c r="D21" s="282"/>
      <c r="E21" s="282"/>
      <c r="F21" s="282"/>
      <c r="G21" s="282"/>
      <c r="H21" s="282"/>
      <c r="I21" s="283"/>
      <c r="K21" s="331"/>
      <c r="L21" s="332"/>
      <c r="M21" s="332"/>
      <c r="N21" s="332"/>
      <c r="O21" s="332"/>
      <c r="P21" s="332"/>
      <c r="Q21" s="332"/>
      <c r="R21" s="332"/>
      <c r="S21" s="332"/>
      <c r="T21" s="333"/>
    </row>
    <row r="22" spans="1:20" x14ac:dyDescent="0.45">
      <c r="A22" s="281"/>
      <c r="B22" s="282"/>
      <c r="C22" s="282"/>
      <c r="D22" s="282"/>
      <c r="E22" s="282"/>
      <c r="F22" s="282"/>
      <c r="G22" s="282"/>
      <c r="H22" s="282"/>
      <c r="I22" s="283"/>
      <c r="K22" s="331"/>
      <c r="L22" s="332"/>
      <c r="M22" s="332"/>
      <c r="N22" s="332"/>
      <c r="O22" s="332"/>
      <c r="P22" s="332"/>
      <c r="Q22" s="332"/>
      <c r="R22" s="332"/>
      <c r="S22" s="332"/>
      <c r="T22" s="333"/>
    </row>
    <row r="23" spans="1:20" x14ac:dyDescent="0.45">
      <c r="A23" s="281"/>
      <c r="B23" s="282"/>
      <c r="C23" s="282"/>
      <c r="D23" s="282"/>
      <c r="E23" s="282"/>
      <c r="F23" s="282"/>
      <c r="G23" s="282"/>
      <c r="H23" s="282"/>
      <c r="I23" s="283"/>
      <c r="K23" s="331"/>
      <c r="L23" s="332"/>
      <c r="M23" s="332"/>
      <c r="N23" s="332"/>
      <c r="O23" s="332"/>
      <c r="P23" s="332"/>
      <c r="Q23" s="332"/>
      <c r="R23" s="332"/>
      <c r="S23" s="332"/>
      <c r="T23" s="333"/>
    </row>
    <row r="24" spans="1:20" x14ac:dyDescent="0.45">
      <c r="A24" s="281"/>
      <c r="B24" s="282"/>
      <c r="C24" s="282"/>
      <c r="D24" s="282"/>
      <c r="E24" s="282"/>
      <c r="F24" s="282"/>
      <c r="G24" s="282"/>
      <c r="H24" s="282"/>
      <c r="I24" s="283"/>
      <c r="K24" s="331"/>
      <c r="L24" s="332"/>
      <c r="M24" s="332"/>
      <c r="N24" s="332"/>
      <c r="O24" s="332"/>
      <c r="P24" s="332"/>
      <c r="Q24" s="332"/>
      <c r="R24" s="332"/>
      <c r="S24" s="332"/>
      <c r="T24" s="333"/>
    </row>
    <row r="25" spans="1:20" x14ac:dyDescent="0.45">
      <c r="A25" s="281"/>
      <c r="B25" s="282"/>
      <c r="C25" s="282"/>
      <c r="D25" s="282"/>
      <c r="E25" s="282"/>
      <c r="F25" s="282"/>
      <c r="G25" s="282"/>
      <c r="H25" s="282"/>
      <c r="I25" s="283"/>
      <c r="K25" s="331"/>
      <c r="L25" s="332"/>
      <c r="M25" s="332"/>
      <c r="N25" s="332"/>
      <c r="O25" s="332"/>
      <c r="P25" s="332"/>
      <c r="Q25" s="332"/>
      <c r="R25" s="332"/>
      <c r="S25" s="332"/>
      <c r="T25" s="333"/>
    </row>
    <row r="26" spans="1:20" x14ac:dyDescent="0.45">
      <c r="A26" s="281"/>
      <c r="B26" s="282"/>
      <c r="C26" s="282"/>
      <c r="D26" s="282"/>
      <c r="E26" s="282"/>
      <c r="F26" s="282"/>
      <c r="G26" s="282"/>
      <c r="H26" s="282"/>
      <c r="I26" s="283"/>
      <c r="K26" s="331"/>
      <c r="L26" s="332"/>
      <c r="M26" s="332"/>
      <c r="N26" s="332"/>
      <c r="O26" s="332"/>
      <c r="P26" s="332"/>
      <c r="Q26" s="332"/>
      <c r="R26" s="332"/>
      <c r="S26" s="332"/>
      <c r="T26" s="333"/>
    </row>
    <row r="27" spans="1:20" x14ac:dyDescent="0.45">
      <c r="A27" s="281"/>
      <c r="B27" s="282"/>
      <c r="C27" s="282"/>
      <c r="D27" s="282"/>
      <c r="E27" s="282"/>
      <c r="F27" s="282"/>
      <c r="G27" s="282"/>
      <c r="H27" s="282"/>
      <c r="I27" s="283"/>
      <c r="K27" s="331"/>
      <c r="L27" s="332"/>
      <c r="M27" s="332"/>
      <c r="N27" s="332"/>
      <c r="O27" s="332"/>
      <c r="P27" s="332"/>
      <c r="Q27" s="332"/>
      <c r="R27" s="332"/>
      <c r="S27" s="332"/>
      <c r="T27" s="333"/>
    </row>
    <row r="28" spans="1:20" x14ac:dyDescent="0.45">
      <c r="A28" s="281"/>
      <c r="B28" s="282"/>
      <c r="C28" s="282"/>
      <c r="D28" s="282"/>
      <c r="E28" s="282"/>
      <c r="F28" s="282"/>
      <c r="G28" s="282"/>
      <c r="H28" s="282"/>
      <c r="I28" s="283"/>
      <c r="K28" s="331"/>
      <c r="L28" s="332"/>
      <c r="M28" s="332"/>
      <c r="N28" s="332"/>
      <c r="O28" s="332"/>
      <c r="P28" s="332"/>
      <c r="Q28" s="332"/>
      <c r="R28" s="332"/>
      <c r="S28" s="332"/>
      <c r="T28" s="333"/>
    </row>
    <row r="29" spans="1:20" ht="14.65" thickBot="1" x14ac:dyDescent="0.5">
      <c r="A29" s="281"/>
      <c r="B29" s="282"/>
      <c r="C29" s="282"/>
      <c r="D29" s="282"/>
      <c r="E29" s="282"/>
      <c r="F29" s="282"/>
      <c r="G29" s="282"/>
      <c r="H29" s="282"/>
      <c r="I29" s="283"/>
      <c r="K29" s="334"/>
      <c r="L29" s="335"/>
      <c r="M29" s="335"/>
      <c r="N29" s="335"/>
      <c r="O29" s="335"/>
      <c r="P29" s="335"/>
      <c r="Q29" s="335"/>
      <c r="R29" s="335"/>
      <c r="S29" s="335"/>
      <c r="T29" s="336"/>
    </row>
    <row r="30" spans="1:20" x14ac:dyDescent="0.45">
      <c r="A30" s="281"/>
      <c r="B30" s="282"/>
      <c r="C30" s="282"/>
      <c r="D30" s="282"/>
      <c r="E30" s="282"/>
      <c r="F30" s="282"/>
      <c r="G30" s="282"/>
      <c r="H30" s="282"/>
      <c r="I30" s="283"/>
    </row>
    <row r="31" spans="1:20" x14ac:dyDescent="0.45">
      <c r="A31" s="281"/>
      <c r="B31" s="282"/>
      <c r="C31" s="282"/>
      <c r="D31" s="282"/>
      <c r="E31" s="282"/>
      <c r="F31" s="282"/>
      <c r="G31" s="282"/>
      <c r="H31" s="282"/>
      <c r="I31" s="283"/>
    </row>
    <row r="32" spans="1:20" ht="14.65" thickBot="1" x14ac:dyDescent="0.5">
      <c r="A32" s="284"/>
      <c r="B32" s="285"/>
      <c r="C32" s="285"/>
      <c r="D32" s="285"/>
      <c r="E32" s="285"/>
      <c r="F32" s="285"/>
      <c r="G32" s="285"/>
      <c r="H32" s="285"/>
      <c r="I32" s="286"/>
    </row>
    <row r="34" spans="1:16" ht="14.65" thickBot="1" x14ac:dyDescent="0.5"/>
    <row r="35" spans="1:16" x14ac:dyDescent="0.45">
      <c r="A35" s="305" t="s">
        <v>852</v>
      </c>
      <c r="B35" s="306"/>
      <c r="C35" s="306"/>
      <c r="D35" s="306"/>
      <c r="E35" s="306"/>
      <c r="F35" s="306"/>
      <c r="G35" s="306"/>
      <c r="H35" s="306"/>
      <c r="I35" s="306"/>
      <c r="J35" s="306"/>
      <c r="K35" s="306"/>
      <c r="L35" s="306"/>
      <c r="M35" s="306"/>
      <c r="N35" s="306"/>
      <c r="O35" s="306"/>
      <c r="P35" s="307"/>
    </row>
    <row r="36" spans="1:16" x14ac:dyDescent="0.45">
      <c r="A36" s="308"/>
      <c r="B36" s="309"/>
      <c r="C36" s="309"/>
      <c r="D36" s="309"/>
      <c r="E36" s="309"/>
      <c r="F36" s="309"/>
      <c r="G36" s="309"/>
      <c r="H36" s="309"/>
      <c r="I36" s="309"/>
      <c r="J36" s="309"/>
      <c r="K36" s="309"/>
      <c r="L36" s="309"/>
      <c r="M36" s="309"/>
      <c r="N36" s="309"/>
      <c r="O36" s="309"/>
      <c r="P36" s="310"/>
    </row>
    <row r="37" spans="1:16" x14ac:dyDescent="0.45">
      <c r="A37" s="308"/>
      <c r="B37" s="309"/>
      <c r="C37" s="309"/>
      <c r="D37" s="309"/>
      <c r="E37" s="309"/>
      <c r="F37" s="309"/>
      <c r="G37" s="309"/>
      <c r="H37" s="309"/>
      <c r="I37" s="309"/>
      <c r="J37" s="309"/>
      <c r="K37" s="309"/>
      <c r="L37" s="309"/>
      <c r="M37" s="309"/>
      <c r="N37" s="309"/>
      <c r="O37" s="309"/>
      <c r="P37" s="310"/>
    </row>
    <row r="38" spans="1:16" x14ac:dyDescent="0.45">
      <c r="A38" s="308"/>
      <c r="B38" s="309"/>
      <c r="C38" s="309"/>
      <c r="D38" s="309"/>
      <c r="E38" s="309"/>
      <c r="F38" s="309"/>
      <c r="G38" s="309"/>
      <c r="H38" s="309"/>
      <c r="I38" s="309"/>
      <c r="J38" s="309"/>
      <c r="K38" s="309"/>
      <c r="L38" s="309"/>
      <c r="M38" s="309"/>
      <c r="N38" s="309"/>
      <c r="O38" s="309"/>
      <c r="P38" s="310"/>
    </row>
    <row r="39" spans="1:16" ht="14.65" thickBot="1" x14ac:dyDescent="0.5">
      <c r="A39" s="311"/>
      <c r="B39" s="312"/>
      <c r="C39" s="312"/>
      <c r="D39" s="312"/>
      <c r="E39" s="312"/>
      <c r="F39" s="312"/>
      <c r="G39" s="312"/>
      <c r="H39" s="312"/>
      <c r="I39" s="312"/>
      <c r="J39" s="312"/>
      <c r="K39" s="312"/>
      <c r="L39" s="312"/>
      <c r="M39" s="312"/>
      <c r="N39" s="312"/>
      <c r="O39" s="312"/>
      <c r="P39" s="313"/>
    </row>
  </sheetData>
  <mergeCells count="10">
    <mergeCell ref="A1:D1"/>
    <mergeCell ref="A4:I15"/>
    <mergeCell ref="A3:D3"/>
    <mergeCell ref="A35:P39"/>
    <mergeCell ref="K4:T15"/>
    <mergeCell ref="K3:N3"/>
    <mergeCell ref="A19:I32"/>
    <mergeCell ref="A18:D18"/>
    <mergeCell ref="K19:T29"/>
    <mergeCell ref="K18:O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FEC45-0F07-441F-93B9-32019E29A344}">
  <dimension ref="A1:P3721"/>
  <sheetViews>
    <sheetView workbookViewId="0">
      <selection sqref="A1:C1"/>
    </sheetView>
  </sheetViews>
  <sheetFormatPr defaultRowHeight="14.25" x14ac:dyDescent="0.45"/>
  <cols>
    <col min="1" max="1" width="9.3984375" bestFit="1" customWidth="1"/>
    <col min="2" max="2" width="8.73046875" bestFit="1" customWidth="1"/>
    <col min="3" max="3" width="17.33203125" bestFit="1" customWidth="1"/>
    <col min="4" max="4" width="14.6640625" bestFit="1" customWidth="1"/>
    <col min="5" max="5" width="12.33203125" bestFit="1" customWidth="1"/>
    <col min="9" max="9" width="27" customWidth="1"/>
    <col min="10" max="10" width="14.3984375" customWidth="1"/>
    <col min="11" max="11" width="16.46484375" customWidth="1"/>
    <col min="12" max="12" width="12.3984375" customWidth="1"/>
    <col min="13" max="13" width="13.46484375" customWidth="1"/>
  </cols>
  <sheetData>
    <row r="1" spans="1:15" ht="25.5" x14ac:dyDescent="0.75">
      <c r="A1" s="277" t="s">
        <v>194</v>
      </c>
      <c r="B1" s="277"/>
      <c r="C1" s="277"/>
    </row>
    <row r="3" spans="1:15" x14ac:dyDescent="0.45">
      <c r="A3" s="1" t="s">
        <v>3</v>
      </c>
      <c r="B3" s="1" t="s">
        <v>4</v>
      </c>
      <c r="C3" s="1" t="s">
        <v>5</v>
      </c>
      <c r="D3" s="1" t="s">
        <v>6</v>
      </c>
      <c r="E3" s="1" t="s">
        <v>7</v>
      </c>
    </row>
    <row r="4" spans="1:15" x14ac:dyDescent="0.45">
      <c r="A4" s="2">
        <v>40546</v>
      </c>
      <c r="B4" s="3">
        <v>20561.05</v>
      </c>
      <c r="C4" s="3">
        <v>97.95</v>
      </c>
      <c r="D4" s="3"/>
      <c r="E4" s="3"/>
    </row>
    <row r="5" spans="1:15" x14ac:dyDescent="0.45">
      <c r="A5" s="2">
        <v>40547</v>
      </c>
      <c r="B5" s="3">
        <v>20498.72</v>
      </c>
      <c r="C5" s="3">
        <v>98.45</v>
      </c>
      <c r="D5" s="3">
        <f>LN(B5/B4)</f>
        <v>-3.0360641512694703E-3</v>
      </c>
      <c r="E5" s="3">
        <f>LN(C5/C4)</f>
        <v>5.0916606945848866E-3</v>
      </c>
      <c r="I5" s="8" t="s">
        <v>8</v>
      </c>
      <c r="J5" s="8">
        <f>SLOPE(E5:E3721,D5:D3721)</f>
        <v>0.63115187377088366</v>
      </c>
    </row>
    <row r="6" spans="1:15" x14ac:dyDescent="0.45">
      <c r="A6" s="2">
        <v>40548</v>
      </c>
      <c r="B6" s="3">
        <v>20301.099999999999</v>
      </c>
      <c r="C6" s="3">
        <v>98.1</v>
      </c>
      <c r="D6" s="3">
        <f t="shared" ref="D6:D10" si="0">LN(B6/B5)</f>
        <v>-9.6873733987883782E-3</v>
      </c>
      <c r="E6" s="3">
        <f t="shared" ref="E6:E69" si="1">LN(C6/C5)</f>
        <v>-3.5614385138171794E-3</v>
      </c>
      <c r="I6" t="s">
        <v>9</v>
      </c>
      <c r="J6" s="11">
        <f>AVERAGE(M11:M14)</f>
        <v>0.19601636704471417</v>
      </c>
    </row>
    <row r="7" spans="1:15" x14ac:dyDescent="0.45">
      <c r="A7" s="2">
        <v>40549</v>
      </c>
      <c r="B7" s="3">
        <v>20184.740000000002</v>
      </c>
      <c r="C7" s="3">
        <v>98.95</v>
      </c>
      <c r="D7" s="3">
        <f t="shared" si="0"/>
        <v>-5.7481984019595537E-3</v>
      </c>
      <c r="E7" s="3">
        <f t="shared" si="1"/>
        <v>8.6273054772573691E-3</v>
      </c>
      <c r="I7" t="s">
        <v>10</v>
      </c>
      <c r="J7">
        <v>1.42</v>
      </c>
    </row>
    <row r="8" spans="1:15" x14ac:dyDescent="0.45">
      <c r="A8" s="2">
        <v>40550</v>
      </c>
      <c r="B8" s="3">
        <v>19691.810000000001</v>
      </c>
      <c r="C8" s="3">
        <v>97.65</v>
      </c>
      <c r="D8" s="3">
        <f t="shared" si="0"/>
        <v>-2.4724060108680373E-2</v>
      </c>
      <c r="E8" s="3">
        <f t="shared" si="1"/>
        <v>-1.3225014725886759E-2</v>
      </c>
      <c r="I8" t="s">
        <v>21</v>
      </c>
      <c r="J8" s="12">
        <v>0.19550000000000001</v>
      </c>
    </row>
    <row r="9" spans="1:15" x14ac:dyDescent="0.45">
      <c r="A9" s="2">
        <v>40553</v>
      </c>
      <c r="B9" s="3">
        <v>19224.12</v>
      </c>
      <c r="C9" s="3">
        <v>96.15</v>
      </c>
      <c r="D9" s="3">
        <f t="shared" si="0"/>
        <v>-2.4037072649208339E-2</v>
      </c>
      <c r="E9" s="3">
        <f t="shared" si="1"/>
        <v>-1.5480185287899172E-2</v>
      </c>
      <c r="I9" s="8" t="s">
        <v>20</v>
      </c>
      <c r="J9" s="13">
        <f>J6/(1+((1-J8)*J7))</f>
        <v>9.1494250367446725E-2</v>
      </c>
    </row>
    <row r="10" spans="1:15" ht="28.5" x14ac:dyDescent="0.45">
      <c r="A10" s="2">
        <v>40554</v>
      </c>
      <c r="B10" s="3">
        <v>19196.34</v>
      </c>
      <c r="C10" s="3">
        <v>96.1</v>
      </c>
      <c r="D10" s="3">
        <f t="shared" si="0"/>
        <v>-1.4461047494574455E-3</v>
      </c>
      <c r="E10" s="3">
        <f t="shared" si="1"/>
        <v>-5.2015605854202943E-4</v>
      </c>
      <c r="I10" s="5" t="s">
        <v>11</v>
      </c>
      <c r="J10" s="5" t="s">
        <v>17</v>
      </c>
      <c r="K10" s="5" t="s">
        <v>18</v>
      </c>
      <c r="L10" s="5" t="s">
        <v>12</v>
      </c>
      <c r="M10" s="5" t="s">
        <v>19</v>
      </c>
    </row>
    <row r="11" spans="1:15" x14ac:dyDescent="0.45">
      <c r="A11" s="2">
        <v>40555</v>
      </c>
      <c r="B11" s="3">
        <v>19534.099999999999</v>
      </c>
      <c r="C11" s="3">
        <v>97.25</v>
      </c>
      <c r="D11" s="3">
        <f t="shared" ref="D11:D69" si="2">LN(B11/B10)</f>
        <v>1.7442020428905986E-2</v>
      </c>
      <c r="E11" s="3">
        <f t="shared" si="1"/>
        <v>1.1895666522308892E-2</v>
      </c>
      <c r="I11" s="7" t="s">
        <v>13</v>
      </c>
      <c r="J11" s="6">
        <v>0.17</v>
      </c>
      <c r="K11" s="6">
        <v>0.89</v>
      </c>
      <c r="L11" s="9">
        <v>0.28399999999999997</v>
      </c>
      <c r="M11" s="11">
        <f>J11/(1+((1-L11)*K11))</f>
        <v>0.10383328039871981</v>
      </c>
    </row>
    <row r="12" spans="1:15" ht="19.25" customHeight="1" x14ac:dyDescent="0.45">
      <c r="A12" s="2">
        <v>40556</v>
      </c>
      <c r="B12" s="3">
        <v>19182.82</v>
      </c>
      <c r="C12" s="3">
        <v>96.6</v>
      </c>
      <c r="D12" s="3">
        <f t="shared" si="2"/>
        <v>-1.8146569489347363E-2</v>
      </c>
      <c r="E12" s="3">
        <f t="shared" si="1"/>
        <v>-6.7062412800833835E-3</v>
      </c>
      <c r="I12" s="7" t="s">
        <v>14</v>
      </c>
      <c r="J12" s="6">
        <v>0.27</v>
      </c>
      <c r="K12" s="6">
        <v>1.1499999999999999</v>
      </c>
      <c r="L12" s="10">
        <v>0.27100000000000002</v>
      </c>
      <c r="M12" s="11">
        <f>J12/(1+((1-L12)*K12))</f>
        <v>0.14687083525987979</v>
      </c>
    </row>
    <row r="13" spans="1:15" ht="25.25" customHeight="1" x14ac:dyDescent="0.45">
      <c r="A13" s="2">
        <v>40557</v>
      </c>
      <c r="B13" s="3">
        <v>18860.439999999999</v>
      </c>
      <c r="C13" s="3">
        <v>97.4</v>
      </c>
      <c r="D13" s="3">
        <f t="shared" si="2"/>
        <v>-1.6948480070348645E-2</v>
      </c>
      <c r="E13" s="3">
        <f t="shared" si="1"/>
        <v>8.2474694300172652E-3</v>
      </c>
      <c r="I13" s="7" t="s">
        <v>15</v>
      </c>
      <c r="J13" s="6">
        <v>0.28000000000000003</v>
      </c>
      <c r="K13" s="6">
        <v>1.0900000000000001</v>
      </c>
      <c r="L13" s="10">
        <v>0.24399999999999999</v>
      </c>
      <c r="M13" s="11">
        <f t="shared" ref="M13:M14" si="3">J13/(1+((1-L13)*K13))</f>
        <v>0.15350540558321091</v>
      </c>
    </row>
    <row r="14" spans="1:15" x14ac:dyDescent="0.45">
      <c r="A14" s="2">
        <v>40560</v>
      </c>
      <c r="B14" s="3">
        <v>18882.25</v>
      </c>
      <c r="C14" s="3">
        <v>97.7</v>
      </c>
      <c r="D14" s="3">
        <f t="shared" si="2"/>
        <v>1.1557206138522254E-3</v>
      </c>
      <c r="E14" s="3">
        <f t="shared" si="1"/>
        <v>3.0753484002477133E-3</v>
      </c>
      <c r="I14" s="7" t="s">
        <v>16</v>
      </c>
      <c r="J14" s="6">
        <v>0.52</v>
      </c>
      <c r="K14" s="6">
        <v>0.43</v>
      </c>
      <c r="L14" s="10">
        <v>0.14199999999999999</v>
      </c>
      <c r="M14" s="11">
        <f t="shared" si="3"/>
        <v>0.37985594693704616</v>
      </c>
    </row>
    <row r="15" spans="1:15" x14ac:dyDescent="0.45">
      <c r="A15" s="2">
        <v>40561</v>
      </c>
      <c r="B15" s="3">
        <v>19092.05</v>
      </c>
      <c r="C15" s="3">
        <v>98.4</v>
      </c>
      <c r="D15" s="3">
        <f t="shared" si="2"/>
        <v>1.104969069264492E-2</v>
      </c>
      <c r="E15" s="3">
        <f t="shared" si="1"/>
        <v>7.1392450094708128E-3</v>
      </c>
    </row>
    <row r="16" spans="1:15" x14ac:dyDescent="0.45">
      <c r="A16" s="2">
        <v>40562</v>
      </c>
      <c r="B16" s="3">
        <v>18978.32</v>
      </c>
      <c r="C16" s="3">
        <v>97.75</v>
      </c>
      <c r="D16" s="3">
        <f t="shared" si="2"/>
        <v>-5.974742999522476E-3</v>
      </c>
      <c r="E16" s="3">
        <f t="shared" si="1"/>
        <v>-6.6276051927326865E-3</v>
      </c>
      <c r="I16" s="7" t="s">
        <v>23</v>
      </c>
      <c r="J16" s="7">
        <v>2025</v>
      </c>
      <c r="K16" s="7">
        <v>2024</v>
      </c>
      <c r="L16" s="15">
        <v>2023</v>
      </c>
      <c r="M16" s="4">
        <v>2022</v>
      </c>
      <c r="N16" s="4">
        <v>2021</v>
      </c>
      <c r="O16" s="4">
        <v>2020</v>
      </c>
    </row>
    <row r="17" spans="1:16" ht="14.65" thickBot="1" x14ac:dyDescent="0.5">
      <c r="A17" s="2">
        <v>40563</v>
      </c>
      <c r="B17" s="3">
        <v>19046.54</v>
      </c>
      <c r="C17" s="3">
        <v>98.55</v>
      </c>
      <c r="D17" s="3">
        <f t="shared" si="2"/>
        <v>3.5881827412212134E-3</v>
      </c>
      <c r="E17" s="3">
        <f t="shared" si="1"/>
        <v>8.1508347332539324E-3</v>
      </c>
      <c r="I17" s="4" t="s">
        <v>22</v>
      </c>
      <c r="J17">
        <v>15354</v>
      </c>
      <c r="K17">
        <v>15475</v>
      </c>
      <c r="L17">
        <v>15333</v>
      </c>
      <c r="M17">
        <v>17094</v>
      </c>
      <c r="N17">
        <v>11936</v>
      </c>
      <c r="O17">
        <v>10811</v>
      </c>
    </row>
    <row r="18" spans="1:16" x14ac:dyDescent="0.45">
      <c r="A18" s="2">
        <v>40564</v>
      </c>
      <c r="B18" s="3">
        <v>19007.53</v>
      </c>
      <c r="C18" s="3">
        <v>98.6</v>
      </c>
      <c r="D18" s="3">
        <f t="shared" si="2"/>
        <v>-2.0502413363324987E-3</v>
      </c>
      <c r="E18" s="3">
        <f t="shared" si="1"/>
        <v>5.0722800986046745E-4</v>
      </c>
      <c r="P18" s="14"/>
    </row>
    <row r="19" spans="1:16" x14ac:dyDescent="0.45">
      <c r="A19" s="2">
        <v>40567</v>
      </c>
      <c r="B19" s="3">
        <v>19151.28</v>
      </c>
      <c r="C19" s="3">
        <v>98.55</v>
      </c>
      <c r="D19" s="3">
        <f t="shared" si="2"/>
        <v>7.5343376804285862E-3</v>
      </c>
      <c r="E19" s="3">
        <f t="shared" si="1"/>
        <v>-5.0722800986054031E-4</v>
      </c>
    </row>
    <row r="20" spans="1:16" x14ac:dyDescent="0.45">
      <c r="A20" s="2">
        <v>40568</v>
      </c>
      <c r="B20" s="3">
        <v>18969.45</v>
      </c>
      <c r="C20" s="3">
        <v>98.4</v>
      </c>
      <c r="D20" s="3">
        <f t="shared" si="2"/>
        <v>-9.5397637444441935E-3</v>
      </c>
      <c r="E20" s="3">
        <f t="shared" si="1"/>
        <v>-1.5232295405214146E-3</v>
      </c>
      <c r="I20" s="4"/>
    </row>
    <row r="21" spans="1:16" x14ac:dyDescent="0.45">
      <c r="A21" s="2">
        <v>40570</v>
      </c>
      <c r="B21" s="3">
        <v>18684.43</v>
      </c>
      <c r="C21" s="3">
        <v>98.85</v>
      </c>
      <c r="D21" s="3">
        <f t="shared" si="2"/>
        <v>-1.5139233660679931E-2</v>
      </c>
      <c r="E21" s="3">
        <f t="shared" si="1"/>
        <v>4.5627455584180158E-3</v>
      </c>
    </row>
    <row r="22" spans="1:16" x14ac:dyDescent="0.45">
      <c r="A22" s="2">
        <v>40571</v>
      </c>
      <c r="B22" s="3">
        <v>18395.97</v>
      </c>
      <c r="C22" s="3">
        <v>96.3</v>
      </c>
      <c r="D22" s="3">
        <f t="shared" si="2"/>
        <v>-1.5558937831813566E-2</v>
      </c>
      <c r="E22" s="3">
        <f t="shared" si="1"/>
        <v>-2.6135230812546015E-2</v>
      </c>
    </row>
    <row r="23" spans="1:16" x14ac:dyDescent="0.45">
      <c r="A23" s="2">
        <v>40574</v>
      </c>
      <c r="B23" s="3">
        <v>18327.759999999998</v>
      </c>
      <c r="C23" s="3">
        <v>96.5</v>
      </c>
      <c r="D23" s="3">
        <f t="shared" si="2"/>
        <v>-3.714768540051525E-3</v>
      </c>
      <c r="E23" s="3">
        <f t="shared" si="1"/>
        <v>2.0746895408602969E-3</v>
      </c>
    </row>
    <row r="24" spans="1:16" x14ac:dyDescent="0.45">
      <c r="A24" s="2">
        <v>40575</v>
      </c>
      <c r="B24" s="3">
        <v>18022.22</v>
      </c>
      <c r="C24" s="3">
        <v>95.7</v>
      </c>
      <c r="D24" s="3">
        <f t="shared" si="2"/>
        <v>-1.6811409306470841E-2</v>
      </c>
      <c r="E24" s="3">
        <f t="shared" si="1"/>
        <v>-8.3247098860316036E-3</v>
      </c>
    </row>
    <row r="25" spans="1:16" x14ac:dyDescent="0.45">
      <c r="A25" s="2">
        <v>40576</v>
      </c>
      <c r="B25" s="3">
        <v>18090.62</v>
      </c>
      <c r="C25" s="3">
        <v>95.5</v>
      </c>
      <c r="D25" s="3">
        <f t="shared" si="2"/>
        <v>3.7881308584209565E-3</v>
      </c>
      <c r="E25" s="3">
        <f t="shared" si="1"/>
        <v>-2.0920509722240632E-3</v>
      </c>
    </row>
    <row r="26" spans="1:16" x14ac:dyDescent="0.45">
      <c r="A26" s="2">
        <v>40577</v>
      </c>
      <c r="B26" s="3">
        <v>18449.310000000001</v>
      </c>
      <c r="C26" s="3">
        <v>98.4</v>
      </c>
      <c r="D26" s="3">
        <f t="shared" si="2"/>
        <v>1.9633399514271496E-2</v>
      </c>
      <c r="E26" s="3">
        <f t="shared" si="1"/>
        <v>2.991455657152324E-2</v>
      </c>
    </row>
    <row r="27" spans="1:16" x14ac:dyDescent="0.45">
      <c r="A27" s="2">
        <v>40578</v>
      </c>
      <c r="B27" s="3">
        <v>18008.150000000001</v>
      </c>
      <c r="C27" s="3">
        <v>97.35</v>
      </c>
      <c r="D27" s="3">
        <f t="shared" si="2"/>
        <v>-2.4202538212200909E-2</v>
      </c>
      <c r="E27" s="3">
        <f t="shared" si="1"/>
        <v>-1.0728072239999113E-2</v>
      </c>
    </row>
    <row r="28" spans="1:16" x14ac:dyDescent="0.45">
      <c r="A28" s="2">
        <v>40581</v>
      </c>
      <c r="B28" s="3">
        <v>18037.189999999999</v>
      </c>
      <c r="C28" s="3">
        <v>97.85</v>
      </c>
      <c r="D28" s="3">
        <f t="shared" si="2"/>
        <v>1.611304334099528E-3</v>
      </c>
      <c r="E28" s="3">
        <f t="shared" si="1"/>
        <v>5.122962023876518E-3</v>
      </c>
    </row>
    <row r="29" spans="1:16" x14ac:dyDescent="0.45">
      <c r="A29" s="2">
        <v>40582</v>
      </c>
      <c r="B29" s="3">
        <v>17775.7</v>
      </c>
      <c r="C29" s="3">
        <v>95.7</v>
      </c>
      <c r="D29" s="3">
        <f t="shared" si="2"/>
        <v>-1.4603381467922052E-2</v>
      </c>
      <c r="E29" s="3">
        <f t="shared" si="1"/>
        <v>-2.221739538317654E-2</v>
      </c>
    </row>
    <row r="30" spans="1:16" x14ac:dyDescent="0.45">
      <c r="A30" s="2">
        <v>40583</v>
      </c>
      <c r="B30" s="3">
        <v>17592.77</v>
      </c>
      <c r="C30" s="3">
        <v>95.75</v>
      </c>
      <c r="D30" s="3">
        <f t="shared" si="2"/>
        <v>-1.0344333877199414E-2</v>
      </c>
      <c r="E30" s="3">
        <f t="shared" si="1"/>
        <v>5.2232960184677671E-4</v>
      </c>
    </row>
    <row r="31" spans="1:16" x14ac:dyDescent="0.45">
      <c r="A31" s="2">
        <v>40584</v>
      </c>
      <c r="B31" s="3">
        <v>17463.04</v>
      </c>
      <c r="C31" s="3">
        <v>95.35</v>
      </c>
      <c r="D31" s="3">
        <f t="shared" si="2"/>
        <v>-7.4013746777302231E-3</v>
      </c>
      <c r="E31" s="3">
        <f t="shared" si="1"/>
        <v>-4.1862960143273864E-3</v>
      </c>
    </row>
    <row r="32" spans="1:16" x14ac:dyDescent="0.45">
      <c r="A32" s="2">
        <v>40585</v>
      </c>
      <c r="B32" s="3">
        <v>17728.61</v>
      </c>
      <c r="C32" s="3">
        <v>96.25</v>
      </c>
      <c r="D32" s="3">
        <f t="shared" si="2"/>
        <v>1.5093071305405032E-2</v>
      </c>
      <c r="E32" s="3">
        <f t="shared" si="1"/>
        <v>9.3946411214654822E-3</v>
      </c>
    </row>
    <row r="33" spans="1:5" x14ac:dyDescent="0.45">
      <c r="A33" s="2">
        <v>40588</v>
      </c>
      <c r="B33" s="3">
        <v>18202.2</v>
      </c>
      <c r="C33" s="3">
        <v>98.35</v>
      </c>
      <c r="D33" s="3">
        <f t="shared" si="2"/>
        <v>2.6362747080668634E-2</v>
      </c>
      <c r="E33" s="3">
        <f t="shared" si="1"/>
        <v>2.1583571667174391E-2</v>
      </c>
    </row>
    <row r="34" spans="1:5" x14ac:dyDescent="0.45">
      <c r="A34" s="2">
        <v>40589</v>
      </c>
      <c r="B34" s="3">
        <v>18273.8</v>
      </c>
      <c r="C34" s="3">
        <v>98.45</v>
      </c>
      <c r="D34" s="3">
        <f t="shared" si="2"/>
        <v>3.9258741068730722E-3</v>
      </c>
      <c r="E34" s="3">
        <f t="shared" si="1"/>
        <v>1.0162602500665935E-3</v>
      </c>
    </row>
    <row r="35" spans="1:5" x14ac:dyDescent="0.45">
      <c r="A35" s="2">
        <v>40590</v>
      </c>
      <c r="B35" s="3">
        <v>18300.900000000001</v>
      </c>
      <c r="C35" s="3">
        <v>98.6</v>
      </c>
      <c r="D35" s="3">
        <f t="shared" si="2"/>
        <v>1.4818989607218254E-3</v>
      </c>
      <c r="E35" s="3">
        <f t="shared" si="1"/>
        <v>1.5224565234551995E-3</v>
      </c>
    </row>
    <row r="36" spans="1:5" x14ac:dyDescent="0.45">
      <c r="A36" s="2">
        <v>40591</v>
      </c>
      <c r="B36" s="3">
        <v>18506.82</v>
      </c>
      <c r="C36" s="3">
        <v>98.4</v>
      </c>
      <c r="D36" s="3">
        <f t="shared" si="2"/>
        <v>1.1189073832778541E-2</v>
      </c>
      <c r="E36" s="3">
        <f t="shared" si="1"/>
        <v>-2.0304575503818402E-3</v>
      </c>
    </row>
    <row r="37" spans="1:5" x14ac:dyDescent="0.45">
      <c r="A37" s="2">
        <v>40592</v>
      </c>
      <c r="B37" s="3">
        <v>18211.52</v>
      </c>
      <c r="C37" s="3">
        <v>97.65</v>
      </c>
      <c r="D37" s="3">
        <f t="shared" si="2"/>
        <v>-1.6084951922133731E-2</v>
      </c>
      <c r="E37" s="3">
        <f t="shared" si="1"/>
        <v>-7.6511467355197503E-3</v>
      </c>
    </row>
    <row r="38" spans="1:5" x14ac:dyDescent="0.45">
      <c r="A38" s="2">
        <v>40595</v>
      </c>
      <c r="B38" s="3">
        <v>18438.310000000001</v>
      </c>
      <c r="C38" s="3">
        <v>98.75</v>
      </c>
      <c r="D38" s="3">
        <f t="shared" si="2"/>
        <v>1.2376204461861041E-2</v>
      </c>
      <c r="E38" s="3">
        <f t="shared" si="1"/>
        <v>1.1201746458543164E-2</v>
      </c>
    </row>
    <row r="39" spans="1:5" x14ac:dyDescent="0.45">
      <c r="A39" s="2">
        <v>40596</v>
      </c>
      <c r="B39" s="3">
        <v>18296.16</v>
      </c>
      <c r="C39" s="3">
        <v>98.45</v>
      </c>
      <c r="D39" s="3">
        <f t="shared" si="2"/>
        <v>-7.7393635753035504E-3</v>
      </c>
      <c r="E39" s="3">
        <f t="shared" si="1"/>
        <v>-3.0425986960966747E-3</v>
      </c>
    </row>
    <row r="40" spans="1:5" x14ac:dyDescent="0.45">
      <c r="A40" s="2">
        <v>40597</v>
      </c>
      <c r="B40" s="3">
        <v>18178.330000000002</v>
      </c>
      <c r="C40" s="3">
        <v>99.6</v>
      </c>
      <c r="D40" s="3">
        <f t="shared" si="2"/>
        <v>-6.4609764190331027E-3</v>
      </c>
      <c r="E40" s="3">
        <f t="shared" si="1"/>
        <v>1.1613359505417887E-2</v>
      </c>
    </row>
    <row r="41" spans="1:5" x14ac:dyDescent="0.45">
      <c r="A41" s="2">
        <v>40598</v>
      </c>
      <c r="B41" s="3">
        <v>17632.41</v>
      </c>
      <c r="C41" s="3">
        <v>97.8</v>
      </c>
      <c r="D41" s="3">
        <f t="shared" si="2"/>
        <v>-3.0491539467904206E-2</v>
      </c>
      <c r="E41" s="3">
        <f t="shared" si="1"/>
        <v>-1.8237587549780901E-2</v>
      </c>
    </row>
    <row r="42" spans="1:5" x14ac:dyDescent="0.45">
      <c r="A42" s="2">
        <v>40599</v>
      </c>
      <c r="B42" s="3">
        <v>17700.91</v>
      </c>
      <c r="C42" s="3">
        <v>99.25</v>
      </c>
      <c r="D42" s="3">
        <f t="shared" si="2"/>
        <v>3.8773648113916309E-3</v>
      </c>
      <c r="E42" s="3">
        <f t="shared" si="1"/>
        <v>1.4717342526528095E-2</v>
      </c>
    </row>
    <row r="43" spans="1:5" x14ac:dyDescent="0.45">
      <c r="A43" s="2">
        <v>40602</v>
      </c>
      <c r="B43" s="3">
        <v>17823.400000000001</v>
      </c>
      <c r="C43" s="3">
        <v>98.6</v>
      </c>
      <c r="D43" s="3">
        <f t="shared" si="2"/>
        <v>6.8961500131330946E-3</v>
      </c>
      <c r="E43" s="3">
        <f t="shared" si="1"/>
        <v>-6.5706579587101336E-3</v>
      </c>
    </row>
    <row r="44" spans="1:5" x14ac:dyDescent="0.45">
      <c r="A44" s="2">
        <v>40603</v>
      </c>
      <c r="B44" s="3">
        <v>18446.5</v>
      </c>
      <c r="C44" s="3">
        <v>99.45</v>
      </c>
      <c r="D44" s="3">
        <f t="shared" si="2"/>
        <v>3.4362449893115148E-2</v>
      </c>
      <c r="E44" s="3">
        <f t="shared" si="1"/>
        <v>8.5837436913916553E-3</v>
      </c>
    </row>
    <row r="45" spans="1:5" x14ac:dyDescent="0.45">
      <c r="A45" s="2">
        <v>40605</v>
      </c>
      <c r="B45" s="3">
        <v>18489.759999999998</v>
      </c>
      <c r="C45" s="3">
        <v>99.1</v>
      </c>
      <c r="D45" s="3">
        <f t="shared" si="2"/>
        <v>2.3424147317729137E-3</v>
      </c>
      <c r="E45" s="3">
        <f t="shared" si="1"/>
        <v>-3.5255639640389986E-3</v>
      </c>
    </row>
    <row r="46" spans="1:5" x14ac:dyDescent="0.45">
      <c r="A46" s="2">
        <v>40606</v>
      </c>
      <c r="B46" s="3">
        <v>18486.45</v>
      </c>
      <c r="C46" s="3">
        <v>98.95</v>
      </c>
      <c r="D46" s="3">
        <f t="shared" si="2"/>
        <v>-1.7903403344146E-4</v>
      </c>
      <c r="E46" s="3">
        <f t="shared" si="1"/>
        <v>-1.5147692873674916E-3</v>
      </c>
    </row>
    <row r="47" spans="1:5" x14ac:dyDescent="0.45">
      <c r="A47" s="2">
        <v>40609</v>
      </c>
      <c r="B47" s="3">
        <v>18222.669999999998</v>
      </c>
      <c r="C47" s="3">
        <v>98</v>
      </c>
      <c r="D47" s="3">
        <f t="shared" si="2"/>
        <v>-1.4371607935372529E-2</v>
      </c>
      <c r="E47" s="3">
        <f t="shared" si="1"/>
        <v>-9.647193378002801E-3</v>
      </c>
    </row>
    <row r="48" spans="1:5" x14ac:dyDescent="0.45">
      <c r="A48" s="2">
        <v>40610</v>
      </c>
      <c r="B48" s="3">
        <v>18439.650000000001</v>
      </c>
      <c r="C48" s="3">
        <v>97.9</v>
      </c>
      <c r="D48" s="3">
        <f t="shared" si="2"/>
        <v>1.1836814114297572E-2</v>
      </c>
      <c r="E48" s="3">
        <f t="shared" si="1"/>
        <v>-1.0209291341071224E-3</v>
      </c>
    </row>
    <row r="49" spans="1:5" x14ac:dyDescent="0.45">
      <c r="A49" s="2">
        <v>40611</v>
      </c>
      <c r="B49" s="3">
        <v>18469.95</v>
      </c>
      <c r="C49" s="3">
        <v>98</v>
      </c>
      <c r="D49" s="3">
        <f t="shared" si="2"/>
        <v>1.6418496438090004E-3</v>
      </c>
      <c r="E49" s="3">
        <f t="shared" si="1"/>
        <v>1.020929134107143E-3</v>
      </c>
    </row>
    <row r="50" spans="1:5" x14ac:dyDescent="0.45">
      <c r="A50" s="2">
        <v>40612</v>
      </c>
      <c r="B50" s="3">
        <v>18327.98</v>
      </c>
      <c r="C50" s="3">
        <v>98.25</v>
      </c>
      <c r="D50" s="3">
        <f t="shared" si="2"/>
        <v>-7.7162331908415685E-3</v>
      </c>
      <c r="E50" s="3">
        <f t="shared" si="1"/>
        <v>2.5477720787987828E-3</v>
      </c>
    </row>
    <row r="51" spans="1:5" x14ac:dyDescent="0.45">
      <c r="A51" s="2">
        <v>40613</v>
      </c>
      <c r="B51" s="3">
        <v>18174.09</v>
      </c>
      <c r="C51" s="3">
        <v>98</v>
      </c>
      <c r="D51" s="3">
        <f t="shared" si="2"/>
        <v>-8.431900533751183E-3</v>
      </c>
      <c r="E51" s="3">
        <f t="shared" si="1"/>
        <v>-2.5477720787986644E-3</v>
      </c>
    </row>
    <row r="52" spans="1:5" x14ac:dyDescent="0.45">
      <c r="A52" s="2">
        <v>40616</v>
      </c>
      <c r="B52" s="3">
        <v>18439.48</v>
      </c>
      <c r="C52" s="3">
        <v>98.75</v>
      </c>
      <c r="D52" s="3">
        <f t="shared" si="2"/>
        <v>1.4497064774362885E-2</v>
      </c>
      <c r="E52" s="3">
        <f t="shared" si="1"/>
        <v>7.6239251106593664E-3</v>
      </c>
    </row>
    <row r="53" spans="1:5" x14ac:dyDescent="0.45">
      <c r="A53" s="2">
        <v>40617</v>
      </c>
      <c r="B53" s="3">
        <v>18167.64</v>
      </c>
      <c r="C53" s="3">
        <v>97.65</v>
      </c>
      <c r="D53" s="3">
        <f t="shared" si="2"/>
        <v>-1.4852028617180706E-2</v>
      </c>
      <c r="E53" s="3">
        <f t="shared" si="1"/>
        <v>-1.120174645854328E-2</v>
      </c>
    </row>
    <row r="54" spans="1:5" x14ac:dyDescent="0.45">
      <c r="A54" s="2">
        <v>40618</v>
      </c>
      <c r="B54" s="3">
        <v>18358.689999999999</v>
      </c>
      <c r="C54" s="3">
        <v>98.75</v>
      </c>
      <c r="D54" s="3">
        <f t="shared" si="2"/>
        <v>1.0461042336739139E-2</v>
      </c>
      <c r="E54" s="3">
        <f t="shared" si="1"/>
        <v>1.1201746458543164E-2</v>
      </c>
    </row>
    <row r="55" spans="1:5" x14ac:dyDescent="0.45">
      <c r="A55" s="2">
        <v>40619</v>
      </c>
      <c r="B55" s="3">
        <v>18149.87</v>
      </c>
      <c r="C55" s="3">
        <v>98.15</v>
      </c>
      <c r="D55" s="3">
        <f t="shared" si="2"/>
        <v>-1.1439633733456947E-2</v>
      </c>
      <c r="E55" s="3">
        <f t="shared" si="1"/>
        <v>-6.0944830587611213E-3</v>
      </c>
    </row>
    <row r="56" spans="1:5" x14ac:dyDescent="0.45">
      <c r="A56" s="2">
        <v>40620</v>
      </c>
      <c r="B56" s="3">
        <v>17878.810000000001</v>
      </c>
      <c r="C56" s="3">
        <v>97.7</v>
      </c>
      <c r="D56" s="3">
        <f t="shared" si="2"/>
        <v>-1.504718543011827E-2</v>
      </c>
      <c r="E56" s="3">
        <f t="shared" si="1"/>
        <v>-4.5953616737330382E-3</v>
      </c>
    </row>
    <row r="57" spans="1:5" x14ac:dyDescent="0.45">
      <c r="A57" s="2">
        <v>40623</v>
      </c>
      <c r="B57" s="3">
        <v>17839.05</v>
      </c>
      <c r="C57" s="3">
        <v>97.55</v>
      </c>
      <c r="D57" s="3">
        <f t="shared" si="2"/>
        <v>-2.2263381077593791E-3</v>
      </c>
      <c r="E57" s="3">
        <f t="shared" si="1"/>
        <v>-1.5364919796168985E-3</v>
      </c>
    </row>
    <row r="58" spans="1:5" x14ac:dyDescent="0.45">
      <c r="A58" s="2">
        <v>40624</v>
      </c>
      <c r="B58" s="3">
        <v>17988.3</v>
      </c>
      <c r="C58" s="3">
        <v>97.3</v>
      </c>
      <c r="D58" s="3">
        <f t="shared" si="2"/>
        <v>8.3316719416825103E-3</v>
      </c>
      <c r="E58" s="3">
        <f t="shared" si="1"/>
        <v>-2.5660778771608322E-3</v>
      </c>
    </row>
    <row r="59" spans="1:5" x14ac:dyDescent="0.45">
      <c r="A59" s="2">
        <v>40625</v>
      </c>
      <c r="B59" s="3">
        <v>18206.16</v>
      </c>
      <c r="C59" s="3">
        <v>97.45</v>
      </c>
      <c r="D59" s="3">
        <f t="shared" si="2"/>
        <v>1.203845180144727E-2</v>
      </c>
      <c r="E59" s="3">
        <f t="shared" si="1"/>
        <v>1.5404367616105247E-3</v>
      </c>
    </row>
    <row r="60" spans="1:5" x14ac:dyDescent="0.45">
      <c r="A60" s="2">
        <v>40626</v>
      </c>
      <c r="B60" s="3">
        <v>18350.740000000002</v>
      </c>
      <c r="C60" s="3">
        <v>97.9</v>
      </c>
      <c r="D60" s="3">
        <f t="shared" si="2"/>
        <v>7.9099023069199113E-3</v>
      </c>
      <c r="E60" s="3">
        <f t="shared" si="1"/>
        <v>4.6071235828948351E-3</v>
      </c>
    </row>
    <row r="61" spans="1:5" x14ac:dyDescent="0.45">
      <c r="A61" s="2">
        <v>40627</v>
      </c>
      <c r="B61" s="3">
        <v>18815.64</v>
      </c>
      <c r="C61" s="3">
        <v>98.15</v>
      </c>
      <c r="D61" s="3">
        <f t="shared" si="2"/>
        <v>2.5018538217177998E-2</v>
      </c>
      <c r="E61" s="3">
        <f t="shared" si="1"/>
        <v>2.5503711860052885E-3</v>
      </c>
    </row>
    <row r="62" spans="1:5" x14ac:dyDescent="0.45">
      <c r="A62" s="2">
        <v>40630</v>
      </c>
      <c r="B62" s="3">
        <v>18943.14</v>
      </c>
      <c r="C62" s="3">
        <v>99.05</v>
      </c>
      <c r="D62" s="3">
        <f t="shared" si="2"/>
        <v>6.7534218315388464E-3</v>
      </c>
      <c r="E62" s="3">
        <f t="shared" si="1"/>
        <v>9.1278524220896919E-3</v>
      </c>
    </row>
    <row r="63" spans="1:5" x14ac:dyDescent="0.45">
      <c r="A63" s="2">
        <v>40631</v>
      </c>
      <c r="B63" s="3">
        <v>19120.8</v>
      </c>
      <c r="C63" s="3">
        <v>99.6</v>
      </c>
      <c r="D63" s="3">
        <f t="shared" si="2"/>
        <v>9.3348870404664289E-3</v>
      </c>
      <c r="E63" s="3">
        <f t="shared" si="1"/>
        <v>5.5373914459926213E-3</v>
      </c>
    </row>
    <row r="64" spans="1:5" x14ac:dyDescent="0.45">
      <c r="A64" s="2">
        <v>40632</v>
      </c>
      <c r="B64" s="3">
        <v>19290.18</v>
      </c>
      <c r="C64" s="3">
        <v>100.9</v>
      </c>
      <c r="D64" s="3">
        <f t="shared" si="2"/>
        <v>8.8194103816928663E-3</v>
      </c>
      <c r="E64" s="3">
        <f t="shared" si="1"/>
        <v>1.2967762769010883E-2</v>
      </c>
    </row>
    <row r="65" spans="1:5" x14ac:dyDescent="0.45">
      <c r="A65" s="2">
        <v>40633</v>
      </c>
      <c r="B65" s="3">
        <v>19445.22</v>
      </c>
      <c r="C65" s="3">
        <v>101.8</v>
      </c>
      <c r="D65" s="3">
        <f t="shared" si="2"/>
        <v>8.0051233723446111E-3</v>
      </c>
      <c r="E65" s="3">
        <f t="shared" si="1"/>
        <v>8.8801767568589506E-3</v>
      </c>
    </row>
    <row r="66" spans="1:5" x14ac:dyDescent="0.45">
      <c r="A66" s="2">
        <v>40634</v>
      </c>
      <c r="B66" s="3">
        <v>19420.39</v>
      </c>
      <c r="C66" s="3">
        <v>104.7</v>
      </c>
      <c r="D66" s="3">
        <f t="shared" si="2"/>
        <v>-1.2777364553467291E-3</v>
      </c>
      <c r="E66" s="3">
        <f t="shared" si="1"/>
        <v>2.8089013760068789E-2</v>
      </c>
    </row>
    <row r="67" spans="1:5" x14ac:dyDescent="0.45">
      <c r="A67" s="2">
        <v>40637</v>
      </c>
      <c r="B67" s="3">
        <v>19701.73</v>
      </c>
      <c r="C67" s="3">
        <v>105.85</v>
      </c>
      <c r="D67" s="3">
        <f t="shared" si="2"/>
        <v>1.4382904096296572E-2</v>
      </c>
      <c r="E67" s="3">
        <f t="shared" si="1"/>
        <v>1.0923879704383008E-2</v>
      </c>
    </row>
    <row r="68" spans="1:5" x14ac:dyDescent="0.45">
      <c r="A68" s="2">
        <v>40638</v>
      </c>
      <c r="B68" s="3">
        <v>19686.82</v>
      </c>
      <c r="C68" s="3">
        <v>104.95</v>
      </c>
      <c r="D68" s="3">
        <f t="shared" si="2"/>
        <v>-7.5707284031272285E-4</v>
      </c>
      <c r="E68" s="3">
        <f t="shared" si="1"/>
        <v>-8.5389513142320513E-3</v>
      </c>
    </row>
    <row r="69" spans="1:5" x14ac:dyDescent="0.45">
      <c r="A69" s="2">
        <v>40639</v>
      </c>
      <c r="B69" s="3">
        <v>19612.2</v>
      </c>
      <c r="C69" s="3">
        <v>105.05</v>
      </c>
      <c r="D69" s="3">
        <f t="shared" si="2"/>
        <v>-3.7975547317559834E-3</v>
      </c>
      <c r="E69" s="3">
        <f t="shared" si="1"/>
        <v>9.5238102436737398E-4</v>
      </c>
    </row>
    <row r="70" spans="1:5" x14ac:dyDescent="0.45">
      <c r="A70" s="2">
        <v>40640</v>
      </c>
      <c r="B70" s="3">
        <v>19591.18</v>
      </c>
      <c r="C70" s="3">
        <v>104.8</v>
      </c>
      <c r="D70" s="3">
        <f t="shared" ref="D70:D133" si="4">LN(B70/B69)</f>
        <v>-1.0723566189612995E-3</v>
      </c>
      <c r="E70" s="3">
        <f t="shared" ref="E70:E133" si="5">LN(C70/C69)</f>
        <v>-2.3826554040676526E-3</v>
      </c>
    </row>
    <row r="71" spans="1:5" x14ac:dyDescent="0.45">
      <c r="A71" s="2">
        <v>40641</v>
      </c>
      <c r="B71" s="3">
        <v>19451.45</v>
      </c>
      <c r="C71" s="3">
        <v>104.9</v>
      </c>
      <c r="D71" s="3">
        <f t="shared" si="4"/>
        <v>-7.1578475418189406E-3</v>
      </c>
      <c r="E71" s="3">
        <f t="shared" si="5"/>
        <v>9.537435153098568E-4</v>
      </c>
    </row>
    <row r="72" spans="1:5" x14ac:dyDescent="0.45">
      <c r="A72" s="2">
        <v>40644</v>
      </c>
      <c r="B72" s="3">
        <v>19262.54</v>
      </c>
      <c r="C72" s="3">
        <v>104.1</v>
      </c>
      <c r="D72" s="3">
        <f t="shared" si="4"/>
        <v>-9.7593401965357443E-3</v>
      </c>
      <c r="E72" s="3">
        <f t="shared" si="5"/>
        <v>-7.6555397813283504E-3</v>
      </c>
    </row>
    <row r="73" spans="1:5" x14ac:dyDescent="0.45">
      <c r="A73" s="2">
        <v>40646</v>
      </c>
      <c r="B73" s="3">
        <v>19696.86</v>
      </c>
      <c r="C73" s="3">
        <v>105.25</v>
      </c>
      <c r="D73" s="3">
        <f t="shared" si="4"/>
        <v>2.22969549591935E-2</v>
      </c>
      <c r="E73" s="3">
        <f t="shared" si="5"/>
        <v>1.0986496941567607E-2</v>
      </c>
    </row>
    <row r="74" spans="1:5" x14ac:dyDescent="0.45">
      <c r="A74" s="2">
        <v>40648</v>
      </c>
      <c r="B74" s="3">
        <v>19386.82</v>
      </c>
      <c r="C74" s="3">
        <v>105</v>
      </c>
      <c r="D74" s="3">
        <f t="shared" si="4"/>
        <v>-1.5865778435092587E-2</v>
      </c>
      <c r="E74" s="3">
        <f t="shared" si="5"/>
        <v>-2.3781224049674358E-3</v>
      </c>
    </row>
    <row r="75" spans="1:5" x14ac:dyDescent="0.45">
      <c r="A75" s="2">
        <v>40651</v>
      </c>
      <c r="B75" s="3">
        <v>19091.169999999998</v>
      </c>
      <c r="C75" s="3">
        <v>104.35</v>
      </c>
      <c r="D75" s="3">
        <f t="shared" si="4"/>
        <v>-1.5367529249455803E-2</v>
      </c>
      <c r="E75" s="3">
        <f t="shared" si="5"/>
        <v>-6.2097166343136161E-3</v>
      </c>
    </row>
    <row r="76" spans="1:5" x14ac:dyDescent="0.45">
      <c r="A76" s="2">
        <v>40652</v>
      </c>
      <c r="B76" s="3">
        <v>19121.830000000002</v>
      </c>
      <c r="C76" s="3">
        <v>103.4</v>
      </c>
      <c r="D76" s="3">
        <f t="shared" si="4"/>
        <v>1.6046898479158806E-3</v>
      </c>
      <c r="E76" s="3">
        <f t="shared" si="5"/>
        <v>-9.1456714488808884E-3</v>
      </c>
    </row>
    <row r="77" spans="1:5" x14ac:dyDescent="0.45">
      <c r="A77" s="2">
        <v>40653</v>
      </c>
      <c r="B77" s="3">
        <v>19470.98</v>
      </c>
      <c r="C77" s="3">
        <v>104.2</v>
      </c>
      <c r="D77" s="3">
        <f t="shared" si="4"/>
        <v>1.8094537624054243E-2</v>
      </c>
      <c r="E77" s="3">
        <f t="shared" si="5"/>
        <v>7.7071672449377385E-3</v>
      </c>
    </row>
    <row r="78" spans="1:5" x14ac:dyDescent="0.45">
      <c r="A78" s="2">
        <v>40654</v>
      </c>
      <c r="B78" s="3">
        <v>19602.23</v>
      </c>
      <c r="C78" s="3">
        <v>104.4</v>
      </c>
      <c r="D78" s="3">
        <f t="shared" si="4"/>
        <v>6.7181833103864743E-3</v>
      </c>
      <c r="E78" s="3">
        <f t="shared" si="5"/>
        <v>1.9175461292718545E-3</v>
      </c>
    </row>
    <row r="79" spans="1:5" x14ac:dyDescent="0.45">
      <c r="A79" s="2">
        <v>40658</v>
      </c>
      <c r="B79" s="3">
        <v>19584.310000000001</v>
      </c>
      <c r="C79" s="3">
        <v>104.65</v>
      </c>
      <c r="D79" s="3">
        <f t="shared" si="4"/>
        <v>-9.1459982173274228E-4</v>
      </c>
      <c r="E79" s="3">
        <f t="shared" si="5"/>
        <v>2.3917734434704694E-3</v>
      </c>
    </row>
    <row r="80" spans="1:5" x14ac:dyDescent="0.45">
      <c r="A80" s="2">
        <v>40659</v>
      </c>
      <c r="B80" s="3">
        <v>19545.349999999999</v>
      </c>
      <c r="C80" s="3">
        <v>104.8</v>
      </c>
      <c r="D80" s="3">
        <f t="shared" si="4"/>
        <v>-1.9913289752226233E-3</v>
      </c>
      <c r="E80" s="3">
        <f t="shared" si="5"/>
        <v>1.4323229949328906E-3</v>
      </c>
    </row>
    <row r="81" spans="1:5" x14ac:dyDescent="0.45">
      <c r="A81" s="2">
        <v>40660</v>
      </c>
      <c r="B81" s="3">
        <v>19448.689999999999</v>
      </c>
      <c r="C81" s="3">
        <v>104.4</v>
      </c>
      <c r="D81" s="3">
        <f t="shared" si="4"/>
        <v>-4.9576908666728219E-3</v>
      </c>
      <c r="E81" s="3">
        <f t="shared" si="5"/>
        <v>-3.8240964384033942E-3</v>
      </c>
    </row>
    <row r="82" spans="1:5" x14ac:dyDescent="0.45">
      <c r="A82" s="2">
        <v>40661</v>
      </c>
      <c r="B82" s="3">
        <v>19292.02</v>
      </c>
      <c r="C82" s="3">
        <v>103.9</v>
      </c>
      <c r="D82" s="3">
        <f t="shared" si="4"/>
        <v>-8.0881767057669925E-3</v>
      </c>
      <c r="E82" s="3">
        <f t="shared" si="5"/>
        <v>-4.8007773433566764E-3</v>
      </c>
    </row>
    <row r="83" spans="1:5" x14ac:dyDescent="0.45">
      <c r="A83" s="2">
        <v>40662</v>
      </c>
      <c r="B83" s="3">
        <v>19135.96</v>
      </c>
      <c r="C83" s="3">
        <v>104.3</v>
      </c>
      <c r="D83" s="3">
        <f t="shared" si="4"/>
        <v>-8.1222514403048156E-3</v>
      </c>
      <c r="E83" s="3">
        <f t="shared" si="5"/>
        <v>3.8424639015450391E-3</v>
      </c>
    </row>
    <row r="84" spans="1:5" x14ac:dyDescent="0.45">
      <c r="A84" s="2">
        <v>40665</v>
      </c>
      <c r="B84" s="3">
        <v>18998.02</v>
      </c>
      <c r="C84" s="3">
        <v>106.5</v>
      </c>
      <c r="D84" s="3">
        <f t="shared" si="4"/>
        <v>-7.2345242552026411E-3</v>
      </c>
      <c r="E84" s="3">
        <f t="shared" si="5"/>
        <v>2.0873623142753137E-2</v>
      </c>
    </row>
    <row r="85" spans="1:5" x14ac:dyDescent="0.45">
      <c r="A85" s="2">
        <v>40666</v>
      </c>
      <c r="B85" s="3">
        <v>18534.689999999999</v>
      </c>
      <c r="C85" s="3">
        <v>103.7</v>
      </c>
      <c r="D85" s="3">
        <f t="shared" si="4"/>
        <v>-2.4690651861649284E-2</v>
      </c>
      <c r="E85" s="3">
        <f t="shared" si="5"/>
        <v>-2.6642869913998161E-2</v>
      </c>
    </row>
    <row r="86" spans="1:5" x14ac:dyDescent="0.45">
      <c r="A86" s="2">
        <v>40667</v>
      </c>
      <c r="B86" s="3">
        <v>18469.36</v>
      </c>
      <c r="C86" s="3">
        <v>104.2</v>
      </c>
      <c r="D86" s="3">
        <f t="shared" si="4"/>
        <v>-3.5309685224418396E-3</v>
      </c>
      <c r="E86" s="3">
        <f t="shared" si="5"/>
        <v>4.810014083784878E-3</v>
      </c>
    </row>
    <row r="87" spans="1:5" x14ac:dyDescent="0.45">
      <c r="A87" s="2">
        <v>40668</v>
      </c>
      <c r="B87" s="3">
        <v>18210.580000000002</v>
      </c>
      <c r="C87" s="3">
        <v>101.7</v>
      </c>
      <c r="D87" s="3">
        <f t="shared" si="4"/>
        <v>-1.4110398961922269E-2</v>
      </c>
      <c r="E87" s="3">
        <f t="shared" si="5"/>
        <v>-2.4284826264752275E-2</v>
      </c>
    </row>
    <row r="88" spans="1:5" x14ac:dyDescent="0.45">
      <c r="A88" s="2">
        <v>40669</v>
      </c>
      <c r="B88" s="3">
        <v>18518.810000000001</v>
      </c>
      <c r="C88" s="3">
        <v>102.85</v>
      </c>
      <c r="D88" s="3">
        <f t="shared" si="4"/>
        <v>1.6784228430173097E-2</v>
      </c>
      <c r="E88" s="3">
        <f t="shared" si="5"/>
        <v>1.1244313044451865E-2</v>
      </c>
    </row>
    <row r="89" spans="1:5" x14ac:dyDescent="0.45">
      <c r="A89" s="2">
        <v>40672</v>
      </c>
      <c r="B89" s="3">
        <v>18528.96</v>
      </c>
      <c r="C89" s="3">
        <v>102.6</v>
      </c>
      <c r="D89" s="3">
        <f t="shared" si="4"/>
        <v>5.4794122582539325E-4</v>
      </c>
      <c r="E89" s="3">
        <f t="shared" si="5"/>
        <v>-2.4336833622969744E-3</v>
      </c>
    </row>
    <row r="90" spans="1:5" x14ac:dyDescent="0.45">
      <c r="A90" s="2">
        <v>40673</v>
      </c>
      <c r="B90" s="3">
        <v>18512.77</v>
      </c>
      <c r="C90" s="3">
        <v>102.35</v>
      </c>
      <c r="D90" s="3">
        <f t="shared" si="4"/>
        <v>-8.7414929221431845E-4</v>
      </c>
      <c r="E90" s="3">
        <f t="shared" si="5"/>
        <v>-2.4396206293705821E-3</v>
      </c>
    </row>
    <row r="91" spans="1:5" x14ac:dyDescent="0.45">
      <c r="A91" s="2">
        <v>40674</v>
      </c>
      <c r="B91" s="3">
        <v>18584.96</v>
      </c>
      <c r="C91" s="3">
        <v>103.85</v>
      </c>
      <c r="D91" s="3">
        <f t="shared" si="4"/>
        <v>3.8918872459591624E-3</v>
      </c>
      <c r="E91" s="3">
        <f t="shared" si="5"/>
        <v>1.454923821482283E-2</v>
      </c>
    </row>
    <row r="92" spans="1:5" x14ac:dyDescent="0.45">
      <c r="A92" s="2">
        <v>40675</v>
      </c>
      <c r="B92" s="3">
        <v>18335.79</v>
      </c>
      <c r="C92" s="3">
        <v>101.5</v>
      </c>
      <c r="D92" s="3">
        <f t="shared" si="4"/>
        <v>-1.3497763886397346E-2</v>
      </c>
      <c r="E92" s="3">
        <f t="shared" si="5"/>
        <v>-2.2888751840279276E-2</v>
      </c>
    </row>
    <row r="93" spans="1:5" x14ac:dyDescent="0.45">
      <c r="A93" s="2">
        <v>40676</v>
      </c>
      <c r="B93" s="3">
        <v>18531.28</v>
      </c>
      <c r="C93" s="3">
        <v>101.45</v>
      </c>
      <c r="D93" s="3">
        <f t="shared" si="4"/>
        <v>1.0605227496540397E-2</v>
      </c>
      <c r="E93" s="3">
        <f t="shared" si="5"/>
        <v>-4.9273221001819507E-4</v>
      </c>
    </row>
    <row r="94" spans="1:5" x14ac:dyDescent="0.45">
      <c r="A94" s="2">
        <v>40679</v>
      </c>
      <c r="B94" s="3">
        <v>18345.03</v>
      </c>
      <c r="C94" s="3">
        <v>101.5</v>
      </c>
      <c r="D94" s="3">
        <f t="shared" si="4"/>
        <v>-1.010142195481918E-2</v>
      </c>
      <c r="E94" s="3">
        <f t="shared" si="5"/>
        <v>4.9273221001834675E-4</v>
      </c>
    </row>
    <row r="95" spans="1:5" x14ac:dyDescent="0.45">
      <c r="A95" s="2">
        <v>40680</v>
      </c>
      <c r="B95" s="3">
        <v>18137.349999999999</v>
      </c>
      <c r="C95" s="3">
        <v>101.45</v>
      </c>
      <c r="D95" s="3">
        <f t="shared" si="4"/>
        <v>-1.1385345111287566E-2</v>
      </c>
      <c r="E95" s="3">
        <f t="shared" si="5"/>
        <v>-4.9273221001819507E-4</v>
      </c>
    </row>
    <row r="96" spans="1:5" x14ac:dyDescent="0.45">
      <c r="A96" s="2">
        <v>40681</v>
      </c>
      <c r="B96" s="3">
        <v>18086.2</v>
      </c>
      <c r="C96" s="3">
        <v>101.4</v>
      </c>
      <c r="D96" s="3">
        <f t="shared" si="4"/>
        <v>-2.8241314833302306E-3</v>
      </c>
      <c r="E96" s="3">
        <f t="shared" si="5"/>
        <v>-4.9297511474092302E-4</v>
      </c>
    </row>
    <row r="97" spans="1:5" x14ac:dyDescent="0.45">
      <c r="A97" s="2">
        <v>40682</v>
      </c>
      <c r="B97" s="3">
        <v>18141.400000000001</v>
      </c>
      <c r="C97" s="3">
        <v>98.95</v>
      </c>
      <c r="D97" s="3">
        <f t="shared" si="4"/>
        <v>3.0474026829623814E-3</v>
      </c>
      <c r="E97" s="3">
        <f t="shared" si="5"/>
        <v>-2.4458419108508125E-2</v>
      </c>
    </row>
    <row r="98" spans="1:5" x14ac:dyDescent="0.45">
      <c r="A98" s="2">
        <v>40683</v>
      </c>
      <c r="B98" s="3">
        <v>18326.09</v>
      </c>
      <c r="C98" s="3">
        <v>100.6</v>
      </c>
      <c r="D98" s="3">
        <f t="shared" si="4"/>
        <v>1.0129108369064553E-2</v>
      </c>
      <c r="E98" s="3">
        <f t="shared" si="5"/>
        <v>1.6537585617064043E-2</v>
      </c>
    </row>
    <row r="99" spans="1:5" x14ac:dyDescent="0.45">
      <c r="A99" s="2">
        <v>40686</v>
      </c>
      <c r="B99" s="3">
        <v>17993.330000000002</v>
      </c>
      <c r="C99" s="3">
        <v>99.35</v>
      </c>
      <c r="D99" s="3">
        <f t="shared" si="4"/>
        <v>-1.8324593918359427E-2</v>
      </c>
      <c r="E99" s="3">
        <f t="shared" si="5"/>
        <v>-1.2503288667812997E-2</v>
      </c>
    </row>
    <row r="100" spans="1:5" x14ac:dyDescent="0.45">
      <c r="A100" s="2">
        <v>40687</v>
      </c>
      <c r="B100" s="3">
        <v>18011.97</v>
      </c>
      <c r="C100" s="3">
        <v>98.8</v>
      </c>
      <c r="D100" s="3">
        <f t="shared" si="4"/>
        <v>1.0354032137083486E-3</v>
      </c>
      <c r="E100" s="3">
        <f t="shared" si="5"/>
        <v>-5.5513642440036537E-3</v>
      </c>
    </row>
    <row r="101" spans="1:5" x14ac:dyDescent="0.45">
      <c r="A101" s="2">
        <v>40688</v>
      </c>
      <c r="B101" s="3">
        <v>17847.240000000002</v>
      </c>
      <c r="C101" s="3">
        <v>97.05</v>
      </c>
      <c r="D101" s="3">
        <f t="shared" si="4"/>
        <v>-9.1876624599241414E-3</v>
      </c>
      <c r="E101" s="3">
        <f t="shared" si="5"/>
        <v>-1.7871295138802912E-2</v>
      </c>
    </row>
    <row r="102" spans="1:5" x14ac:dyDescent="0.45">
      <c r="A102" s="2">
        <v>40689</v>
      </c>
      <c r="B102" s="3">
        <v>18044.64</v>
      </c>
      <c r="C102" s="3">
        <v>95.8</v>
      </c>
      <c r="D102" s="3">
        <f t="shared" si="4"/>
        <v>1.0999813349339031E-2</v>
      </c>
      <c r="E102" s="3">
        <f t="shared" si="5"/>
        <v>-1.296362463820435E-2</v>
      </c>
    </row>
    <row r="103" spans="1:5" x14ac:dyDescent="0.45">
      <c r="A103" s="2">
        <v>40690</v>
      </c>
      <c r="B103" s="3">
        <v>18266.099999999999</v>
      </c>
      <c r="C103" s="3">
        <v>97.65</v>
      </c>
      <c r="D103" s="3">
        <f t="shared" si="4"/>
        <v>1.2198195135803584E-2</v>
      </c>
      <c r="E103" s="3">
        <f t="shared" si="5"/>
        <v>1.9126972345873145E-2</v>
      </c>
    </row>
    <row r="104" spans="1:5" x14ac:dyDescent="0.45">
      <c r="A104" s="2">
        <v>40693</v>
      </c>
      <c r="B104" s="3">
        <v>18232.060000000001</v>
      </c>
      <c r="C104" s="3">
        <v>98.8</v>
      </c>
      <c r="D104" s="3">
        <f t="shared" si="4"/>
        <v>-1.8653000518238055E-3</v>
      </c>
      <c r="E104" s="3">
        <f t="shared" si="5"/>
        <v>1.1707947431134128E-2</v>
      </c>
    </row>
    <row r="105" spans="1:5" x14ac:dyDescent="0.45">
      <c r="A105" s="2">
        <v>40694</v>
      </c>
      <c r="B105" s="3">
        <v>18503.28</v>
      </c>
      <c r="C105" s="3">
        <v>100.65</v>
      </c>
      <c r="D105" s="3">
        <f t="shared" si="4"/>
        <v>1.4766430811230915E-2</v>
      </c>
      <c r="E105" s="3">
        <f t="shared" si="5"/>
        <v>1.8551547331978547E-2</v>
      </c>
    </row>
    <row r="106" spans="1:5" x14ac:dyDescent="0.45">
      <c r="A106" s="2">
        <v>40695</v>
      </c>
      <c r="B106" s="3">
        <v>18608.810000000001</v>
      </c>
      <c r="C106" s="3">
        <v>100.65</v>
      </c>
      <c r="D106" s="3">
        <f t="shared" si="4"/>
        <v>5.6871108273127031E-3</v>
      </c>
      <c r="E106" s="3">
        <f t="shared" si="5"/>
        <v>0</v>
      </c>
    </row>
    <row r="107" spans="1:5" x14ac:dyDescent="0.45">
      <c r="A107" s="2">
        <v>40696</v>
      </c>
      <c r="B107" s="3">
        <v>18494.18</v>
      </c>
      <c r="C107" s="3">
        <v>99.3</v>
      </c>
      <c r="D107" s="3">
        <f t="shared" si="4"/>
        <v>-6.1790364991565067E-3</v>
      </c>
      <c r="E107" s="3">
        <f t="shared" si="5"/>
        <v>-1.3503581034673659E-2</v>
      </c>
    </row>
    <row r="108" spans="1:5" x14ac:dyDescent="0.45">
      <c r="A108" s="2">
        <v>40697</v>
      </c>
      <c r="B108" s="3">
        <v>18376.48</v>
      </c>
      <c r="C108" s="3">
        <v>100.95</v>
      </c>
      <c r="D108" s="3">
        <f t="shared" si="4"/>
        <v>-6.3845019213480559E-3</v>
      </c>
      <c r="E108" s="3">
        <f t="shared" si="5"/>
        <v>1.6479773707719622E-2</v>
      </c>
    </row>
    <row r="109" spans="1:5" x14ac:dyDescent="0.45">
      <c r="A109" s="2">
        <v>40700</v>
      </c>
      <c r="B109" s="3">
        <v>18420.11</v>
      </c>
      <c r="C109" s="3">
        <v>101.5</v>
      </c>
      <c r="D109" s="3">
        <f t="shared" si="4"/>
        <v>2.3714165060691817E-3</v>
      </c>
      <c r="E109" s="3">
        <f t="shared" si="5"/>
        <v>5.4334537229955007E-3</v>
      </c>
    </row>
    <row r="110" spans="1:5" x14ac:dyDescent="0.45">
      <c r="A110" s="2">
        <v>40701</v>
      </c>
      <c r="B110" s="3">
        <v>18495.62</v>
      </c>
      <c r="C110" s="3">
        <v>101.5</v>
      </c>
      <c r="D110" s="3">
        <f t="shared" si="4"/>
        <v>4.0909447170715601E-3</v>
      </c>
      <c r="E110" s="3">
        <f t="shared" si="5"/>
        <v>0</v>
      </c>
    </row>
    <row r="111" spans="1:5" x14ac:dyDescent="0.45">
      <c r="A111" s="2">
        <v>40702</v>
      </c>
      <c r="B111" s="3">
        <v>18394.29</v>
      </c>
      <c r="C111" s="3">
        <v>101.15</v>
      </c>
      <c r="D111" s="3">
        <f t="shared" si="4"/>
        <v>-5.4936569293376368E-3</v>
      </c>
      <c r="E111" s="3">
        <f t="shared" si="5"/>
        <v>-3.4542348680874461E-3</v>
      </c>
    </row>
    <row r="112" spans="1:5" x14ac:dyDescent="0.45">
      <c r="A112" s="2">
        <v>40703</v>
      </c>
      <c r="B112" s="3">
        <v>18384.900000000001</v>
      </c>
      <c r="C112" s="3">
        <v>101.45</v>
      </c>
      <c r="D112" s="3">
        <f t="shared" si="4"/>
        <v>-5.1061484518924417E-4</v>
      </c>
      <c r="E112" s="3">
        <f t="shared" si="5"/>
        <v>2.9615026580692276E-3</v>
      </c>
    </row>
    <row r="113" spans="1:5" x14ac:dyDescent="0.45">
      <c r="A113" s="2">
        <v>40704</v>
      </c>
      <c r="B113" s="3">
        <v>18268.54</v>
      </c>
      <c r="C113" s="3">
        <v>101.05</v>
      </c>
      <c r="D113" s="3">
        <f t="shared" si="4"/>
        <v>-6.3492207496826077E-3</v>
      </c>
      <c r="E113" s="3">
        <f t="shared" si="5"/>
        <v>-3.9506224221937652E-3</v>
      </c>
    </row>
    <row r="114" spans="1:5" x14ac:dyDescent="0.45">
      <c r="A114" s="2">
        <v>40707</v>
      </c>
      <c r="B114" s="3">
        <v>18266.03</v>
      </c>
      <c r="C114" s="3">
        <v>102.5</v>
      </c>
      <c r="D114" s="3">
        <f t="shared" si="4"/>
        <v>-1.3740410816116019E-4</v>
      </c>
      <c r="E114" s="3">
        <f t="shared" si="5"/>
        <v>1.4247354728832901E-2</v>
      </c>
    </row>
    <row r="115" spans="1:5" x14ac:dyDescent="0.45">
      <c r="A115" s="2">
        <v>40708</v>
      </c>
      <c r="B115" s="3">
        <v>18308.66</v>
      </c>
      <c r="C115" s="3">
        <v>103.55</v>
      </c>
      <c r="D115" s="3">
        <f t="shared" si="4"/>
        <v>2.3311212920591622E-3</v>
      </c>
      <c r="E115" s="3">
        <f t="shared" si="5"/>
        <v>1.0191789263130307E-2</v>
      </c>
    </row>
    <row r="116" spans="1:5" x14ac:dyDescent="0.45">
      <c r="A116" s="2">
        <v>40709</v>
      </c>
      <c r="B116" s="3">
        <v>18132.240000000002</v>
      </c>
      <c r="C116" s="3">
        <v>101.7</v>
      </c>
      <c r="D116" s="3">
        <f t="shared" si="4"/>
        <v>-9.6826026975286791E-3</v>
      </c>
      <c r="E116" s="3">
        <f t="shared" si="5"/>
        <v>-1.802728478707882E-2</v>
      </c>
    </row>
    <row r="117" spans="1:5" x14ac:dyDescent="0.45">
      <c r="A117" s="2">
        <v>40710</v>
      </c>
      <c r="B117" s="3">
        <v>17985.88</v>
      </c>
      <c r="C117" s="3">
        <v>101.9</v>
      </c>
      <c r="D117" s="3">
        <f t="shared" si="4"/>
        <v>-8.1045636441979818E-3</v>
      </c>
      <c r="E117" s="3">
        <f t="shared" si="5"/>
        <v>1.9646371741648158E-3</v>
      </c>
    </row>
    <row r="118" spans="1:5" x14ac:dyDescent="0.45">
      <c r="A118" s="2">
        <v>40711</v>
      </c>
      <c r="B118" s="3">
        <v>17870.53</v>
      </c>
      <c r="C118" s="3">
        <v>102.2</v>
      </c>
      <c r="D118" s="3">
        <f t="shared" si="4"/>
        <v>-6.4340182368762544E-3</v>
      </c>
      <c r="E118" s="3">
        <f t="shared" si="5"/>
        <v>2.9397375409249741E-3</v>
      </c>
    </row>
    <row r="119" spans="1:5" x14ac:dyDescent="0.45">
      <c r="A119" s="2">
        <v>40714</v>
      </c>
      <c r="B119" s="3">
        <v>17506.63</v>
      </c>
      <c r="C119" s="3">
        <v>101.8</v>
      </c>
      <c r="D119" s="3">
        <f t="shared" si="4"/>
        <v>-2.0573321053223542E-2</v>
      </c>
      <c r="E119" s="3">
        <f t="shared" si="5"/>
        <v>-3.9215736531818023E-3</v>
      </c>
    </row>
    <row r="120" spans="1:5" x14ac:dyDescent="0.45">
      <c r="A120" s="2">
        <v>40715</v>
      </c>
      <c r="B120" s="3">
        <v>17560.3</v>
      </c>
      <c r="C120" s="3">
        <v>101.15</v>
      </c>
      <c r="D120" s="3">
        <f t="shared" si="4"/>
        <v>3.0610060194167436E-3</v>
      </c>
      <c r="E120" s="3">
        <f t="shared" si="5"/>
        <v>-6.4055405026677619E-3</v>
      </c>
    </row>
    <row r="121" spans="1:5" x14ac:dyDescent="0.45">
      <c r="A121" s="2">
        <v>40716</v>
      </c>
      <c r="B121" s="3">
        <v>17550.63</v>
      </c>
      <c r="C121" s="3">
        <v>101.95</v>
      </c>
      <c r="D121" s="3">
        <f t="shared" si="4"/>
        <v>-5.5082564002123817E-4</v>
      </c>
      <c r="E121" s="3">
        <f t="shared" si="5"/>
        <v>7.8779334067095794E-3</v>
      </c>
    </row>
    <row r="122" spans="1:5" x14ac:dyDescent="0.45">
      <c r="A122" s="2">
        <v>40717</v>
      </c>
      <c r="B122" s="3">
        <v>17727.490000000002</v>
      </c>
      <c r="C122" s="3">
        <v>102.15</v>
      </c>
      <c r="D122" s="3">
        <f t="shared" si="4"/>
        <v>1.0026695397048771E-2</v>
      </c>
      <c r="E122" s="3">
        <f t="shared" si="5"/>
        <v>1.9598242431668866E-3</v>
      </c>
    </row>
    <row r="123" spans="1:5" x14ac:dyDescent="0.45">
      <c r="A123" s="2">
        <v>40718</v>
      </c>
      <c r="B123" s="3">
        <v>18240.68</v>
      </c>
      <c r="C123" s="3">
        <v>103.65</v>
      </c>
      <c r="D123" s="3">
        <f t="shared" si="4"/>
        <v>2.8537722552508034E-2</v>
      </c>
      <c r="E123" s="3">
        <f t="shared" si="5"/>
        <v>1.4577517618157424E-2</v>
      </c>
    </row>
    <row r="124" spans="1:5" x14ac:dyDescent="0.45">
      <c r="A124" s="2">
        <v>40721</v>
      </c>
      <c r="B124" s="3">
        <v>18412.41</v>
      </c>
      <c r="C124" s="3">
        <v>108.7</v>
      </c>
      <c r="D124" s="3">
        <f t="shared" si="4"/>
        <v>9.37062914006416E-3</v>
      </c>
      <c r="E124" s="3">
        <f t="shared" si="5"/>
        <v>4.7571955245375178E-2</v>
      </c>
    </row>
    <row r="125" spans="1:5" x14ac:dyDescent="0.45">
      <c r="A125" s="2">
        <v>40722</v>
      </c>
      <c r="B125" s="3">
        <v>18492.45</v>
      </c>
      <c r="C125" s="3">
        <v>109.1</v>
      </c>
      <c r="D125" s="3">
        <f t="shared" si="4"/>
        <v>4.3376468842972801E-3</v>
      </c>
      <c r="E125" s="3">
        <f t="shared" si="5"/>
        <v>3.6730987118612844E-3</v>
      </c>
    </row>
    <row r="126" spans="1:5" x14ac:dyDescent="0.45">
      <c r="A126" s="2">
        <v>40723</v>
      </c>
      <c r="B126" s="3">
        <v>18693.86</v>
      </c>
      <c r="C126" s="3">
        <v>110.05</v>
      </c>
      <c r="D126" s="3">
        <f t="shared" si="4"/>
        <v>1.0832587021041024E-2</v>
      </c>
      <c r="E126" s="3">
        <f t="shared" si="5"/>
        <v>8.6699151334455622E-3</v>
      </c>
    </row>
    <row r="127" spans="1:5" x14ac:dyDescent="0.45">
      <c r="A127" s="2">
        <v>40724</v>
      </c>
      <c r="B127" s="3">
        <v>18845.87</v>
      </c>
      <c r="C127" s="3">
        <v>109.3</v>
      </c>
      <c r="D127" s="3">
        <f t="shared" si="4"/>
        <v>8.0986640468448355E-3</v>
      </c>
      <c r="E127" s="3">
        <f t="shared" si="5"/>
        <v>-6.8384127899778491E-3</v>
      </c>
    </row>
    <row r="128" spans="1:5" x14ac:dyDescent="0.45">
      <c r="A128" s="2">
        <v>40725</v>
      </c>
      <c r="B128" s="3">
        <v>18762.8</v>
      </c>
      <c r="C128" s="3">
        <v>110.25</v>
      </c>
      <c r="D128" s="3">
        <f t="shared" si="4"/>
        <v>-4.4176055730871782E-3</v>
      </c>
      <c r="E128" s="3">
        <f t="shared" si="5"/>
        <v>8.6541191444625565E-3</v>
      </c>
    </row>
    <row r="129" spans="1:5" x14ac:dyDescent="0.45">
      <c r="A129" s="2">
        <v>40728</v>
      </c>
      <c r="B129" s="3">
        <v>18814.48</v>
      </c>
      <c r="C129" s="3">
        <v>110.35</v>
      </c>
      <c r="D129" s="3">
        <f t="shared" si="4"/>
        <v>2.7505999680324891E-3</v>
      </c>
      <c r="E129" s="3">
        <f t="shared" si="5"/>
        <v>9.0661837578987067E-4</v>
      </c>
    </row>
    <row r="130" spans="1:5" x14ac:dyDescent="0.45">
      <c r="A130" s="2">
        <v>40729</v>
      </c>
      <c r="B130" s="3">
        <v>18744.560000000001</v>
      </c>
      <c r="C130" s="3">
        <v>109.4</v>
      </c>
      <c r="D130" s="3">
        <f t="shared" si="4"/>
        <v>-3.7232091539561242E-3</v>
      </c>
      <c r="E130" s="3">
        <f t="shared" si="5"/>
        <v>-8.6462427148644352E-3</v>
      </c>
    </row>
    <row r="131" spans="1:5" x14ac:dyDescent="0.45">
      <c r="A131" s="2">
        <v>40730</v>
      </c>
      <c r="B131" s="3">
        <v>18726.97</v>
      </c>
      <c r="C131" s="3">
        <v>109.1</v>
      </c>
      <c r="D131" s="3">
        <f t="shared" si="4"/>
        <v>-9.3884617425723355E-4</v>
      </c>
      <c r="E131" s="3">
        <f t="shared" si="5"/>
        <v>-2.7459971488558478E-3</v>
      </c>
    </row>
    <row r="132" spans="1:5" x14ac:dyDescent="0.45">
      <c r="A132" s="2">
        <v>40731</v>
      </c>
      <c r="B132" s="3">
        <v>19078.3</v>
      </c>
      <c r="C132" s="3">
        <v>109.85</v>
      </c>
      <c r="D132" s="3">
        <f t="shared" si="4"/>
        <v>1.8586832706124528E-2</v>
      </c>
      <c r="E132" s="3">
        <f t="shared" si="5"/>
        <v>6.8509059915940057E-3</v>
      </c>
    </row>
    <row r="133" spans="1:5" x14ac:dyDescent="0.45">
      <c r="A133" s="2">
        <v>40732</v>
      </c>
      <c r="B133" s="3">
        <v>18858.04</v>
      </c>
      <c r="C133" s="3">
        <v>109</v>
      </c>
      <c r="D133" s="3">
        <f t="shared" si="4"/>
        <v>-1.1612215361192712E-2</v>
      </c>
      <c r="E133" s="3">
        <f t="shared" si="5"/>
        <v>-7.7679166014754247E-3</v>
      </c>
    </row>
    <row r="134" spans="1:5" x14ac:dyDescent="0.45">
      <c r="A134" s="2">
        <v>40735</v>
      </c>
      <c r="B134" s="3">
        <v>18721.39</v>
      </c>
      <c r="C134" s="3">
        <v>108</v>
      </c>
      <c r="D134" s="3">
        <f t="shared" ref="D134:D197" si="6">LN(B134/B133)</f>
        <v>-7.272627727298234E-3</v>
      </c>
      <c r="E134" s="3">
        <f t="shared" ref="E134:E197" si="7">LN(C134/C133)</f>
        <v>-9.2166551049239522E-3</v>
      </c>
    </row>
    <row r="135" spans="1:5" x14ac:dyDescent="0.45">
      <c r="A135" s="2">
        <v>40736</v>
      </c>
      <c r="B135" s="3">
        <v>18411.62</v>
      </c>
      <c r="C135" s="3">
        <v>108.1</v>
      </c>
      <c r="D135" s="3">
        <f t="shared" si="6"/>
        <v>-1.6684733401513156E-2</v>
      </c>
      <c r="E135" s="3">
        <f t="shared" si="7"/>
        <v>9.2549752094274939E-4</v>
      </c>
    </row>
    <row r="136" spans="1:5" x14ac:dyDescent="0.45">
      <c r="A136" s="2">
        <v>40737</v>
      </c>
      <c r="B136" s="3">
        <v>18596.02</v>
      </c>
      <c r="C136" s="3">
        <v>109.85</v>
      </c>
      <c r="D136" s="3">
        <f t="shared" si="6"/>
        <v>9.9655922997359623E-3</v>
      </c>
      <c r="E136" s="3">
        <f t="shared" si="7"/>
        <v>1.6059074185456594E-2</v>
      </c>
    </row>
    <row r="137" spans="1:5" x14ac:dyDescent="0.45">
      <c r="A137" s="2">
        <v>40738</v>
      </c>
      <c r="B137" s="3">
        <v>18618.2</v>
      </c>
      <c r="C137" s="3">
        <v>109.05</v>
      </c>
      <c r="D137" s="3">
        <f t="shared" si="6"/>
        <v>1.1920176011377462E-3</v>
      </c>
      <c r="E137" s="3">
        <f t="shared" si="7"/>
        <v>-7.3093061829811196E-3</v>
      </c>
    </row>
    <row r="138" spans="1:5" x14ac:dyDescent="0.45">
      <c r="A138" s="2">
        <v>40739</v>
      </c>
      <c r="B138" s="3">
        <v>18561.919999999998</v>
      </c>
      <c r="C138" s="3">
        <v>110.2</v>
      </c>
      <c r="D138" s="3">
        <f t="shared" si="6"/>
        <v>-3.0274266454927566E-3</v>
      </c>
      <c r="E138" s="3">
        <f t="shared" si="7"/>
        <v>1.0490404071176036E-2</v>
      </c>
    </row>
    <row r="139" spans="1:5" x14ac:dyDescent="0.45">
      <c r="A139" s="2">
        <v>40742</v>
      </c>
      <c r="B139" s="3">
        <v>18507.04</v>
      </c>
      <c r="C139" s="3">
        <v>109.3</v>
      </c>
      <c r="D139" s="3">
        <f t="shared" si="6"/>
        <v>-2.960970045880727E-3</v>
      </c>
      <c r="E139" s="3">
        <f t="shared" si="7"/>
        <v>-8.2005015363213352E-3</v>
      </c>
    </row>
    <row r="140" spans="1:5" x14ac:dyDescent="0.45">
      <c r="A140" s="2">
        <v>40743</v>
      </c>
      <c r="B140" s="3">
        <v>18653.87</v>
      </c>
      <c r="C140" s="3">
        <v>109.6</v>
      </c>
      <c r="D140" s="3">
        <f t="shared" si="6"/>
        <v>7.9024310280676399E-3</v>
      </c>
      <c r="E140" s="3">
        <f t="shared" si="7"/>
        <v>2.7409793314222665E-3</v>
      </c>
    </row>
    <row r="141" spans="1:5" x14ac:dyDescent="0.45">
      <c r="A141" s="2">
        <v>40744</v>
      </c>
      <c r="B141" s="3">
        <v>18502.38</v>
      </c>
      <c r="C141" s="3">
        <v>109.1</v>
      </c>
      <c r="D141" s="3">
        <f t="shared" si="6"/>
        <v>-8.1542588072994072E-3</v>
      </c>
      <c r="E141" s="3">
        <f t="shared" si="7"/>
        <v>-4.5724816748900056E-3</v>
      </c>
    </row>
    <row r="142" spans="1:5" x14ac:dyDescent="0.45">
      <c r="A142" s="2">
        <v>40745</v>
      </c>
      <c r="B142" s="3">
        <v>18436.189999999999</v>
      </c>
      <c r="C142" s="3">
        <v>108.05</v>
      </c>
      <c r="D142" s="3">
        <f t="shared" si="6"/>
        <v>-3.583791730050234E-3</v>
      </c>
      <c r="E142" s="3">
        <f t="shared" si="7"/>
        <v>-9.6708098861301144E-3</v>
      </c>
    </row>
    <row r="143" spans="1:5" x14ac:dyDescent="0.45">
      <c r="A143" s="2">
        <v>40746</v>
      </c>
      <c r="B143" s="3">
        <v>18722.3</v>
      </c>
      <c r="C143" s="3">
        <v>109.45</v>
      </c>
      <c r="D143" s="3">
        <f t="shared" si="6"/>
        <v>1.5399746021888643E-2</v>
      </c>
      <c r="E143" s="3">
        <f t="shared" si="7"/>
        <v>1.2873741015977011E-2</v>
      </c>
    </row>
    <row r="144" spans="1:5" x14ac:dyDescent="0.45">
      <c r="A144" s="2">
        <v>40749</v>
      </c>
      <c r="B144" s="3">
        <v>18871.29</v>
      </c>
      <c r="C144" s="3">
        <v>108.45</v>
      </c>
      <c r="D144" s="3">
        <f t="shared" si="6"/>
        <v>7.9263927737396132E-3</v>
      </c>
      <c r="E144" s="3">
        <f t="shared" si="7"/>
        <v>-9.1785866959885505E-3</v>
      </c>
    </row>
    <row r="145" spans="1:5" x14ac:dyDescent="0.45">
      <c r="A145" s="2">
        <v>40750</v>
      </c>
      <c r="B145" s="3">
        <v>18518.22</v>
      </c>
      <c r="C145" s="3">
        <v>109.05</v>
      </c>
      <c r="D145" s="3">
        <f t="shared" si="6"/>
        <v>-1.8886607236044146E-2</v>
      </c>
      <c r="E145" s="3">
        <f t="shared" si="7"/>
        <v>5.5172553747546592E-3</v>
      </c>
    </row>
    <row r="146" spans="1:5" x14ac:dyDescent="0.45">
      <c r="A146" s="2">
        <v>40751</v>
      </c>
      <c r="B146" s="3">
        <v>18432.25</v>
      </c>
      <c r="C146" s="3">
        <v>107</v>
      </c>
      <c r="D146" s="3">
        <f t="shared" si="6"/>
        <v>-4.6532644983795102E-3</v>
      </c>
      <c r="E146" s="3">
        <f t="shared" si="7"/>
        <v>-1.8977658185731858E-2</v>
      </c>
    </row>
    <row r="147" spans="1:5" x14ac:dyDescent="0.45">
      <c r="A147" s="2">
        <v>40752</v>
      </c>
      <c r="B147" s="3">
        <v>18209.52</v>
      </c>
      <c r="C147" s="3">
        <v>105.45</v>
      </c>
      <c r="D147" s="3">
        <f t="shared" si="6"/>
        <v>-1.2157313540774203E-2</v>
      </c>
      <c r="E147" s="3">
        <f t="shared" si="7"/>
        <v>-1.4591927537122521E-2</v>
      </c>
    </row>
    <row r="148" spans="1:5" x14ac:dyDescent="0.45">
      <c r="A148" s="2">
        <v>40753</v>
      </c>
      <c r="B148" s="3">
        <v>18197.2</v>
      </c>
      <c r="C148" s="3">
        <v>104.9</v>
      </c>
      <c r="D148" s="3">
        <f t="shared" si="6"/>
        <v>-6.7679815541033818E-4</v>
      </c>
      <c r="E148" s="3">
        <f t="shared" si="7"/>
        <v>-5.2293915225320401E-3</v>
      </c>
    </row>
    <row r="149" spans="1:5" x14ac:dyDescent="0.45">
      <c r="A149" s="2">
        <v>40756</v>
      </c>
      <c r="B149" s="3">
        <v>18314.330000000002</v>
      </c>
      <c r="C149" s="3">
        <v>107.5</v>
      </c>
      <c r="D149" s="3">
        <f t="shared" si="6"/>
        <v>6.4160774316866674E-3</v>
      </c>
      <c r="E149" s="3">
        <f t="shared" si="7"/>
        <v>2.4483332165465995E-2</v>
      </c>
    </row>
    <row r="150" spans="1:5" x14ac:dyDescent="0.45">
      <c r="A150" s="2">
        <v>40757</v>
      </c>
      <c r="B150" s="3">
        <v>18109.89</v>
      </c>
      <c r="C150" s="3">
        <v>107.75</v>
      </c>
      <c r="D150" s="3">
        <f t="shared" si="6"/>
        <v>-1.122561564045099E-2</v>
      </c>
      <c r="E150" s="3">
        <f t="shared" si="7"/>
        <v>2.3228814161397287E-3</v>
      </c>
    </row>
    <row r="151" spans="1:5" x14ac:dyDescent="0.45">
      <c r="A151" s="2">
        <v>40758</v>
      </c>
      <c r="B151" s="3">
        <v>17940.55</v>
      </c>
      <c r="C151" s="3">
        <v>104.6</v>
      </c>
      <c r="D151" s="3">
        <f t="shared" si="6"/>
        <v>-9.394683975845846E-3</v>
      </c>
      <c r="E151" s="3">
        <f t="shared" si="7"/>
        <v>-2.9670177353034673E-2</v>
      </c>
    </row>
    <row r="152" spans="1:5" x14ac:dyDescent="0.45">
      <c r="A152" s="2">
        <v>40759</v>
      </c>
      <c r="B152" s="3">
        <v>17693.18</v>
      </c>
      <c r="C152" s="3">
        <v>104.5</v>
      </c>
      <c r="D152" s="3">
        <f t="shared" si="6"/>
        <v>-1.3884259314694633E-2</v>
      </c>
      <c r="E152" s="3">
        <f t="shared" si="7"/>
        <v>-9.5648022595682303E-4</v>
      </c>
    </row>
    <row r="153" spans="1:5" x14ac:dyDescent="0.45">
      <c r="A153" s="2">
        <v>40760</v>
      </c>
      <c r="B153" s="3">
        <v>17305.87</v>
      </c>
      <c r="C153" s="3">
        <v>102.7</v>
      </c>
      <c r="D153" s="3">
        <f t="shared" si="6"/>
        <v>-2.2133504283335059E-2</v>
      </c>
      <c r="E153" s="3">
        <f t="shared" si="7"/>
        <v>-1.7374954470353171E-2</v>
      </c>
    </row>
    <row r="154" spans="1:5" x14ac:dyDescent="0.45">
      <c r="A154" s="2">
        <v>40763</v>
      </c>
      <c r="B154" s="3">
        <v>16990.18</v>
      </c>
      <c r="C154" s="3">
        <v>102.1</v>
      </c>
      <c r="D154" s="3">
        <f t="shared" si="6"/>
        <v>-1.8410220215676915E-2</v>
      </c>
      <c r="E154" s="3">
        <f t="shared" si="7"/>
        <v>-5.8593917638927141E-3</v>
      </c>
    </row>
    <row r="155" spans="1:5" x14ac:dyDescent="0.45">
      <c r="A155" s="2">
        <v>40764</v>
      </c>
      <c r="B155" s="3">
        <v>16857.91</v>
      </c>
      <c r="C155" s="3">
        <v>102.05</v>
      </c>
      <c r="D155" s="3">
        <f t="shared" si="6"/>
        <v>-7.8155472456049105E-3</v>
      </c>
      <c r="E155" s="3">
        <f t="shared" si="7"/>
        <v>-4.8983591476607689E-4</v>
      </c>
    </row>
    <row r="156" spans="1:5" x14ac:dyDescent="0.45">
      <c r="A156" s="2">
        <v>40765</v>
      </c>
      <c r="B156" s="3">
        <v>17130.509999999998</v>
      </c>
      <c r="C156" s="3">
        <v>103.2</v>
      </c>
      <c r="D156" s="3">
        <f t="shared" si="6"/>
        <v>1.6041101372639806E-2</v>
      </c>
      <c r="E156" s="3">
        <f t="shared" si="7"/>
        <v>1.1205963791608658E-2</v>
      </c>
    </row>
    <row r="157" spans="1:5" x14ac:dyDescent="0.45">
      <c r="A157" s="2">
        <v>40766</v>
      </c>
      <c r="B157" s="3">
        <v>17059.400000000001</v>
      </c>
      <c r="C157" s="3">
        <v>103.05</v>
      </c>
      <c r="D157" s="3">
        <f t="shared" si="6"/>
        <v>-4.1597127653104464E-3</v>
      </c>
      <c r="E157" s="3">
        <f t="shared" si="7"/>
        <v>-1.454545710994324E-3</v>
      </c>
    </row>
    <row r="158" spans="1:5" x14ac:dyDescent="0.45">
      <c r="A158" s="2">
        <v>40767</v>
      </c>
      <c r="B158" s="3">
        <v>16839.63</v>
      </c>
      <c r="C158" s="3">
        <v>103.65</v>
      </c>
      <c r="D158" s="3">
        <f t="shared" si="6"/>
        <v>-1.2966334380411072E-2</v>
      </c>
      <c r="E158" s="3">
        <f t="shared" si="7"/>
        <v>5.8055315453207175E-3</v>
      </c>
    </row>
    <row r="159" spans="1:5" x14ac:dyDescent="0.45">
      <c r="A159" s="2">
        <v>40771</v>
      </c>
      <c r="B159" s="3">
        <v>16730.939999999999</v>
      </c>
      <c r="C159" s="3">
        <v>103.3</v>
      </c>
      <c r="D159" s="3">
        <f t="shared" si="6"/>
        <v>-6.4753371647031637E-3</v>
      </c>
      <c r="E159" s="3">
        <f t="shared" si="7"/>
        <v>-3.3824627561957615E-3</v>
      </c>
    </row>
    <row r="160" spans="1:5" x14ac:dyDescent="0.45">
      <c r="A160" s="2">
        <v>40772</v>
      </c>
      <c r="B160" s="3">
        <v>16840.8</v>
      </c>
      <c r="C160" s="3">
        <v>103.15</v>
      </c>
      <c r="D160" s="3">
        <f t="shared" si="6"/>
        <v>6.5448137123877747E-3</v>
      </c>
      <c r="E160" s="3">
        <f t="shared" si="7"/>
        <v>-1.4531366083319164E-3</v>
      </c>
    </row>
    <row r="161" spans="1:5" x14ac:dyDescent="0.45">
      <c r="A161" s="2">
        <v>40773</v>
      </c>
      <c r="B161" s="3">
        <v>16469.79</v>
      </c>
      <c r="C161" s="3">
        <v>102.45</v>
      </c>
      <c r="D161" s="3">
        <f t="shared" si="6"/>
        <v>-2.227671997116373E-2</v>
      </c>
      <c r="E161" s="3">
        <f t="shared" si="7"/>
        <v>-6.8093648323520484E-3</v>
      </c>
    </row>
    <row r="162" spans="1:5" x14ac:dyDescent="0.45">
      <c r="A162" s="2">
        <v>40774</v>
      </c>
      <c r="B162" s="3">
        <v>16141.67</v>
      </c>
      <c r="C162" s="3">
        <v>101</v>
      </c>
      <c r="D162" s="3">
        <f t="shared" si="6"/>
        <v>-2.0123666523054761E-2</v>
      </c>
      <c r="E162" s="3">
        <f t="shared" si="7"/>
        <v>-1.4254357843649283E-2</v>
      </c>
    </row>
    <row r="163" spans="1:5" x14ac:dyDescent="0.45">
      <c r="A163" s="2">
        <v>40777</v>
      </c>
      <c r="B163" s="3">
        <v>16341.7</v>
      </c>
      <c r="C163" s="3">
        <v>103.15</v>
      </c>
      <c r="D163" s="3">
        <f t="shared" si="6"/>
        <v>1.2315996058011671E-2</v>
      </c>
      <c r="E163" s="3">
        <f t="shared" si="7"/>
        <v>2.1063722676001397E-2</v>
      </c>
    </row>
    <row r="164" spans="1:5" x14ac:dyDescent="0.45">
      <c r="A164" s="2">
        <v>40778</v>
      </c>
      <c r="B164" s="3">
        <v>16498.47</v>
      </c>
      <c r="C164" s="3">
        <v>101.2</v>
      </c>
      <c r="D164" s="3">
        <f t="shared" si="6"/>
        <v>9.5475261465236654E-3</v>
      </c>
      <c r="E164" s="3">
        <f t="shared" si="7"/>
        <v>-1.9085482663895679E-2</v>
      </c>
    </row>
    <row r="165" spans="1:5" x14ac:dyDescent="0.45">
      <c r="A165" s="2">
        <v>40779</v>
      </c>
      <c r="B165" s="3">
        <v>16284.98</v>
      </c>
      <c r="C165" s="3">
        <v>101.85</v>
      </c>
      <c r="D165" s="3">
        <f t="shared" si="6"/>
        <v>-1.3024438730966259E-2</v>
      </c>
      <c r="E165" s="3">
        <f t="shared" si="7"/>
        <v>6.4023858194496739E-3</v>
      </c>
    </row>
    <row r="166" spans="1:5" x14ac:dyDescent="0.45">
      <c r="A166" s="2">
        <v>40780</v>
      </c>
      <c r="B166" s="3">
        <v>16146.33</v>
      </c>
      <c r="C166" s="3">
        <v>99.55</v>
      </c>
      <c r="D166" s="3">
        <f t="shared" si="6"/>
        <v>-8.5504313407422875E-3</v>
      </c>
      <c r="E166" s="3">
        <f t="shared" si="7"/>
        <v>-2.2841112162609447E-2</v>
      </c>
    </row>
    <row r="167" spans="1:5" x14ac:dyDescent="0.45">
      <c r="A167" s="2">
        <v>40781</v>
      </c>
      <c r="B167" s="3">
        <v>15848.83</v>
      </c>
      <c r="C167" s="3">
        <v>97.35</v>
      </c>
      <c r="D167" s="3">
        <f t="shared" si="6"/>
        <v>-1.8597098698681945E-2</v>
      </c>
      <c r="E167" s="3">
        <f t="shared" si="7"/>
        <v>-2.2347298691996659E-2</v>
      </c>
    </row>
    <row r="168" spans="1:5" x14ac:dyDescent="0.45">
      <c r="A168" s="2">
        <v>40784</v>
      </c>
      <c r="B168" s="3">
        <v>16416.330000000002</v>
      </c>
      <c r="C168" s="3">
        <v>100</v>
      </c>
      <c r="D168" s="3">
        <f t="shared" si="6"/>
        <v>3.518089056151328E-2</v>
      </c>
      <c r="E168" s="3">
        <f t="shared" si="7"/>
        <v>2.6857454169882795E-2</v>
      </c>
    </row>
    <row r="169" spans="1:5" x14ac:dyDescent="0.45">
      <c r="A169" s="2">
        <v>40785</v>
      </c>
      <c r="B169" s="3">
        <v>16676.75</v>
      </c>
      <c r="C169" s="3">
        <v>100.25</v>
      </c>
      <c r="D169" s="3">
        <f t="shared" si="6"/>
        <v>1.5738962695826721E-2</v>
      </c>
      <c r="E169" s="3">
        <f t="shared" si="7"/>
        <v>2.4968801985871458E-3</v>
      </c>
    </row>
    <row r="170" spans="1:5" x14ac:dyDescent="0.45">
      <c r="A170" s="2">
        <v>40788</v>
      </c>
      <c r="B170" s="3">
        <v>16821.46</v>
      </c>
      <c r="C170" s="3">
        <v>99.55</v>
      </c>
      <c r="D170" s="3">
        <f t="shared" si="6"/>
        <v>8.6399183833308496E-3</v>
      </c>
      <c r="E170" s="3">
        <f t="shared" si="7"/>
        <v>-7.007035676473301E-3</v>
      </c>
    </row>
    <row r="171" spans="1:5" x14ac:dyDescent="0.45">
      <c r="A171" s="2">
        <v>40791</v>
      </c>
      <c r="B171" s="3">
        <v>16713.330000000002</v>
      </c>
      <c r="C171" s="3">
        <v>97.45</v>
      </c>
      <c r="D171" s="3">
        <f t="shared" si="6"/>
        <v>-6.4488475841946247E-3</v>
      </c>
      <c r="E171" s="3">
        <f t="shared" si="7"/>
        <v>-2.1320604556635477E-2</v>
      </c>
    </row>
    <row r="172" spans="1:5" x14ac:dyDescent="0.45">
      <c r="A172" s="2">
        <v>40792</v>
      </c>
      <c r="B172" s="3">
        <v>16862.810000000001</v>
      </c>
      <c r="C172" s="3">
        <v>95.65</v>
      </c>
      <c r="D172" s="3">
        <f t="shared" si="6"/>
        <v>8.9040007325759708E-3</v>
      </c>
      <c r="E172" s="3">
        <f t="shared" si="7"/>
        <v>-1.8643730067307861E-2</v>
      </c>
    </row>
    <row r="173" spans="1:5" x14ac:dyDescent="0.45">
      <c r="A173" s="2">
        <v>40793</v>
      </c>
      <c r="B173" s="3">
        <v>17065</v>
      </c>
      <c r="C173" s="3">
        <v>96.75</v>
      </c>
      <c r="D173" s="3">
        <f t="shared" si="6"/>
        <v>1.1918977005640001E-2</v>
      </c>
      <c r="E173" s="3">
        <f t="shared" si="7"/>
        <v>1.1434636023629218E-2</v>
      </c>
    </row>
    <row r="174" spans="1:5" x14ac:dyDescent="0.45">
      <c r="A174" s="2">
        <v>40794</v>
      </c>
      <c r="B174" s="3">
        <v>17165.54</v>
      </c>
      <c r="C174" s="3">
        <v>96.25</v>
      </c>
      <c r="D174" s="3">
        <f t="shared" si="6"/>
        <v>5.8743034211366134E-3</v>
      </c>
      <c r="E174" s="3">
        <f t="shared" si="7"/>
        <v>-5.1813587419976288E-3</v>
      </c>
    </row>
    <row r="175" spans="1:5" x14ac:dyDescent="0.45">
      <c r="A175" s="2">
        <v>40795</v>
      </c>
      <c r="B175" s="3">
        <v>16866.97</v>
      </c>
      <c r="C175" s="3">
        <v>96</v>
      </c>
      <c r="D175" s="3">
        <f t="shared" si="6"/>
        <v>-1.7546614126486938E-2</v>
      </c>
      <c r="E175" s="3">
        <f t="shared" si="7"/>
        <v>-2.6007817000573675E-3</v>
      </c>
    </row>
    <row r="176" spans="1:5" x14ac:dyDescent="0.45">
      <c r="A176" s="2">
        <v>40798</v>
      </c>
      <c r="B176" s="3">
        <v>16501.740000000002</v>
      </c>
      <c r="C176" s="3">
        <v>94.55</v>
      </c>
      <c r="D176" s="3">
        <f t="shared" si="6"/>
        <v>-2.1891441761270079E-2</v>
      </c>
      <c r="E176" s="3">
        <f t="shared" si="7"/>
        <v>-1.5219396363369768E-2</v>
      </c>
    </row>
    <row r="177" spans="1:5" x14ac:dyDescent="0.45">
      <c r="A177" s="2">
        <v>40799</v>
      </c>
      <c r="B177" s="3">
        <v>16467.439999999999</v>
      </c>
      <c r="C177" s="3">
        <v>94.65</v>
      </c>
      <c r="D177" s="3">
        <f t="shared" si="6"/>
        <v>-2.080731906283361E-3</v>
      </c>
      <c r="E177" s="3">
        <f t="shared" si="7"/>
        <v>1.0570825508654839E-3</v>
      </c>
    </row>
    <row r="178" spans="1:5" x14ac:dyDescent="0.45">
      <c r="A178" s="2">
        <v>40800</v>
      </c>
      <c r="B178" s="3">
        <v>16709.599999999999</v>
      </c>
      <c r="C178" s="3">
        <v>94.95</v>
      </c>
      <c r="D178" s="3">
        <f t="shared" si="6"/>
        <v>1.4598306573203743E-2</v>
      </c>
      <c r="E178" s="3">
        <f t="shared" si="7"/>
        <v>3.1645596029629399E-3</v>
      </c>
    </row>
    <row r="179" spans="1:5" x14ac:dyDescent="0.45">
      <c r="A179" s="2">
        <v>40801</v>
      </c>
      <c r="B179" s="3">
        <v>16876.54</v>
      </c>
      <c r="C179" s="3">
        <v>95.95</v>
      </c>
      <c r="D179" s="3">
        <f t="shared" si="6"/>
        <v>9.9410872950098563E-3</v>
      </c>
      <c r="E179" s="3">
        <f t="shared" si="7"/>
        <v>1.0476785195414092E-2</v>
      </c>
    </row>
    <row r="180" spans="1:5" x14ac:dyDescent="0.45">
      <c r="A180" s="2">
        <v>40802</v>
      </c>
      <c r="B180" s="3">
        <v>16933.830000000002</v>
      </c>
      <c r="C180" s="3">
        <v>99.25</v>
      </c>
      <c r="D180" s="3">
        <f t="shared" si="6"/>
        <v>3.3889043408712538E-3</v>
      </c>
      <c r="E180" s="3">
        <f t="shared" si="7"/>
        <v>3.3814697113590864E-2</v>
      </c>
    </row>
    <row r="181" spans="1:5" x14ac:dyDescent="0.45">
      <c r="A181" s="2">
        <v>40805</v>
      </c>
      <c r="B181" s="3">
        <v>16745.349999999999</v>
      </c>
      <c r="C181" s="3">
        <v>97.95</v>
      </c>
      <c r="D181" s="3">
        <f t="shared" si="6"/>
        <v>-1.1192788405402297E-2</v>
      </c>
      <c r="E181" s="3">
        <f t="shared" si="7"/>
        <v>-1.3184775176749956E-2</v>
      </c>
    </row>
    <row r="182" spans="1:5" x14ac:dyDescent="0.45">
      <c r="A182" s="2">
        <v>40806</v>
      </c>
      <c r="B182" s="3">
        <v>17099.28</v>
      </c>
      <c r="C182" s="3">
        <v>98.8</v>
      </c>
      <c r="D182" s="3">
        <f t="shared" si="6"/>
        <v>2.0915749569555761E-2</v>
      </c>
      <c r="E182" s="3">
        <f t="shared" si="7"/>
        <v>8.6404603632722309E-3</v>
      </c>
    </row>
    <row r="183" spans="1:5" x14ac:dyDescent="0.45">
      <c r="A183" s="2">
        <v>40807</v>
      </c>
      <c r="B183" s="3">
        <v>17065.150000000001</v>
      </c>
      <c r="C183" s="3">
        <v>99.15</v>
      </c>
      <c r="D183" s="3">
        <f t="shared" si="6"/>
        <v>-1.9979851180746511E-3</v>
      </c>
      <c r="E183" s="3">
        <f t="shared" si="7"/>
        <v>3.5362502119830382E-3</v>
      </c>
    </row>
    <row r="184" spans="1:5" x14ac:dyDescent="0.45">
      <c r="A184" s="2">
        <v>40808</v>
      </c>
      <c r="B184" s="3">
        <v>16361.15</v>
      </c>
      <c r="C184" s="3">
        <v>96.25</v>
      </c>
      <c r="D184" s="3">
        <f t="shared" si="6"/>
        <v>-4.2128750138261194E-2</v>
      </c>
      <c r="E184" s="3">
        <f t="shared" si="7"/>
        <v>-2.9684881797911445E-2</v>
      </c>
    </row>
    <row r="185" spans="1:5" x14ac:dyDescent="0.45">
      <c r="A185" s="2">
        <v>40809</v>
      </c>
      <c r="B185" s="3">
        <v>16162.06</v>
      </c>
      <c r="C185" s="3">
        <v>96.05</v>
      </c>
      <c r="D185" s="3">
        <f t="shared" si="6"/>
        <v>-1.2243101886473717E-2</v>
      </c>
      <c r="E185" s="3">
        <f t="shared" si="7"/>
        <v>-2.0800839533279946E-3</v>
      </c>
    </row>
    <row r="186" spans="1:5" x14ac:dyDescent="0.45">
      <c r="A186" s="2">
        <v>40812</v>
      </c>
      <c r="B186" s="3">
        <v>16051.1</v>
      </c>
      <c r="C186" s="3">
        <v>95.4</v>
      </c>
      <c r="D186" s="3">
        <f t="shared" si="6"/>
        <v>-6.8891371630973777E-3</v>
      </c>
      <c r="E186" s="3">
        <f t="shared" si="7"/>
        <v>-6.7903107603247709E-3</v>
      </c>
    </row>
    <row r="187" spans="1:5" x14ac:dyDescent="0.45">
      <c r="A187" s="2">
        <v>40813</v>
      </c>
      <c r="B187" s="3">
        <v>16524.03</v>
      </c>
      <c r="C187" s="3">
        <v>96.4</v>
      </c>
      <c r="D187" s="3">
        <f t="shared" si="6"/>
        <v>2.9038302020803555E-2</v>
      </c>
      <c r="E187" s="3">
        <f t="shared" si="7"/>
        <v>1.042762316225916E-2</v>
      </c>
    </row>
    <row r="188" spans="1:5" x14ac:dyDescent="0.45">
      <c r="A188" s="2">
        <v>40814</v>
      </c>
      <c r="B188" s="3">
        <v>16446.02</v>
      </c>
      <c r="C188" s="3">
        <v>97.05</v>
      </c>
      <c r="D188" s="3">
        <f t="shared" si="6"/>
        <v>-4.7321824247571797E-3</v>
      </c>
      <c r="E188" s="3">
        <f t="shared" si="7"/>
        <v>6.7201079985193084E-3</v>
      </c>
    </row>
    <row r="189" spans="1:5" x14ac:dyDescent="0.45">
      <c r="A189" s="2">
        <v>40815</v>
      </c>
      <c r="B189" s="3">
        <v>16698.07</v>
      </c>
      <c r="C189" s="3">
        <v>97.5</v>
      </c>
      <c r="D189" s="3">
        <f t="shared" si="6"/>
        <v>1.5209641232694405E-2</v>
      </c>
      <c r="E189" s="3">
        <f t="shared" si="7"/>
        <v>4.6260683887822431E-3</v>
      </c>
    </row>
    <row r="190" spans="1:5" x14ac:dyDescent="0.45">
      <c r="A190" s="2">
        <v>40816</v>
      </c>
      <c r="B190" s="3">
        <v>16453.759999999998</v>
      </c>
      <c r="C190" s="3">
        <v>98.3</v>
      </c>
      <c r="D190" s="3">
        <f t="shared" si="6"/>
        <v>-1.4739121360355288E-2</v>
      </c>
      <c r="E190" s="3">
        <f t="shared" si="7"/>
        <v>8.1716491493192579E-3</v>
      </c>
    </row>
    <row r="191" spans="1:5" x14ac:dyDescent="0.45">
      <c r="A191" s="2">
        <v>40819</v>
      </c>
      <c r="B191" s="3">
        <v>16151.45</v>
      </c>
      <c r="C191" s="3">
        <v>97.45</v>
      </c>
      <c r="D191" s="3">
        <f t="shared" si="6"/>
        <v>-1.8544193601361458E-2</v>
      </c>
      <c r="E191" s="3">
        <f t="shared" si="7"/>
        <v>-8.6846011995509818E-3</v>
      </c>
    </row>
    <row r="192" spans="1:5" x14ac:dyDescent="0.45">
      <c r="A192" s="2">
        <v>40820</v>
      </c>
      <c r="B192" s="3">
        <v>15864.86</v>
      </c>
      <c r="C192" s="3">
        <v>95.85</v>
      </c>
      <c r="D192" s="3">
        <f t="shared" si="6"/>
        <v>-1.7903228380249023E-2</v>
      </c>
      <c r="E192" s="3">
        <f t="shared" si="7"/>
        <v>-1.655495646191639E-2</v>
      </c>
    </row>
    <row r="193" spans="1:5" x14ac:dyDescent="0.45">
      <c r="A193" s="2">
        <v>40821</v>
      </c>
      <c r="B193" s="3">
        <v>15792.41</v>
      </c>
      <c r="C193" s="3">
        <v>95.7</v>
      </c>
      <c r="D193" s="3">
        <f t="shared" si="6"/>
        <v>-4.5771556731025089E-3</v>
      </c>
      <c r="E193" s="3">
        <f t="shared" si="7"/>
        <v>-1.5661710327448349E-3</v>
      </c>
    </row>
    <row r="194" spans="1:5" x14ac:dyDescent="0.45">
      <c r="A194" s="2">
        <v>40823</v>
      </c>
      <c r="B194" s="3">
        <v>16232.54</v>
      </c>
      <c r="C194" s="3">
        <v>97.25</v>
      </c>
      <c r="D194" s="3">
        <f t="shared" si="6"/>
        <v>2.7488424722905389E-2</v>
      </c>
      <c r="E194" s="3">
        <f t="shared" si="7"/>
        <v>1.6066684039647051E-2</v>
      </c>
    </row>
    <row r="195" spans="1:5" x14ac:dyDescent="0.45">
      <c r="A195" s="2">
        <v>40826</v>
      </c>
      <c r="B195" s="3">
        <v>16557.23</v>
      </c>
      <c r="C195" s="3">
        <v>98.05</v>
      </c>
      <c r="D195" s="3">
        <f t="shared" si="6"/>
        <v>1.9804994844761437E-2</v>
      </c>
      <c r="E195" s="3">
        <f t="shared" si="7"/>
        <v>8.1925701437996039E-3</v>
      </c>
    </row>
    <row r="196" spans="1:5" x14ac:dyDescent="0.45">
      <c r="A196" s="2">
        <v>40827</v>
      </c>
      <c r="B196" s="3">
        <v>16536.47</v>
      </c>
      <c r="C196" s="3">
        <v>98.7</v>
      </c>
      <c r="D196" s="3">
        <f t="shared" si="6"/>
        <v>-1.254619623864325E-3</v>
      </c>
      <c r="E196" s="3">
        <f t="shared" si="7"/>
        <v>6.607393797080684E-3</v>
      </c>
    </row>
    <row r="197" spans="1:5" x14ac:dyDescent="0.45">
      <c r="A197" s="2">
        <v>40828</v>
      </c>
      <c r="B197" s="3">
        <v>16958.39</v>
      </c>
      <c r="C197" s="3">
        <v>99.05</v>
      </c>
      <c r="D197" s="3">
        <f t="shared" si="6"/>
        <v>2.5194451801835376E-2</v>
      </c>
      <c r="E197" s="3">
        <f t="shared" si="7"/>
        <v>3.5398267051239868E-3</v>
      </c>
    </row>
    <row r="198" spans="1:5" x14ac:dyDescent="0.45">
      <c r="A198" s="2">
        <v>40829</v>
      </c>
      <c r="B198" s="3">
        <v>16883.919999999998</v>
      </c>
      <c r="C198" s="3">
        <v>99.35</v>
      </c>
      <c r="D198" s="3">
        <f t="shared" ref="D198:D261" si="8">LN(B198/B197)</f>
        <v>-4.4010069170745568E-3</v>
      </c>
      <c r="E198" s="3">
        <f t="shared" ref="E198:E261" si="9">LN(C198/C197)</f>
        <v>3.0241958532657817E-3</v>
      </c>
    </row>
    <row r="199" spans="1:5" x14ac:dyDescent="0.45">
      <c r="A199" s="2">
        <v>40830</v>
      </c>
      <c r="B199" s="3">
        <v>17082.689999999999</v>
      </c>
      <c r="C199" s="3">
        <v>98.9</v>
      </c>
      <c r="D199" s="3">
        <f t="shared" si="8"/>
        <v>1.1703980409388484E-2</v>
      </c>
      <c r="E199" s="3">
        <f t="shared" si="9"/>
        <v>-4.5397303691593572E-3</v>
      </c>
    </row>
    <row r="200" spans="1:5" x14ac:dyDescent="0.45">
      <c r="A200" s="2">
        <v>40833</v>
      </c>
      <c r="B200" s="3">
        <v>17025.09</v>
      </c>
      <c r="C200" s="3">
        <v>97.5</v>
      </c>
      <c r="D200" s="3">
        <f t="shared" si="8"/>
        <v>-3.3775317395061408E-3</v>
      </c>
      <c r="E200" s="3">
        <f t="shared" si="9"/>
        <v>-1.4256860624864977E-2</v>
      </c>
    </row>
    <row r="201" spans="1:5" x14ac:dyDescent="0.45">
      <c r="A201" s="2">
        <v>40834</v>
      </c>
      <c r="B201" s="3">
        <v>16748.29</v>
      </c>
      <c r="C201" s="3">
        <v>98.35</v>
      </c>
      <c r="D201" s="3">
        <f t="shared" si="8"/>
        <v>-1.6391974857872083E-2</v>
      </c>
      <c r="E201" s="3">
        <f t="shared" si="9"/>
        <v>8.6801668312665968E-3</v>
      </c>
    </row>
    <row r="202" spans="1:5" x14ac:dyDescent="0.45">
      <c r="A202" s="2">
        <v>40835</v>
      </c>
      <c r="B202" s="3">
        <v>17085.34</v>
      </c>
      <c r="C202" s="3">
        <v>99.95</v>
      </c>
      <c r="D202" s="3">
        <f t="shared" si="8"/>
        <v>1.9924622359411604E-2</v>
      </c>
      <c r="E202" s="3">
        <f t="shared" si="9"/>
        <v>1.6137516111340972E-2</v>
      </c>
    </row>
    <row r="203" spans="1:5" x14ac:dyDescent="0.45">
      <c r="A203" s="2">
        <v>40836</v>
      </c>
      <c r="B203" s="3">
        <v>16936.89</v>
      </c>
      <c r="C203" s="3">
        <v>99</v>
      </c>
      <c r="D203" s="3">
        <f t="shared" si="8"/>
        <v>-8.7267026355303257E-3</v>
      </c>
      <c r="E203" s="3">
        <f t="shared" si="9"/>
        <v>-9.5502108118191344E-3</v>
      </c>
    </row>
    <row r="204" spans="1:5" x14ac:dyDescent="0.45">
      <c r="A204" s="2">
        <v>40837</v>
      </c>
      <c r="B204" s="3">
        <v>16785.64</v>
      </c>
      <c r="C204" s="3">
        <v>99</v>
      </c>
      <c r="D204" s="3">
        <f t="shared" si="8"/>
        <v>-8.9703242440322441E-3</v>
      </c>
      <c r="E204" s="3">
        <f t="shared" si="9"/>
        <v>0</v>
      </c>
    </row>
    <row r="205" spans="1:5" x14ac:dyDescent="0.45">
      <c r="A205" s="2">
        <v>40840</v>
      </c>
      <c r="B205" s="3">
        <v>16939.28</v>
      </c>
      <c r="C205" s="3">
        <v>100.65</v>
      </c>
      <c r="D205" s="3">
        <f t="shared" si="8"/>
        <v>9.1114263818456269E-3</v>
      </c>
      <c r="E205" s="3">
        <f t="shared" si="9"/>
        <v>1.6529301951210724E-2</v>
      </c>
    </row>
    <row r="206" spans="1:5" x14ac:dyDescent="0.45">
      <c r="A206" s="2">
        <v>40841</v>
      </c>
      <c r="B206" s="3">
        <v>17254.86</v>
      </c>
      <c r="C206" s="3">
        <v>103.7</v>
      </c>
      <c r="D206" s="3">
        <f t="shared" si="8"/>
        <v>1.8458657557749423E-2</v>
      </c>
      <c r="E206" s="3">
        <f t="shared" si="9"/>
        <v>2.9852963149681128E-2</v>
      </c>
    </row>
    <row r="207" spans="1:5" x14ac:dyDescent="0.45">
      <c r="A207" s="2">
        <v>40842</v>
      </c>
      <c r="B207" s="3">
        <v>17288.830000000002</v>
      </c>
      <c r="C207" s="3">
        <v>103.9</v>
      </c>
      <c r="D207" s="3">
        <f t="shared" si="8"/>
        <v>1.9667853058172925E-3</v>
      </c>
      <c r="E207" s="3">
        <f t="shared" si="9"/>
        <v>1.9267828697001441E-3</v>
      </c>
    </row>
    <row r="208" spans="1:5" x14ac:dyDescent="0.45">
      <c r="A208" s="2">
        <v>40844</v>
      </c>
      <c r="B208" s="3">
        <v>17804.8</v>
      </c>
      <c r="C208" s="3">
        <v>105.05</v>
      </c>
      <c r="D208" s="3">
        <f t="shared" si="8"/>
        <v>2.9407455634272078E-2</v>
      </c>
      <c r="E208" s="3">
        <f t="shared" si="9"/>
        <v>1.100752918582773E-2</v>
      </c>
    </row>
    <row r="209" spans="1:5" x14ac:dyDescent="0.45">
      <c r="A209" s="2">
        <v>40847</v>
      </c>
      <c r="B209" s="3">
        <v>17705.009999999998</v>
      </c>
      <c r="C209" s="3">
        <v>104.65</v>
      </c>
      <c r="D209" s="3">
        <f t="shared" si="8"/>
        <v>-5.6204334909699246E-3</v>
      </c>
      <c r="E209" s="3">
        <f t="shared" si="9"/>
        <v>-3.8149783990005571E-3</v>
      </c>
    </row>
    <row r="210" spans="1:5" x14ac:dyDescent="0.45">
      <c r="A210" s="2">
        <v>40848</v>
      </c>
      <c r="B210" s="3">
        <v>17480.830000000002</v>
      </c>
      <c r="C210" s="3">
        <v>103.5</v>
      </c>
      <c r="D210" s="3">
        <f t="shared" si="8"/>
        <v>-1.274279843826354E-2</v>
      </c>
      <c r="E210" s="3">
        <f t="shared" si="9"/>
        <v>-1.1049836186585046E-2</v>
      </c>
    </row>
    <row r="211" spans="1:5" x14ac:dyDescent="0.45">
      <c r="A211" s="2">
        <v>40849</v>
      </c>
      <c r="B211" s="3">
        <v>17464.849999999999</v>
      </c>
      <c r="C211" s="3">
        <v>102.85</v>
      </c>
      <c r="D211" s="3">
        <f t="shared" si="8"/>
        <v>-9.1456232151396742E-4</v>
      </c>
      <c r="E211" s="3">
        <f t="shared" si="9"/>
        <v>-6.2999966064576397E-3</v>
      </c>
    </row>
    <row r="212" spans="1:5" x14ac:dyDescent="0.45">
      <c r="A212" s="2">
        <v>40850</v>
      </c>
      <c r="B212" s="3">
        <v>17481.93</v>
      </c>
      <c r="C212" s="3">
        <v>104</v>
      </c>
      <c r="D212" s="3">
        <f t="shared" si="8"/>
        <v>9.7748641562776621E-4</v>
      </c>
      <c r="E212" s="3">
        <f t="shared" si="9"/>
        <v>1.1119283042406633E-2</v>
      </c>
    </row>
    <row r="213" spans="1:5" x14ac:dyDescent="0.45">
      <c r="A213" s="2">
        <v>40851</v>
      </c>
      <c r="B213" s="3">
        <v>17562.61</v>
      </c>
      <c r="C213" s="3">
        <v>103.7</v>
      </c>
      <c r="D213" s="3">
        <f t="shared" si="8"/>
        <v>4.6044343877878818E-3</v>
      </c>
      <c r="E213" s="3">
        <f t="shared" si="9"/>
        <v>-2.8887839058910091E-3</v>
      </c>
    </row>
    <row r="214" spans="1:5" x14ac:dyDescent="0.45">
      <c r="A214" s="2">
        <v>40855</v>
      </c>
      <c r="B214" s="3">
        <v>17569.53</v>
      </c>
      <c r="C214" s="3">
        <v>103.65</v>
      </c>
      <c r="D214" s="3">
        <f t="shared" si="8"/>
        <v>3.9394127938060939E-4</v>
      </c>
      <c r="E214" s="3">
        <f t="shared" si="9"/>
        <v>-4.8227635369307056E-4</v>
      </c>
    </row>
    <row r="215" spans="1:5" x14ac:dyDescent="0.45">
      <c r="A215" s="2">
        <v>40856</v>
      </c>
      <c r="B215" s="3">
        <v>17362.099999999999</v>
      </c>
      <c r="C215" s="3">
        <v>103.55</v>
      </c>
      <c r="D215" s="3">
        <f t="shared" si="8"/>
        <v>-1.1876482040794155E-2</v>
      </c>
      <c r="E215" s="3">
        <f t="shared" si="9"/>
        <v>-9.6525104019553134E-4</v>
      </c>
    </row>
    <row r="216" spans="1:5" x14ac:dyDescent="0.45">
      <c r="A216" s="2">
        <v>40858</v>
      </c>
      <c r="B216" s="3">
        <v>17192.82</v>
      </c>
      <c r="C216" s="3">
        <v>105.05</v>
      </c>
      <c r="D216" s="3">
        <f t="shared" si="8"/>
        <v>-9.797814852298534E-3</v>
      </c>
      <c r="E216" s="3">
        <f t="shared" si="9"/>
        <v>1.4381839449416182E-2</v>
      </c>
    </row>
    <row r="217" spans="1:5" x14ac:dyDescent="0.45">
      <c r="A217" s="2">
        <v>40861</v>
      </c>
      <c r="B217" s="3">
        <v>17118.740000000002</v>
      </c>
      <c r="C217" s="3">
        <v>104.8</v>
      </c>
      <c r="D217" s="3">
        <f t="shared" si="8"/>
        <v>-4.3180849315540603E-3</v>
      </c>
      <c r="E217" s="3">
        <f t="shared" si="9"/>
        <v>-2.3826554040676526E-3</v>
      </c>
    </row>
    <row r="218" spans="1:5" x14ac:dyDescent="0.45">
      <c r="A218" s="2">
        <v>40862</v>
      </c>
      <c r="B218" s="3">
        <v>16882.669999999998</v>
      </c>
      <c r="C218" s="3">
        <v>103.35</v>
      </c>
      <c r="D218" s="3">
        <f t="shared" si="8"/>
        <v>-1.388611785942106E-2</v>
      </c>
      <c r="E218" s="3">
        <f t="shared" si="9"/>
        <v>-1.3932485759164536E-2</v>
      </c>
    </row>
    <row r="219" spans="1:5" x14ac:dyDescent="0.45">
      <c r="A219" s="2">
        <v>40863</v>
      </c>
      <c r="B219" s="3">
        <v>16775.87</v>
      </c>
      <c r="C219" s="3">
        <v>103.95</v>
      </c>
      <c r="D219" s="3">
        <f t="shared" si="8"/>
        <v>-6.3461076107392987E-3</v>
      </c>
      <c r="E219" s="3">
        <f t="shared" si="9"/>
        <v>5.7887281762447453E-3</v>
      </c>
    </row>
    <row r="220" spans="1:5" x14ac:dyDescent="0.45">
      <c r="A220" s="2">
        <v>40864</v>
      </c>
      <c r="B220" s="3">
        <v>16461.71</v>
      </c>
      <c r="C220" s="3">
        <v>103.05</v>
      </c>
      <c r="D220" s="3">
        <f t="shared" si="8"/>
        <v>-1.8904466337350628E-2</v>
      </c>
      <c r="E220" s="3">
        <f t="shared" si="9"/>
        <v>-8.695706967553932E-3</v>
      </c>
    </row>
    <row r="221" spans="1:5" x14ac:dyDescent="0.45">
      <c r="A221" s="2">
        <v>40865</v>
      </c>
      <c r="B221" s="3">
        <v>16371.51</v>
      </c>
      <c r="C221" s="3">
        <v>100.7</v>
      </c>
      <c r="D221" s="3">
        <f t="shared" si="8"/>
        <v>-5.4944490318227096E-3</v>
      </c>
      <c r="E221" s="3">
        <f t="shared" si="9"/>
        <v>-2.3068507611951318E-2</v>
      </c>
    </row>
    <row r="222" spans="1:5" x14ac:dyDescent="0.45">
      <c r="A222" s="2">
        <v>40868</v>
      </c>
      <c r="B222" s="3">
        <v>15946.1</v>
      </c>
      <c r="C222" s="3">
        <v>99.3</v>
      </c>
      <c r="D222" s="3">
        <f t="shared" si="8"/>
        <v>-2.6328343809123488E-2</v>
      </c>
      <c r="E222" s="3">
        <f t="shared" si="9"/>
        <v>-1.4000228673389752E-2</v>
      </c>
    </row>
    <row r="223" spans="1:5" x14ac:dyDescent="0.45">
      <c r="A223" s="2">
        <v>40869</v>
      </c>
      <c r="B223" s="3">
        <v>16065.42</v>
      </c>
      <c r="C223" s="3">
        <v>97.65</v>
      </c>
      <c r="D223" s="3">
        <f t="shared" si="8"/>
        <v>7.4548507911059748E-3</v>
      </c>
      <c r="E223" s="3">
        <f t="shared" si="9"/>
        <v>-1.6755913728438883E-2</v>
      </c>
    </row>
    <row r="224" spans="1:5" x14ac:dyDescent="0.45">
      <c r="A224" s="2">
        <v>40870</v>
      </c>
      <c r="B224" s="3">
        <v>15699.97</v>
      </c>
      <c r="C224" s="3">
        <v>95.15</v>
      </c>
      <c r="D224" s="3">
        <f t="shared" si="8"/>
        <v>-2.3010334492517274E-2</v>
      </c>
      <c r="E224" s="3">
        <f t="shared" si="9"/>
        <v>-2.5935063580529431E-2</v>
      </c>
    </row>
    <row r="225" spans="1:5" x14ac:dyDescent="0.45">
      <c r="A225" s="2">
        <v>40871</v>
      </c>
      <c r="B225" s="3">
        <v>15858.49</v>
      </c>
      <c r="C225" s="3">
        <v>95.4</v>
      </c>
      <c r="D225" s="3">
        <f t="shared" si="8"/>
        <v>1.0046202079096837E-2</v>
      </c>
      <c r="E225" s="3">
        <f t="shared" si="9"/>
        <v>2.6239847120823282E-3</v>
      </c>
    </row>
    <row r="226" spans="1:5" x14ac:dyDescent="0.45">
      <c r="A226" s="2">
        <v>40872</v>
      </c>
      <c r="B226" s="3">
        <v>15695.43</v>
      </c>
      <c r="C226" s="3">
        <v>96.3</v>
      </c>
      <c r="D226" s="3">
        <f t="shared" si="8"/>
        <v>-1.0335416424615197E-2</v>
      </c>
      <c r="E226" s="3">
        <f t="shared" si="9"/>
        <v>9.3897403498389171E-3</v>
      </c>
    </row>
    <row r="227" spans="1:5" x14ac:dyDescent="0.45">
      <c r="A227" s="2">
        <v>40875</v>
      </c>
      <c r="B227" s="3">
        <v>16167.13</v>
      </c>
      <c r="C227" s="3">
        <v>97.3</v>
      </c>
      <c r="D227" s="3">
        <f t="shared" si="8"/>
        <v>2.9610581479565416E-2</v>
      </c>
      <c r="E227" s="3">
        <f t="shared" si="9"/>
        <v>1.0330670387879581E-2</v>
      </c>
    </row>
    <row r="228" spans="1:5" x14ac:dyDescent="0.45">
      <c r="A228" s="2">
        <v>40876</v>
      </c>
      <c r="B228" s="3">
        <v>16008.34</v>
      </c>
      <c r="C228" s="3">
        <v>95.3</v>
      </c>
      <c r="D228" s="3">
        <f t="shared" si="8"/>
        <v>-9.8703322222684648E-3</v>
      </c>
      <c r="E228" s="3">
        <f t="shared" si="9"/>
        <v>-2.0769178531802983E-2</v>
      </c>
    </row>
    <row r="229" spans="1:5" x14ac:dyDescent="0.45">
      <c r="A229" s="2">
        <v>40877</v>
      </c>
      <c r="B229" s="3">
        <v>16123.46</v>
      </c>
      <c r="C229" s="3">
        <v>98.95</v>
      </c>
      <c r="D229" s="3">
        <f t="shared" si="8"/>
        <v>7.1655178088919106E-3</v>
      </c>
      <c r="E229" s="3">
        <f t="shared" si="9"/>
        <v>3.7584861388418336E-2</v>
      </c>
    </row>
    <row r="230" spans="1:5" x14ac:dyDescent="0.45">
      <c r="A230" s="2">
        <v>40878</v>
      </c>
      <c r="B230" s="3">
        <v>16483.45</v>
      </c>
      <c r="C230" s="3">
        <v>99.85</v>
      </c>
      <c r="D230" s="3">
        <f t="shared" si="8"/>
        <v>2.2081492986902658E-2</v>
      </c>
      <c r="E230" s="3">
        <f t="shared" si="9"/>
        <v>9.0543878132493382E-3</v>
      </c>
    </row>
    <row r="231" spans="1:5" x14ac:dyDescent="0.45">
      <c r="A231" s="2">
        <v>40879</v>
      </c>
      <c r="B231" s="3">
        <v>16846.830000000002</v>
      </c>
      <c r="C231" s="3">
        <v>103.6</v>
      </c>
      <c r="D231" s="3">
        <f t="shared" si="8"/>
        <v>2.1805661303814054E-2</v>
      </c>
      <c r="E231" s="3">
        <f t="shared" si="9"/>
        <v>3.6868269963558499E-2</v>
      </c>
    </row>
    <row r="232" spans="1:5" x14ac:dyDescent="0.45">
      <c r="A232" s="2">
        <v>40882</v>
      </c>
      <c r="B232" s="3">
        <v>16805.330000000002</v>
      </c>
      <c r="C232" s="3">
        <v>102.55</v>
      </c>
      <c r="D232" s="3">
        <f t="shared" si="8"/>
        <v>-2.4664105387389871E-3</v>
      </c>
      <c r="E232" s="3">
        <f t="shared" si="9"/>
        <v>-1.0186845306993018E-2</v>
      </c>
    </row>
    <row r="233" spans="1:5" x14ac:dyDescent="0.45">
      <c r="A233" s="2">
        <v>40884</v>
      </c>
      <c r="B233" s="3">
        <v>16877.060000000001</v>
      </c>
      <c r="C233" s="3">
        <v>102.9</v>
      </c>
      <c r="D233" s="3">
        <f t="shared" si="8"/>
        <v>4.2592053851749686E-3</v>
      </c>
      <c r="E233" s="3">
        <f t="shared" si="9"/>
        <v>3.4071583216143558E-3</v>
      </c>
    </row>
    <row r="234" spans="1:5" x14ac:dyDescent="0.45">
      <c r="A234" s="2">
        <v>40885</v>
      </c>
      <c r="B234" s="3">
        <v>16488.240000000002</v>
      </c>
      <c r="C234" s="3">
        <v>99.6</v>
      </c>
      <c r="D234" s="3">
        <f t="shared" si="8"/>
        <v>-2.3307903859257472E-2</v>
      </c>
      <c r="E234" s="3">
        <f t="shared" si="9"/>
        <v>-3.2595478249451457E-2</v>
      </c>
    </row>
    <row r="235" spans="1:5" x14ac:dyDescent="0.45">
      <c r="A235" s="2">
        <v>40886</v>
      </c>
      <c r="B235" s="3">
        <v>16213.46</v>
      </c>
      <c r="C235" s="3">
        <v>98.6</v>
      </c>
      <c r="D235" s="3">
        <f t="shared" si="8"/>
        <v>-1.6805638063692344E-2</v>
      </c>
      <c r="E235" s="3">
        <f t="shared" si="9"/>
        <v>-1.0090902981962831E-2</v>
      </c>
    </row>
    <row r="236" spans="1:5" x14ac:dyDescent="0.45">
      <c r="A236" s="2">
        <v>40889</v>
      </c>
      <c r="B236" s="3">
        <v>15870.35</v>
      </c>
      <c r="C236" s="3">
        <v>96.55</v>
      </c>
      <c r="D236" s="3">
        <f t="shared" si="8"/>
        <v>-2.1389172973860622E-2</v>
      </c>
      <c r="E236" s="3">
        <f t="shared" si="9"/>
        <v>-2.1010252734066218E-2</v>
      </c>
    </row>
    <row r="237" spans="1:5" x14ac:dyDescent="0.45">
      <c r="A237" s="2">
        <v>40890</v>
      </c>
      <c r="B237" s="3">
        <v>16002.51</v>
      </c>
      <c r="C237" s="3">
        <v>99</v>
      </c>
      <c r="D237" s="3">
        <f t="shared" si="8"/>
        <v>8.2929964507614147E-3</v>
      </c>
      <c r="E237" s="3">
        <f t="shared" si="9"/>
        <v>2.5058841260066456E-2</v>
      </c>
    </row>
    <row r="238" spans="1:5" x14ac:dyDescent="0.45">
      <c r="A238" s="2">
        <v>40891</v>
      </c>
      <c r="B238" s="3">
        <v>15881.14</v>
      </c>
      <c r="C238" s="3">
        <v>96.3</v>
      </c>
      <c r="D238" s="3">
        <f t="shared" si="8"/>
        <v>-7.6133432807621287E-3</v>
      </c>
      <c r="E238" s="3">
        <f t="shared" si="9"/>
        <v>-2.7651531330510123E-2</v>
      </c>
    </row>
    <row r="239" spans="1:5" x14ac:dyDescent="0.45">
      <c r="A239" s="2">
        <v>40892</v>
      </c>
      <c r="B239" s="3">
        <v>15836.47</v>
      </c>
      <c r="C239" s="3">
        <v>98.95</v>
      </c>
      <c r="D239" s="3">
        <f t="shared" si="8"/>
        <v>-2.8167336400357909E-3</v>
      </c>
      <c r="E239" s="3">
        <f t="shared" si="9"/>
        <v>2.7146353244494992E-2</v>
      </c>
    </row>
    <row r="240" spans="1:5" x14ac:dyDescent="0.45">
      <c r="A240" s="2">
        <v>40893</v>
      </c>
      <c r="B240" s="3">
        <v>15491.35</v>
      </c>
      <c r="C240" s="3">
        <v>98.1</v>
      </c>
      <c r="D240" s="3">
        <f t="shared" si="8"/>
        <v>-2.20337043822754E-2</v>
      </c>
      <c r="E240" s="3">
        <f t="shared" si="9"/>
        <v>-8.627305477257376E-3</v>
      </c>
    </row>
    <row r="241" spans="1:5" x14ac:dyDescent="0.45">
      <c r="A241" s="2">
        <v>40896</v>
      </c>
      <c r="B241" s="3">
        <v>15379.34</v>
      </c>
      <c r="C241" s="3">
        <v>98.75</v>
      </c>
      <c r="D241" s="3">
        <f t="shared" si="8"/>
        <v>-7.2567533502597582E-3</v>
      </c>
      <c r="E241" s="3">
        <f t="shared" si="9"/>
        <v>6.6040372099137991E-3</v>
      </c>
    </row>
    <row r="242" spans="1:5" x14ac:dyDescent="0.45">
      <c r="A242" s="2">
        <v>40897</v>
      </c>
      <c r="B242" s="3">
        <v>15175.08</v>
      </c>
      <c r="C242" s="3">
        <v>97.2</v>
      </c>
      <c r="D242" s="3">
        <f t="shared" si="8"/>
        <v>-1.3370441522520583E-2</v>
      </c>
      <c r="E242" s="3">
        <f t="shared" si="9"/>
        <v>-1.5820692314837785E-2</v>
      </c>
    </row>
    <row r="243" spans="1:5" x14ac:dyDescent="0.45">
      <c r="A243" s="2">
        <v>40898</v>
      </c>
      <c r="B243" s="3">
        <v>15685.21</v>
      </c>
      <c r="C243" s="3">
        <v>97.85</v>
      </c>
      <c r="D243" s="3">
        <f t="shared" si="8"/>
        <v>3.306362138050626E-2</v>
      </c>
      <c r="E243" s="3">
        <f t="shared" si="9"/>
        <v>6.6649823756916911E-3</v>
      </c>
    </row>
    <row r="244" spans="1:5" x14ac:dyDescent="0.45">
      <c r="A244" s="2">
        <v>40899</v>
      </c>
      <c r="B244" s="3">
        <v>15813.36</v>
      </c>
      <c r="C244" s="3">
        <v>100.3</v>
      </c>
      <c r="D244" s="3">
        <f t="shared" si="8"/>
        <v>8.1369222197413757E-3</v>
      </c>
      <c r="E244" s="3">
        <f t="shared" si="9"/>
        <v>2.4730001125804632E-2</v>
      </c>
    </row>
    <row r="245" spans="1:5" x14ac:dyDescent="0.45">
      <c r="A245" s="2">
        <v>40900</v>
      </c>
      <c r="B245" s="3">
        <v>15738.7</v>
      </c>
      <c r="C245" s="3">
        <v>101.1</v>
      </c>
      <c r="D245" s="3">
        <f t="shared" si="8"/>
        <v>-4.7325049042214202E-3</v>
      </c>
      <c r="E245" s="3">
        <f t="shared" si="9"/>
        <v>7.9444310585358117E-3</v>
      </c>
    </row>
    <row r="246" spans="1:5" x14ac:dyDescent="0.45">
      <c r="A246" s="2">
        <v>40903</v>
      </c>
      <c r="B246" s="3">
        <v>15970.75</v>
      </c>
      <c r="C246" s="3">
        <v>100.8</v>
      </c>
      <c r="D246" s="3">
        <f t="shared" si="8"/>
        <v>1.4636276723562861E-2</v>
      </c>
      <c r="E246" s="3">
        <f t="shared" si="9"/>
        <v>-2.9717703891574817E-3</v>
      </c>
    </row>
    <row r="247" spans="1:5" x14ac:dyDescent="0.45">
      <c r="A247" s="2">
        <v>40904</v>
      </c>
      <c r="B247" s="3">
        <v>15873.95</v>
      </c>
      <c r="C247" s="3">
        <v>98.85</v>
      </c>
      <c r="D247" s="3">
        <f t="shared" si="8"/>
        <v>-6.0795233209097093E-3</v>
      </c>
      <c r="E247" s="3">
        <f t="shared" si="9"/>
        <v>-1.9534806020642368E-2</v>
      </c>
    </row>
    <row r="248" spans="1:5" x14ac:dyDescent="0.45">
      <c r="A248" s="2">
        <v>40905</v>
      </c>
      <c r="B248" s="3">
        <v>15727.85</v>
      </c>
      <c r="C248" s="3">
        <v>100.2</v>
      </c>
      <c r="D248" s="3">
        <f t="shared" si="8"/>
        <v>-9.24637463090997E-3</v>
      </c>
      <c r="E248" s="3">
        <f t="shared" si="9"/>
        <v>1.3564639034138492E-2</v>
      </c>
    </row>
    <row r="249" spans="1:5" x14ac:dyDescent="0.45">
      <c r="A249" s="2">
        <v>40906</v>
      </c>
      <c r="B249" s="3">
        <v>15543.93</v>
      </c>
      <c r="C249" s="3">
        <v>100</v>
      </c>
      <c r="D249" s="3">
        <f t="shared" si="8"/>
        <v>-1.1762817508444478E-2</v>
      </c>
      <c r="E249" s="3">
        <f t="shared" si="9"/>
        <v>-1.9980026626731087E-3</v>
      </c>
    </row>
    <row r="250" spans="1:5" x14ac:dyDescent="0.45">
      <c r="A250" s="2">
        <v>40907</v>
      </c>
      <c r="B250" s="3">
        <v>15454.92</v>
      </c>
      <c r="C250" s="3">
        <v>99.9</v>
      </c>
      <c r="D250" s="3">
        <f t="shared" si="8"/>
        <v>-5.7428094673177242E-3</v>
      </c>
      <c r="E250" s="3">
        <f t="shared" si="9"/>
        <v>-1.0005003335834233E-3</v>
      </c>
    </row>
    <row r="251" spans="1:5" x14ac:dyDescent="0.45">
      <c r="A251" s="2">
        <v>40910</v>
      </c>
      <c r="B251" s="3">
        <v>15517.92</v>
      </c>
      <c r="C251" s="3">
        <v>100</v>
      </c>
      <c r="D251" s="3">
        <f t="shared" si="8"/>
        <v>4.0680859026114768E-3</v>
      </c>
      <c r="E251" s="3">
        <f t="shared" si="9"/>
        <v>1.0005003335834001E-3</v>
      </c>
    </row>
    <row r="252" spans="1:5" x14ac:dyDescent="0.45">
      <c r="A252" s="2">
        <v>40911</v>
      </c>
      <c r="B252" s="3">
        <v>15939.36</v>
      </c>
      <c r="C252" s="3">
        <v>100.8</v>
      </c>
      <c r="D252" s="3">
        <f t="shared" si="8"/>
        <v>2.679603683644571E-2</v>
      </c>
      <c r="E252" s="3">
        <f t="shared" si="9"/>
        <v>7.9681696491768813E-3</v>
      </c>
    </row>
    <row r="253" spans="1:5" x14ac:dyDescent="0.45">
      <c r="A253" s="2">
        <v>40912</v>
      </c>
      <c r="B253" s="3">
        <v>15882.64</v>
      </c>
      <c r="C253" s="3">
        <v>101.1</v>
      </c>
      <c r="D253" s="3">
        <f t="shared" si="8"/>
        <v>-3.5648331384975796E-3</v>
      </c>
      <c r="E253" s="3">
        <f t="shared" si="9"/>
        <v>2.97177038915748E-3</v>
      </c>
    </row>
    <row r="254" spans="1:5" x14ac:dyDescent="0.45">
      <c r="A254" s="2">
        <v>40913</v>
      </c>
      <c r="B254" s="3">
        <v>15857.08</v>
      </c>
      <c r="C254" s="3">
        <v>101.05</v>
      </c>
      <c r="D254" s="3">
        <f t="shared" si="8"/>
        <v>-1.61060056769831E-3</v>
      </c>
      <c r="E254" s="3">
        <f t="shared" si="9"/>
        <v>-4.9468217679571357E-4</v>
      </c>
    </row>
    <row r="255" spans="1:5" x14ac:dyDescent="0.45">
      <c r="A255" s="2">
        <v>40914</v>
      </c>
      <c r="B255" s="3">
        <v>15867.73</v>
      </c>
      <c r="C255" s="3">
        <v>99.7</v>
      </c>
      <c r="D255" s="3">
        <f t="shared" si="8"/>
        <v>6.7139884526101344E-4</v>
      </c>
      <c r="E255" s="3">
        <f t="shared" si="9"/>
        <v>-1.3449766881837358E-2</v>
      </c>
    </row>
    <row r="256" spans="1:5" x14ac:dyDescent="0.45">
      <c r="A256" s="2">
        <v>40915</v>
      </c>
      <c r="B256" s="3">
        <v>15848.8</v>
      </c>
      <c r="C256" s="3">
        <v>99.7</v>
      </c>
      <c r="D256" s="3">
        <f t="shared" si="8"/>
        <v>-1.1936994524816608E-3</v>
      </c>
      <c r="E256" s="3">
        <f t="shared" si="9"/>
        <v>0</v>
      </c>
    </row>
    <row r="257" spans="1:5" x14ac:dyDescent="0.45">
      <c r="A257" s="2">
        <v>40917</v>
      </c>
      <c r="B257" s="3">
        <v>15814.72</v>
      </c>
      <c r="C257" s="3">
        <v>101.15</v>
      </c>
      <c r="D257" s="3">
        <f t="shared" si="8"/>
        <v>-2.1526357878155189E-3</v>
      </c>
      <c r="E257" s="3">
        <f t="shared" si="9"/>
        <v>1.4438886645961864E-2</v>
      </c>
    </row>
    <row r="258" spans="1:5" x14ac:dyDescent="0.45">
      <c r="A258" s="2">
        <v>40918</v>
      </c>
      <c r="B258" s="3">
        <v>16165.09</v>
      </c>
      <c r="C258" s="3">
        <v>102.7</v>
      </c>
      <c r="D258" s="3">
        <f t="shared" si="8"/>
        <v>2.1912826856020213E-2</v>
      </c>
      <c r="E258" s="3">
        <f t="shared" si="9"/>
        <v>1.520755332075815E-2</v>
      </c>
    </row>
    <row r="259" spans="1:5" x14ac:dyDescent="0.45">
      <c r="A259" s="2">
        <v>40919</v>
      </c>
      <c r="B259" s="3">
        <v>16175.86</v>
      </c>
      <c r="C259" s="3">
        <v>100.4</v>
      </c>
      <c r="D259" s="3">
        <f t="shared" si="8"/>
        <v>6.6602869724763272E-4</v>
      </c>
      <c r="E259" s="3">
        <f t="shared" si="9"/>
        <v>-2.2649909676883673E-2</v>
      </c>
    </row>
    <row r="260" spans="1:5" x14ac:dyDescent="0.45">
      <c r="A260" s="2">
        <v>40920</v>
      </c>
      <c r="B260" s="3">
        <v>16037.51</v>
      </c>
      <c r="C260" s="3">
        <v>100.5</v>
      </c>
      <c r="D260" s="3">
        <f t="shared" si="8"/>
        <v>-8.589653963290339E-3</v>
      </c>
      <c r="E260" s="3">
        <f t="shared" si="9"/>
        <v>9.9552024150161966E-4</v>
      </c>
    </row>
    <row r="261" spans="1:5" x14ac:dyDescent="0.45">
      <c r="A261" s="2">
        <v>40921</v>
      </c>
      <c r="B261" s="3">
        <v>16154.62</v>
      </c>
      <c r="C261" s="3">
        <v>101.85</v>
      </c>
      <c r="D261" s="3">
        <f t="shared" si="8"/>
        <v>7.2757233902984112E-3</v>
      </c>
      <c r="E261" s="3">
        <f t="shared" si="9"/>
        <v>1.3343415173684356E-2</v>
      </c>
    </row>
    <row r="262" spans="1:5" x14ac:dyDescent="0.45">
      <c r="A262" s="2">
        <v>40924</v>
      </c>
      <c r="B262" s="3">
        <v>16189.36</v>
      </c>
      <c r="C262" s="3">
        <v>100.15</v>
      </c>
      <c r="D262" s="3">
        <f t="shared" ref="D262:D325" si="10">LN(B262/B261)</f>
        <v>2.1481594633210579E-3</v>
      </c>
      <c r="E262" s="3">
        <f t="shared" ref="E262:E325" si="11">LN(C262/C261)</f>
        <v>-1.6832080560987506E-2</v>
      </c>
    </row>
    <row r="263" spans="1:5" x14ac:dyDescent="0.45">
      <c r="A263" s="2">
        <v>40925</v>
      </c>
      <c r="B263" s="3">
        <v>16466.05</v>
      </c>
      <c r="C263" s="3">
        <v>100.4</v>
      </c>
      <c r="D263" s="3">
        <f t="shared" si="10"/>
        <v>1.6946449098047052E-2</v>
      </c>
      <c r="E263" s="3">
        <f t="shared" si="11"/>
        <v>2.4931451458014954E-3</v>
      </c>
    </row>
    <row r="264" spans="1:5" x14ac:dyDescent="0.45">
      <c r="A264" s="2">
        <v>40926</v>
      </c>
      <c r="B264" s="3">
        <v>16451.47</v>
      </c>
      <c r="C264" s="3">
        <v>98.9</v>
      </c>
      <c r="D264" s="3">
        <f t="shared" si="10"/>
        <v>-8.8585051081899104E-4</v>
      </c>
      <c r="E264" s="3">
        <f t="shared" si="11"/>
        <v>-1.5052968628962377E-2</v>
      </c>
    </row>
    <row r="265" spans="1:5" x14ac:dyDescent="0.45">
      <c r="A265" s="2">
        <v>40927</v>
      </c>
      <c r="B265" s="3">
        <v>16643.740000000002</v>
      </c>
      <c r="C265" s="3">
        <v>99.85</v>
      </c>
      <c r="D265" s="3">
        <f t="shared" si="10"/>
        <v>1.1619334832799434E-2</v>
      </c>
      <c r="E265" s="3">
        <f t="shared" si="11"/>
        <v>9.5598212331576664E-3</v>
      </c>
    </row>
    <row r="266" spans="1:5" x14ac:dyDescent="0.45">
      <c r="A266" s="2">
        <v>40928</v>
      </c>
      <c r="B266" s="3">
        <v>16739.009999999998</v>
      </c>
      <c r="C266" s="3">
        <v>101.55</v>
      </c>
      <c r="D266" s="3">
        <f t="shared" si="10"/>
        <v>5.7077537737679467E-3</v>
      </c>
      <c r="E266" s="3">
        <f t="shared" si="11"/>
        <v>1.6882228164569395E-2</v>
      </c>
    </row>
    <row r="267" spans="1:5" x14ac:dyDescent="0.45">
      <c r="A267" s="2">
        <v>40931</v>
      </c>
      <c r="B267" s="3">
        <v>16751.73</v>
      </c>
      <c r="C267" s="3">
        <v>101.1</v>
      </c>
      <c r="D267" s="3">
        <f t="shared" si="10"/>
        <v>7.5961299222603073E-4</v>
      </c>
      <c r="E267" s="3">
        <f t="shared" si="11"/>
        <v>-4.4411619999679365E-3</v>
      </c>
    </row>
    <row r="268" spans="1:5" x14ac:dyDescent="0.45">
      <c r="A268" s="2">
        <v>40932</v>
      </c>
      <c r="B268" s="3">
        <v>16995.77</v>
      </c>
      <c r="C268" s="3">
        <v>100.65</v>
      </c>
      <c r="D268" s="3">
        <f t="shared" si="10"/>
        <v>1.4462953045310858E-2</v>
      </c>
      <c r="E268" s="3">
        <f t="shared" si="11"/>
        <v>-4.4609739406251169E-3</v>
      </c>
    </row>
    <row r="269" spans="1:5" x14ac:dyDescent="0.45">
      <c r="A269" s="2">
        <v>40933</v>
      </c>
      <c r="B269" s="3">
        <v>17077.18</v>
      </c>
      <c r="C269" s="3">
        <v>100.8</v>
      </c>
      <c r="D269" s="3">
        <f t="shared" si="10"/>
        <v>4.7785797775183551E-3</v>
      </c>
      <c r="E269" s="3">
        <f t="shared" si="11"/>
        <v>1.4892035514676113E-3</v>
      </c>
    </row>
    <row r="270" spans="1:5" x14ac:dyDescent="0.45">
      <c r="A270" s="2">
        <v>40935</v>
      </c>
      <c r="B270" s="3">
        <v>17233.98</v>
      </c>
      <c r="C270" s="3">
        <v>103.1</v>
      </c>
      <c r="D270" s="3">
        <f t="shared" si="10"/>
        <v>9.1399469775969543E-3</v>
      </c>
      <c r="E270" s="3">
        <f t="shared" si="11"/>
        <v>2.2561035385645922E-2</v>
      </c>
    </row>
    <row r="271" spans="1:5" x14ac:dyDescent="0.45">
      <c r="A271" s="2">
        <v>40938</v>
      </c>
      <c r="B271" s="3">
        <v>16863.3</v>
      </c>
      <c r="C271" s="3">
        <v>101.55</v>
      </c>
      <c r="D271" s="3">
        <f t="shared" si="10"/>
        <v>-2.1743353361660004E-2</v>
      </c>
      <c r="E271" s="3">
        <f t="shared" si="11"/>
        <v>-1.5148102996520483E-2</v>
      </c>
    </row>
    <row r="272" spans="1:5" x14ac:dyDescent="0.45">
      <c r="A272" s="2">
        <v>40939</v>
      </c>
      <c r="B272" s="3">
        <v>17193.55</v>
      </c>
      <c r="C272" s="3">
        <v>103.95</v>
      </c>
      <c r="D272" s="3">
        <f t="shared" si="10"/>
        <v>1.9394650530775201E-2</v>
      </c>
      <c r="E272" s="3">
        <f t="shared" si="11"/>
        <v>2.3358726277628337E-2</v>
      </c>
    </row>
    <row r="273" spans="1:5" x14ac:dyDescent="0.45">
      <c r="A273" s="2">
        <v>40940</v>
      </c>
      <c r="B273" s="3">
        <v>17300.580000000002</v>
      </c>
      <c r="C273" s="3">
        <v>102.8</v>
      </c>
      <c r="D273" s="3">
        <f t="shared" si="10"/>
        <v>6.2057134639855885E-3</v>
      </c>
      <c r="E273" s="3">
        <f t="shared" si="11"/>
        <v>-1.1124661282957242E-2</v>
      </c>
    </row>
    <row r="274" spans="1:5" x14ac:dyDescent="0.45">
      <c r="A274" s="2">
        <v>40941</v>
      </c>
      <c r="B274" s="3">
        <v>17431.849999999999</v>
      </c>
      <c r="C274" s="3">
        <v>105.1</v>
      </c>
      <c r="D274" s="3">
        <f t="shared" si="10"/>
        <v>7.5589657873698915E-3</v>
      </c>
      <c r="E274" s="3">
        <f t="shared" si="11"/>
        <v>2.2126924861840629E-2</v>
      </c>
    </row>
    <row r="275" spans="1:5" x14ac:dyDescent="0.45">
      <c r="A275" s="2">
        <v>40942</v>
      </c>
      <c r="B275" s="3">
        <v>17604.96</v>
      </c>
      <c r="C275" s="3">
        <v>106.85</v>
      </c>
      <c r="D275" s="3">
        <f t="shared" si="10"/>
        <v>9.8816877819597835E-3</v>
      </c>
      <c r="E275" s="3">
        <f t="shared" si="11"/>
        <v>1.6513703882251103E-2</v>
      </c>
    </row>
    <row r="276" spans="1:5" x14ac:dyDescent="0.45">
      <c r="A276" s="2">
        <v>40945</v>
      </c>
      <c r="B276" s="3">
        <v>17707.310000000001</v>
      </c>
      <c r="C276" s="3">
        <v>108.85</v>
      </c>
      <c r="D276" s="3">
        <f t="shared" si="10"/>
        <v>5.7968681487330052E-3</v>
      </c>
      <c r="E276" s="3">
        <f t="shared" si="11"/>
        <v>1.8544805915399722E-2</v>
      </c>
    </row>
    <row r="277" spans="1:5" x14ac:dyDescent="0.45">
      <c r="A277" s="2">
        <v>40946</v>
      </c>
      <c r="B277" s="3">
        <v>17622.45</v>
      </c>
      <c r="C277" s="3">
        <v>107.7</v>
      </c>
      <c r="D277" s="3">
        <f t="shared" si="10"/>
        <v>-4.8038912913881118E-3</v>
      </c>
      <c r="E277" s="3">
        <f t="shared" si="11"/>
        <v>-1.0621203518213444E-2</v>
      </c>
    </row>
    <row r="278" spans="1:5" x14ac:dyDescent="0.45">
      <c r="A278" s="2">
        <v>40947</v>
      </c>
      <c r="B278" s="3">
        <v>17707.32</v>
      </c>
      <c r="C278" s="3">
        <v>107.65</v>
      </c>
      <c r="D278" s="3">
        <f t="shared" si="10"/>
        <v>4.8044560297463065E-3</v>
      </c>
      <c r="E278" s="3">
        <f t="shared" si="11"/>
        <v>-4.6436035197079938E-4</v>
      </c>
    </row>
    <row r="279" spans="1:5" x14ac:dyDescent="0.45">
      <c r="A279" s="2">
        <v>40948</v>
      </c>
      <c r="B279" s="3">
        <v>17830.75</v>
      </c>
      <c r="C279" s="3">
        <v>108.6</v>
      </c>
      <c r="D279" s="3">
        <f t="shared" si="10"/>
        <v>6.9463815178401932E-3</v>
      </c>
      <c r="E279" s="3">
        <f t="shared" si="11"/>
        <v>8.7861836894630018E-3</v>
      </c>
    </row>
    <row r="280" spans="1:5" x14ac:dyDescent="0.45">
      <c r="A280" s="2">
        <v>40949</v>
      </c>
      <c r="B280" s="3">
        <v>17748.689999999999</v>
      </c>
      <c r="C280" s="3">
        <v>107.2</v>
      </c>
      <c r="D280" s="3">
        <f t="shared" si="10"/>
        <v>-4.6127845466095094E-3</v>
      </c>
      <c r="E280" s="3">
        <f t="shared" si="11"/>
        <v>-1.2975158863133418E-2</v>
      </c>
    </row>
    <row r="281" spans="1:5" x14ac:dyDescent="0.45">
      <c r="A281" s="2">
        <v>40952</v>
      </c>
      <c r="B281" s="3">
        <v>17772.84</v>
      </c>
      <c r="C281" s="3">
        <v>109.6</v>
      </c>
      <c r="D281" s="3">
        <f t="shared" si="10"/>
        <v>1.3597389369711121E-3</v>
      </c>
      <c r="E281" s="3">
        <f t="shared" si="11"/>
        <v>2.2141125877213501E-2</v>
      </c>
    </row>
    <row r="282" spans="1:5" x14ac:dyDescent="0.45">
      <c r="A282" s="2">
        <v>40953</v>
      </c>
      <c r="B282" s="3">
        <v>17848.57</v>
      </c>
      <c r="C282" s="3">
        <v>109.15</v>
      </c>
      <c r="D282" s="3">
        <f t="shared" si="10"/>
        <v>4.251943653756419E-3</v>
      </c>
      <c r="E282" s="3">
        <f t="shared" si="11"/>
        <v>-4.1142915179621063E-3</v>
      </c>
    </row>
    <row r="283" spans="1:5" x14ac:dyDescent="0.45">
      <c r="A283" s="2">
        <v>40954</v>
      </c>
      <c r="B283" s="3">
        <v>18202.41</v>
      </c>
      <c r="C283" s="3">
        <v>110.7</v>
      </c>
      <c r="D283" s="3">
        <f t="shared" si="10"/>
        <v>1.963060992704415E-2</v>
      </c>
      <c r="E283" s="3">
        <f t="shared" si="11"/>
        <v>1.4100756718638349E-2</v>
      </c>
    </row>
    <row r="284" spans="1:5" x14ac:dyDescent="0.45">
      <c r="A284" s="2">
        <v>40955</v>
      </c>
      <c r="B284" s="3">
        <v>18153.990000000002</v>
      </c>
      <c r="C284" s="3">
        <v>110.6</v>
      </c>
      <c r="D284" s="3">
        <f t="shared" si="10"/>
        <v>-2.663631637238604E-3</v>
      </c>
      <c r="E284" s="3">
        <f t="shared" si="11"/>
        <v>-9.0375062635681129E-4</v>
      </c>
    </row>
    <row r="285" spans="1:5" x14ac:dyDescent="0.45">
      <c r="A285" s="2">
        <v>40956</v>
      </c>
      <c r="B285" s="3">
        <v>18289.349999999999</v>
      </c>
      <c r="C285" s="3">
        <v>111.55</v>
      </c>
      <c r="D285" s="3">
        <f t="shared" si="10"/>
        <v>7.4285519641173817E-3</v>
      </c>
      <c r="E285" s="3">
        <f t="shared" si="11"/>
        <v>8.5528317903070146E-3</v>
      </c>
    </row>
    <row r="286" spans="1:5" x14ac:dyDescent="0.45">
      <c r="A286" s="2">
        <v>40960</v>
      </c>
      <c r="B286" s="3">
        <v>18428.61</v>
      </c>
      <c r="C286" s="3">
        <v>110.5</v>
      </c>
      <c r="D286" s="3">
        <f t="shared" si="10"/>
        <v>7.5854251018124012E-3</v>
      </c>
      <c r="E286" s="3">
        <f t="shared" si="11"/>
        <v>-9.4573999207340186E-3</v>
      </c>
    </row>
    <row r="287" spans="1:5" x14ac:dyDescent="0.45">
      <c r="A287" s="2">
        <v>40961</v>
      </c>
      <c r="B287" s="3">
        <v>18145.25</v>
      </c>
      <c r="C287" s="3">
        <v>109.75</v>
      </c>
      <c r="D287" s="3">
        <f t="shared" si="10"/>
        <v>-1.5495529857057044E-2</v>
      </c>
      <c r="E287" s="3">
        <f t="shared" si="11"/>
        <v>-6.8104690025267518E-3</v>
      </c>
    </row>
    <row r="288" spans="1:5" x14ac:dyDescent="0.45">
      <c r="A288" s="2">
        <v>40962</v>
      </c>
      <c r="B288" s="3">
        <v>18078.5</v>
      </c>
      <c r="C288" s="3">
        <v>112.6</v>
      </c>
      <c r="D288" s="3">
        <f t="shared" si="10"/>
        <v>-3.6854315498596182E-3</v>
      </c>
      <c r="E288" s="3">
        <f t="shared" si="11"/>
        <v>2.5636663750309274E-2</v>
      </c>
    </row>
    <row r="289" spans="1:5" x14ac:dyDescent="0.45">
      <c r="A289" s="2">
        <v>40963</v>
      </c>
      <c r="B289" s="3">
        <v>17923.57</v>
      </c>
      <c r="C289" s="3">
        <v>114</v>
      </c>
      <c r="D289" s="3">
        <f t="shared" si="10"/>
        <v>-8.6067804651432604E-3</v>
      </c>
      <c r="E289" s="3">
        <f t="shared" si="11"/>
        <v>1.2356732688905428E-2</v>
      </c>
    </row>
    <row r="290" spans="1:5" x14ac:dyDescent="0.45">
      <c r="A290" s="2">
        <v>40966</v>
      </c>
      <c r="B290" s="3">
        <v>17445.75</v>
      </c>
      <c r="C290" s="3">
        <v>111.35</v>
      </c>
      <c r="D290" s="3">
        <f t="shared" si="10"/>
        <v>-2.7020540479374758E-2</v>
      </c>
      <c r="E290" s="3">
        <f t="shared" si="11"/>
        <v>-2.3520054691118848E-2</v>
      </c>
    </row>
    <row r="291" spans="1:5" x14ac:dyDescent="0.45">
      <c r="A291" s="2">
        <v>40967</v>
      </c>
      <c r="B291" s="3">
        <v>17731.12</v>
      </c>
      <c r="C291" s="3">
        <v>111.8</v>
      </c>
      <c r="D291" s="3">
        <f t="shared" si="10"/>
        <v>1.6225221883754623E-2</v>
      </c>
      <c r="E291" s="3">
        <f t="shared" si="11"/>
        <v>4.0331670176221805E-3</v>
      </c>
    </row>
    <row r="292" spans="1:5" x14ac:dyDescent="0.45">
      <c r="A292" s="2">
        <v>40968</v>
      </c>
      <c r="B292" s="3">
        <v>17752.68</v>
      </c>
      <c r="C292" s="3">
        <v>112.85</v>
      </c>
      <c r="D292" s="3">
        <f t="shared" si="10"/>
        <v>1.2152025799474187E-3</v>
      </c>
      <c r="E292" s="3">
        <f t="shared" si="11"/>
        <v>9.3479425425459488E-3</v>
      </c>
    </row>
    <row r="293" spans="1:5" x14ac:dyDescent="0.45">
      <c r="A293" s="2">
        <v>40969</v>
      </c>
      <c r="B293" s="3">
        <v>17583.97</v>
      </c>
      <c r="C293" s="3">
        <v>112.4</v>
      </c>
      <c r="D293" s="3">
        <f t="shared" si="10"/>
        <v>-9.548798876332679E-3</v>
      </c>
      <c r="E293" s="3">
        <f t="shared" si="11"/>
        <v>-3.9955658039539169E-3</v>
      </c>
    </row>
    <row r="294" spans="1:5" x14ac:dyDescent="0.45">
      <c r="A294" s="2">
        <v>40970</v>
      </c>
      <c r="B294" s="3">
        <v>17636.8</v>
      </c>
      <c r="C294" s="3">
        <v>112.05</v>
      </c>
      <c r="D294" s="3">
        <f t="shared" si="10"/>
        <v>2.9999366635550294E-3</v>
      </c>
      <c r="E294" s="3">
        <f t="shared" si="11"/>
        <v>-3.1187372126547275E-3</v>
      </c>
    </row>
    <row r="295" spans="1:5" x14ac:dyDescent="0.45">
      <c r="A295" s="2">
        <v>40971</v>
      </c>
      <c r="B295" s="3">
        <v>17636.990000000002</v>
      </c>
      <c r="C295" s="3">
        <v>111.65</v>
      </c>
      <c r="D295" s="3">
        <f t="shared" si="10"/>
        <v>1.0772871302130098E-5</v>
      </c>
      <c r="E295" s="3">
        <f t="shared" si="11"/>
        <v>-3.5762219607690915E-3</v>
      </c>
    </row>
    <row r="296" spans="1:5" x14ac:dyDescent="0.45">
      <c r="A296" s="2">
        <v>40973</v>
      </c>
      <c r="B296" s="3">
        <v>17362.87</v>
      </c>
      <c r="C296" s="3">
        <v>110.15</v>
      </c>
      <c r="D296" s="3">
        <f t="shared" si="10"/>
        <v>-1.5664382949638674E-2</v>
      </c>
      <c r="E296" s="3">
        <f t="shared" si="11"/>
        <v>-1.3525905037814808E-2</v>
      </c>
    </row>
    <row r="297" spans="1:5" x14ac:dyDescent="0.45">
      <c r="A297" s="2">
        <v>40974</v>
      </c>
      <c r="B297" s="3">
        <v>17173.29</v>
      </c>
      <c r="C297" s="3">
        <v>110.75</v>
      </c>
      <c r="D297" s="3">
        <f t="shared" si="10"/>
        <v>-1.0978748315697749E-2</v>
      </c>
      <c r="E297" s="3">
        <f t="shared" si="11"/>
        <v>5.4323356768928872E-3</v>
      </c>
    </row>
    <row r="298" spans="1:5" x14ac:dyDescent="0.45">
      <c r="A298" s="2">
        <v>40975</v>
      </c>
      <c r="B298" s="3">
        <v>17145.52</v>
      </c>
      <c r="C298" s="3">
        <v>108.3</v>
      </c>
      <c r="D298" s="3">
        <f t="shared" si="10"/>
        <v>-1.6183548357865424E-3</v>
      </c>
      <c r="E298" s="3">
        <f t="shared" si="11"/>
        <v>-2.2370254918300119E-2</v>
      </c>
    </row>
    <row r="299" spans="1:5" x14ac:dyDescent="0.45">
      <c r="A299" s="2">
        <v>40977</v>
      </c>
      <c r="B299" s="3">
        <v>17503.240000000002</v>
      </c>
      <c r="C299" s="3">
        <v>110.15</v>
      </c>
      <c r="D299" s="3">
        <f t="shared" si="10"/>
        <v>2.0649091652694646E-2</v>
      </c>
      <c r="E299" s="3">
        <f t="shared" si="11"/>
        <v>1.6937919241407369E-2</v>
      </c>
    </row>
    <row r="300" spans="1:5" x14ac:dyDescent="0.45">
      <c r="A300" s="2">
        <v>40980</v>
      </c>
      <c r="B300" s="3">
        <v>17587.669999999998</v>
      </c>
      <c r="C300" s="3">
        <v>110.75</v>
      </c>
      <c r="D300" s="3">
        <f t="shared" si="10"/>
        <v>4.8120816999392049E-3</v>
      </c>
      <c r="E300" s="3">
        <f t="shared" si="11"/>
        <v>5.4323356768928872E-3</v>
      </c>
    </row>
    <row r="301" spans="1:5" x14ac:dyDescent="0.45">
      <c r="A301" s="2">
        <v>40981</v>
      </c>
      <c r="B301" s="3">
        <v>17813.62</v>
      </c>
      <c r="C301" s="3">
        <v>111.35</v>
      </c>
      <c r="D301" s="3">
        <f t="shared" si="10"/>
        <v>1.2765244895436843E-2</v>
      </c>
      <c r="E301" s="3">
        <f t="shared" si="11"/>
        <v>5.4029847781314876E-3</v>
      </c>
    </row>
    <row r="302" spans="1:5" x14ac:dyDescent="0.45">
      <c r="A302" s="2">
        <v>40982</v>
      </c>
      <c r="B302" s="3">
        <v>17919.3</v>
      </c>
      <c r="C302" s="3">
        <v>112.65</v>
      </c>
      <c r="D302" s="3">
        <f t="shared" si="10"/>
        <v>5.9150110386612543E-3</v>
      </c>
      <c r="E302" s="3">
        <f t="shared" si="11"/>
        <v>1.160727317487696E-2</v>
      </c>
    </row>
    <row r="303" spans="1:5" x14ac:dyDescent="0.45">
      <c r="A303" s="2">
        <v>40983</v>
      </c>
      <c r="B303" s="3">
        <v>17675.849999999999</v>
      </c>
      <c r="C303" s="3">
        <v>110.4</v>
      </c>
      <c r="D303" s="3">
        <f t="shared" si="10"/>
        <v>-1.3679043134162782E-2</v>
      </c>
      <c r="E303" s="3">
        <f t="shared" si="11"/>
        <v>-2.0175533035258559E-2</v>
      </c>
    </row>
    <row r="304" spans="1:5" x14ac:dyDescent="0.45">
      <c r="A304" s="2">
        <v>40984</v>
      </c>
      <c r="B304" s="3">
        <v>17466.2</v>
      </c>
      <c r="C304" s="3">
        <v>107.6</v>
      </c>
      <c r="D304" s="3">
        <f t="shared" si="10"/>
        <v>-1.1931716404947688E-2</v>
      </c>
      <c r="E304" s="3">
        <f t="shared" si="11"/>
        <v>-2.5689486115311012E-2</v>
      </c>
    </row>
    <row r="305" spans="1:5" x14ac:dyDescent="0.45">
      <c r="A305" s="2">
        <v>40987</v>
      </c>
      <c r="B305" s="3">
        <v>17273.37</v>
      </c>
      <c r="C305" s="3">
        <v>107.55</v>
      </c>
      <c r="D305" s="3">
        <f t="shared" si="10"/>
        <v>-1.1101575548577814E-2</v>
      </c>
      <c r="E305" s="3">
        <f t="shared" si="11"/>
        <v>-4.6479201394497235E-4</v>
      </c>
    </row>
    <row r="306" spans="1:5" x14ac:dyDescent="0.45">
      <c r="A306" s="2">
        <v>40988</v>
      </c>
      <c r="B306" s="3">
        <v>17316.18</v>
      </c>
      <c r="C306" s="3">
        <v>108.2</v>
      </c>
      <c r="D306" s="3">
        <f t="shared" si="10"/>
        <v>2.4753153399644881E-3</v>
      </c>
      <c r="E306" s="3">
        <f t="shared" si="11"/>
        <v>6.0255106986421246E-3</v>
      </c>
    </row>
    <row r="307" spans="1:5" x14ac:dyDescent="0.45">
      <c r="A307" s="2">
        <v>40989</v>
      </c>
      <c r="B307" s="3">
        <v>17601.71</v>
      </c>
      <c r="C307" s="3">
        <v>108.55</v>
      </c>
      <c r="D307" s="3">
        <f t="shared" si="10"/>
        <v>1.63547318792749E-2</v>
      </c>
      <c r="E307" s="3">
        <f t="shared" si="11"/>
        <v>3.2295299119195777E-3</v>
      </c>
    </row>
    <row r="308" spans="1:5" x14ac:dyDescent="0.45">
      <c r="A308" s="2">
        <v>40990</v>
      </c>
      <c r="B308" s="3">
        <v>17196.47</v>
      </c>
      <c r="C308" s="3">
        <v>106.2</v>
      </c>
      <c r="D308" s="3">
        <f t="shared" si="10"/>
        <v>-2.3291926217191831E-2</v>
      </c>
      <c r="E308" s="3">
        <f t="shared" si="11"/>
        <v>-2.1886787516462305E-2</v>
      </c>
    </row>
    <row r="309" spans="1:5" x14ac:dyDescent="0.45">
      <c r="A309" s="2">
        <v>40991</v>
      </c>
      <c r="B309" s="3">
        <v>17361.740000000002</v>
      </c>
      <c r="C309" s="3">
        <v>107.5</v>
      </c>
      <c r="D309" s="3">
        <f t="shared" si="10"/>
        <v>9.564804426033852E-3</v>
      </c>
      <c r="E309" s="3">
        <f t="shared" si="11"/>
        <v>1.2166738759879047E-2</v>
      </c>
    </row>
    <row r="310" spans="1:5" x14ac:dyDescent="0.45">
      <c r="A310" s="2">
        <v>40994</v>
      </c>
      <c r="B310" s="3">
        <v>17052.78</v>
      </c>
      <c r="C310" s="3">
        <v>105.95</v>
      </c>
      <c r="D310" s="3">
        <f t="shared" si="10"/>
        <v>-1.7955694332502777E-2</v>
      </c>
      <c r="E310" s="3">
        <f t="shared" si="11"/>
        <v>-1.4523562853409357E-2</v>
      </c>
    </row>
    <row r="311" spans="1:5" x14ac:dyDescent="0.45">
      <c r="A311" s="2">
        <v>40995</v>
      </c>
      <c r="B311" s="3">
        <v>17257.36</v>
      </c>
      <c r="C311" s="3">
        <v>105.65</v>
      </c>
      <c r="D311" s="3">
        <f t="shared" si="10"/>
        <v>1.1925478855980127E-2</v>
      </c>
      <c r="E311" s="3">
        <f t="shared" si="11"/>
        <v>-2.8355406522422946E-3</v>
      </c>
    </row>
    <row r="312" spans="1:5" x14ac:dyDescent="0.45">
      <c r="A312" s="2">
        <v>40996</v>
      </c>
      <c r="B312" s="3">
        <v>17121.62</v>
      </c>
      <c r="C312" s="3">
        <v>106.2</v>
      </c>
      <c r="D312" s="3">
        <f t="shared" si="10"/>
        <v>-7.8967267426489022E-3</v>
      </c>
      <c r="E312" s="3">
        <f t="shared" si="11"/>
        <v>5.1923647457726794E-3</v>
      </c>
    </row>
    <row r="313" spans="1:5" x14ac:dyDescent="0.45">
      <c r="A313" s="2">
        <v>40997</v>
      </c>
      <c r="B313" s="3">
        <v>17058.61</v>
      </c>
      <c r="C313" s="3">
        <v>105.9</v>
      </c>
      <c r="D313" s="3">
        <f t="shared" si="10"/>
        <v>-3.6869308004637844E-3</v>
      </c>
      <c r="E313" s="3">
        <f t="shared" si="11"/>
        <v>-2.8288562004776022E-3</v>
      </c>
    </row>
    <row r="314" spans="1:5" x14ac:dyDescent="0.45">
      <c r="A314" s="2">
        <v>40998</v>
      </c>
      <c r="B314" s="3">
        <v>17404.2</v>
      </c>
      <c r="C314" s="3">
        <v>107.9</v>
      </c>
      <c r="D314" s="3">
        <f t="shared" si="10"/>
        <v>2.005649479894648E-2</v>
      </c>
      <c r="E314" s="3">
        <f t="shared" si="11"/>
        <v>1.8709619656728238E-2</v>
      </c>
    </row>
    <row r="315" spans="1:5" x14ac:dyDescent="0.45">
      <c r="A315" s="2">
        <v>41001</v>
      </c>
      <c r="B315" s="3">
        <v>17478.150000000001</v>
      </c>
      <c r="C315" s="3">
        <v>108.6</v>
      </c>
      <c r="D315" s="3">
        <f t="shared" si="10"/>
        <v>4.2399729826411263E-3</v>
      </c>
      <c r="E315" s="3">
        <f t="shared" si="11"/>
        <v>6.4665352357459139E-3</v>
      </c>
    </row>
    <row r="316" spans="1:5" x14ac:dyDescent="0.45">
      <c r="A316" s="2">
        <v>41002</v>
      </c>
      <c r="B316" s="3">
        <v>17597.419999999998</v>
      </c>
      <c r="C316" s="3">
        <v>109.65</v>
      </c>
      <c r="D316" s="3">
        <f t="shared" si="10"/>
        <v>6.8007710033470368E-3</v>
      </c>
      <c r="E316" s="3">
        <f t="shared" si="11"/>
        <v>9.6220673640622506E-3</v>
      </c>
    </row>
    <row r="317" spans="1:5" x14ac:dyDescent="0.45">
      <c r="A317" s="2">
        <v>41003</v>
      </c>
      <c r="B317" s="3">
        <v>17486.02</v>
      </c>
      <c r="C317" s="3">
        <v>110.45</v>
      </c>
      <c r="D317" s="3">
        <f t="shared" si="10"/>
        <v>-6.3505958593118887E-3</v>
      </c>
      <c r="E317" s="3">
        <f t="shared" si="11"/>
        <v>7.2694550022289785E-3</v>
      </c>
    </row>
    <row r="318" spans="1:5" x14ac:dyDescent="0.45">
      <c r="A318" s="2">
        <v>41008</v>
      </c>
      <c r="B318" s="3">
        <v>17222.14</v>
      </c>
      <c r="C318" s="3">
        <v>109.9</v>
      </c>
      <c r="D318" s="3">
        <f t="shared" si="10"/>
        <v>-1.520593915212343E-2</v>
      </c>
      <c r="E318" s="3">
        <f t="shared" si="11"/>
        <v>-4.992068456550528E-3</v>
      </c>
    </row>
    <row r="319" spans="1:5" x14ac:dyDescent="0.45">
      <c r="A319" s="2">
        <v>41009</v>
      </c>
      <c r="B319" s="3">
        <v>17243.84</v>
      </c>
      <c r="C319" s="3">
        <v>110.25</v>
      </c>
      <c r="D319" s="3">
        <f t="shared" si="10"/>
        <v>1.2592128741050618E-3</v>
      </c>
      <c r="E319" s="3">
        <f t="shared" si="11"/>
        <v>3.1796529173795844E-3</v>
      </c>
    </row>
    <row r="320" spans="1:5" x14ac:dyDescent="0.45">
      <c r="A320" s="2">
        <v>41010</v>
      </c>
      <c r="B320" s="3">
        <v>17199.400000000001</v>
      </c>
      <c r="C320" s="3">
        <v>111.75</v>
      </c>
      <c r="D320" s="3">
        <f t="shared" si="10"/>
        <v>-2.5804787621614236E-3</v>
      </c>
      <c r="E320" s="3">
        <f t="shared" si="11"/>
        <v>1.3513719166722855E-2</v>
      </c>
    </row>
    <row r="321" spans="1:5" x14ac:dyDescent="0.45">
      <c r="A321" s="2">
        <v>41011</v>
      </c>
      <c r="B321" s="3">
        <v>17332.62</v>
      </c>
      <c r="C321" s="3">
        <v>111.35</v>
      </c>
      <c r="D321" s="3">
        <f t="shared" si="10"/>
        <v>7.7157757302948925E-3</v>
      </c>
      <c r="E321" s="3">
        <f t="shared" si="11"/>
        <v>-3.5858397903015924E-3</v>
      </c>
    </row>
    <row r="322" spans="1:5" x14ac:dyDescent="0.45">
      <c r="A322" s="2">
        <v>41012</v>
      </c>
      <c r="B322" s="3">
        <v>17094.509999999998</v>
      </c>
      <c r="C322" s="3">
        <v>111.95</v>
      </c>
      <c r="D322" s="3">
        <f t="shared" si="10"/>
        <v>-1.3832915891715421E-2</v>
      </c>
      <c r="E322" s="3">
        <f t="shared" si="11"/>
        <v>5.3739493413872373E-3</v>
      </c>
    </row>
    <row r="323" spans="1:5" x14ac:dyDescent="0.45">
      <c r="A323" s="2">
        <v>41015</v>
      </c>
      <c r="B323" s="3">
        <v>17150.95</v>
      </c>
      <c r="C323" s="3">
        <v>111.85</v>
      </c>
      <c r="D323" s="3">
        <f t="shared" si="10"/>
        <v>3.2962063351812247E-3</v>
      </c>
      <c r="E323" s="3">
        <f t="shared" si="11"/>
        <v>-8.9365510862528708E-4</v>
      </c>
    </row>
    <row r="324" spans="1:5" x14ac:dyDescent="0.45">
      <c r="A324" s="2">
        <v>41016</v>
      </c>
      <c r="B324" s="3">
        <v>17357.939999999999</v>
      </c>
      <c r="C324" s="3">
        <v>113.7</v>
      </c>
      <c r="D324" s="3">
        <f t="shared" si="10"/>
        <v>1.1996472932865949E-2</v>
      </c>
      <c r="E324" s="3">
        <f t="shared" si="11"/>
        <v>1.6404712820351781E-2</v>
      </c>
    </row>
    <row r="325" spans="1:5" x14ac:dyDescent="0.45">
      <c r="A325" s="2">
        <v>41017</v>
      </c>
      <c r="B325" s="3">
        <v>17392.39</v>
      </c>
      <c r="C325" s="3">
        <v>114.05</v>
      </c>
      <c r="D325" s="3">
        <f t="shared" si="10"/>
        <v>1.9827156338204283E-3</v>
      </c>
      <c r="E325" s="3">
        <f t="shared" si="11"/>
        <v>3.07354797390667E-3</v>
      </c>
    </row>
    <row r="326" spans="1:5" x14ac:dyDescent="0.45">
      <c r="A326" s="2">
        <v>41018</v>
      </c>
      <c r="B326" s="3">
        <v>17503.71</v>
      </c>
      <c r="C326" s="3">
        <v>114.55</v>
      </c>
      <c r="D326" s="3">
        <f t="shared" ref="D326:D389" si="12">LN(B326/B325)</f>
        <v>6.38010423017086E-3</v>
      </c>
      <c r="E326" s="3">
        <f t="shared" ref="E326:E389" si="13">LN(C326/C325)</f>
        <v>4.3744601691074426E-3</v>
      </c>
    </row>
    <row r="327" spans="1:5" x14ac:dyDescent="0.45">
      <c r="A327" s="2">
        <v>41019</v>
      </c>
      <c r="B327" s="3">
        <v>17373.84</v>
      </c>
      <c r="C327" s="3">
        <v>113.5</v>
      </c>
      <c r="D327" s="3">
        <f t="shared" si="12"/>
        <v>-7.4472318284370138E-3</v>
      </c>
      <c r="E327" s="3">
        <f t="shared" si="13"/>
        <v>-9.2085719780470952E-3</v>
      </c>
    </row>
    <row r="328" spans="1:5" x14ac:dyDescent="0.45">
      <c r="A328" s="2">
        <v>41022</v>
      </c>
      <c r="B328" s="3">
        <v>17096.68</v>
      </c>
      <c r="C328" s="3">
        <v>110.75</v>
      </c>
      <c r="D328" s="3">
        <f t="shared" si="12"/>
        <v>-1.6081334020324856E-2</v>
      </c>
      <c r="E328" s="3">
        <f t="shared" si="13"/>
        <v>-2.4527427996212312E-2</v>
      </c>
    </row>
    <row r="329" spans="1:5" x14ac:dyDescent="0.45">
      <c r="A329" s="2">
        <v>41023</v>
      </c>
      <c r="B329" s="3">
        <v>17207.29</v>
      </c>
      <c r="C329" s="3">
        <v>109.75</v>
      </c>
      <c r="D329" s="3">
        <f t="shared" si="12"/>
        <v>6.4488386232086472E-3</v>
      </c>
      <c r="E329" s="3">
        <f t="shared" si="13"/>
        <v>-9.0703569699642651E-3</v>
      </c>
    </row>
    <row r="330" spans="1:5" x14ac:dyDescent="0.45">
      <c r="A330" s="2">
        <v>41024</v>
      </c>
      <c r="B330" s="3">
        <v>17151.29</v>
      </c>
      <c r="C330" s="3">
        <v>108.35</v>
      </c>
      <c r="D330" s="3">
        <f t="shared" si="12"/>
        <v>-3.2597417930310952E-3</v>
      </c>
      <c r="E330" s="3">
        <f t="shared" si="13"/>
        <v>-1.2838323972912751E-2</v>
      </c>
    </row>
    <row r="331" spans="1:5" x14ac:dyDescent="0.45">
      <c r="A331" s="2">
        <v>41025</v>
      </c>
      <c r="B331" s="3">
        <v>17130.669999999998</v>
      </c>
      <c r="C331" s="3">
        <v>108.05</v>
      </c>
      <c r="D331" s="3">
        <f t="shared" si="12"/>
        <v>-1.2029652030774839E-3</v>
      </c>
      <c r="E331" s="3">
        <f t="shared" si="13"/>
        <v>-2.7726450294730948E-3</v>
      </c>
    </row>
    <row r="332" spans="1:5" x14ac:dyDescent="0.45">
      <c r="A332" s="2">
        <v>41026</v>
      </c>
      <c r="B332" s="3">
        <v>17134.25</v>
      </c>
      <c r="C332" s="3">
        <v>108.05</v>
      </c>
      <c r="D332" s="3">
        <f t="shared" si="12"/>
        <v>2.0896006837469244E-4</v>
      </c>
      <c r="E332" s="3">
        <f t="shared" si="13"/>
        <v>0</v>
      </c>
    </row>
    <row r="333" spans="1:5" x14ac:dyDescent="0.45">
      <c r="A333" s="2">
        <v>41027</v>
      </c>
      <c r="B333" s="3">
        <v>17187.34</v>
      </c>
      <c r="C333" s="3">
        <v>108.5</v>
      </c>
      <c r="D333" s="3">
        <f t="shared" si="12"/>
        <v>3.0936819851940332E-3</v>
      </c>
      <c r="E333" s="3">
        <f t="shared" si="13"/>
        <v>4.1560900276192362E-3</v>
      </c>
    </row>
    <row r="334" spans="1:5" x14ac:dyDescent="0.45">
      <c r="A334" s="2">
        <v>41029</v>
      </c>
      <c r="B334" s="3">
        <v>17318.810000000001</v>
      </c>
      <c r="C334" s="3">
        <v>111.2</v>
      </c>
      <c r="D334" s="3">
        <f t="shared" si="12"/>
        <v>7.6201277838651785E-3</v>
      </c>
      <c r="E334" s="3">
        <f t="shared" si="13"/>
        <v>2.4580208835967805E-2</v>
      </c>
    </row>
    <row r="335" spans="1:5" x14ac:dyDescent="0.45">
      <c r="A335" s="2">
        <v>41031</v>
      </c>
      <c r="B335" s="3">
        <v>17301.91</v>
      </c>
      <c r="C335" s="3">
        <v>109.2</v>
      </c>
      <c r="D335" s="3">
        <f t="shared" si="12"/>
        <v>-9.7629404254763246E-4</v>
      </c>
      <c r="E335" s="3">
        <f t="shared" si="13"/>
        <v>-1.8149318505677334E-2</v>
      </c>
    </row>
    <row r="336" spans="1:5" x14ac:dyDescent="0.45">
      <c r="A336" s="2">
        <v>41032</v>
      </c>
      <c r="B336" s="3">
        <v>17151.189999999999</v>
      </c>
      <c r="C336" s="3">
        <v>108.35</v>
      </c>
      <c r="D336" s="3">
        <f t="shared" si="12"/>
        <v>-8.7493410740367879E-3</v>
      </c>
      <c r="E336" s="3">
        <f t="shared" si="13"/>
        <v>-7.8143353284366932E-3</v>
      </c>
    </row>
    <row r="337" spans="1:5" x14ac:dyDescent="0.45">
      <c r="A337" s="2">
        <v>41033</v>
      </c>
      <c r="B337" s="3">
        <v>16831.080000000002</v>
      </c>
      <c r="C337" s="3">
        <v>106.95</v>
      </c>
      <c r="D337" s="3">
        <f t="shared" si="12"/>
        <v>-1.8840381693001038E-2</v>
      </c>
      <c r="E337" s="3">
        <f t="shared" si="13"/>
        <v>-1.3005292453953359E-2</v>
      </c>
    </row>
    <row r="338" spans="1:5" x14ac:dyDescent="0.45">
      <c r="A338" s="2">
        <v>41036</v>
      </c>
      <c r="B338" s="3">
        <v>16912.71</v>
      </c>
      <c r="C338" s="3">
        <v>105.55</v>
      </c>
      <c r="D338" s="3">
        <f t="shared" si="12"/>
        <v>4.8382330044281201E-3</v>
      </c>
      <c r="E338" s="3">
        <f t="shared" si="13"/>
        <v>-1.3176661234085056E-2</v>
      </c>
    </row>
    <row r="339" spans="1:5" x14ac:dyDescent="0.45">
      <c r="A339" s="2">
        <v>41037</v>
      </c>
      <c r="B339" s="3">
        <v>16546.18</v>
      </c>
      <c r="C339" s="3">
        <v>105.55</v>
      </c>
      <c r="D339" s="3">
        <f t="shared" si="12"/>
        <v>-2.191015080020263E-2</v>
      </c>
      <c r="E339" s="3">
        <f t="shared" si="13"/>
        <v>0</v>
      </c>
    </row>
    <row r="340" spans="1:5" x14ac:dyDescent="0.45">
      <c r="A340" s="2">
        <v>41038</v>
      </c>
      <c r="B340" s="3">
        <v>16479.580000000002</v>
      </c>
      <c r="C340" s="3">
        <v>104.2</v>
      </c>
      <c r="D340" s="3">
        <f t="shared" si="12"/>
        <v>-4.0332207513831637E-3</v>
      </c>
      <c r="E340" s="3">
        <f t="shared" si="13"/>
        <v>-1.2872644975063021E-2</v>
      </c>
    </row>
    <row r="341" spans="1:5" x14ac:dyDescent="0.45">
      <c r="A341" s="2">
        <v>41039</v>
      </c>
      <c r="B341" s="3">
        <v>16420.05</v>
      </c>
      <c r="C341" s="3">
        <v>102.2</v>
      </c>
      <c r="D341" s="3">
        <f t="shared" si="12"/>
        <v>-3.6188896330358986E-3</v>
      </c>
      <c r="E341" s="3">
        <f t="shared" si="13"/>
        <v>-1.9380451549662461E-2</v>
      </c>
    </row>
    <row r="342" spans="1:5" x14ac:dyDescent="0.45">
      <c r="A342" s="2">
        <v>41040</v>
      </c>
      <c r="B342" s="3">
        <v>16292.98</v>
      </c>
      <c r="C342" s="3">
        <v>101.2</v>
      </c>
      <c r="D342" s="3">
        <f t="shared" si="12"/>
        <v>-7.7688088875942016E-3</v>
      </c>
      <c r="E342" s="3">
        <f t="shared" si="13"/>
        <v>-9.832920916238946E-3</v>
      </c>
    </row>
    <row r="343" spans="1:5" x14ac:dyDescent="0.45">
      <c r="A343" s="2">
        <v>41043</v>
      </c>
      <c r="B343" s="3">
        <v>16215.84</v>
      </c>
      <c r="C343" s="3">
        <v>101.1</v>
      </c>
      <c r="D343" s="3">
        <f t="shared" si="12"/>
        <v>-4.7457978962454099E-3</v>
      </c>
      <c r="E343" s="3">
        <f t="shared" si="13"/>
        <v>-9.8863082693954321E-4</v>
      </c>
    </row>
    <row r="344" spans="1:5" x14ac:dyDescent="0.45">
      <c r="A344" s="2">
        <v>41044</v>
      </c>
      <c r="B344" s="3">
        <v>16328.25</v>
      </c>
      <c r="C344" s="3">
        <v>102.8</v>
      </c>
      <c r="D344" s="3">
        <f t="shared" si="12"/>
        <v>6.9081942095308947E-3</v>
      </c>
      <c r="E344" s="3">
        <f t="shared" si="13"/>
        <v>1.6675226994638952E-2</v>
      </c>
    </row>
    <row r="345" spans="1:5" x14ac:dyDescent="0.45">
      <c r="A345" s="2">
        <v>41045</v>
      </c>
      <c r="B345" s="3">
        <v>16030.09</v>
      </c>
      <c r="C345" s="3">
        <v>104.65</v>
      </c>
      <c r="D345" s="3">
        <f t="shared" si="12"/>
        <v>-1.8429155433764784E-2</v>
      </c>
      <c r="E345" s="3">
        <f t="shared" si="13"/>
        <v>1.783609587094416E-2</v>
      </c>
    </row>
    <row r="346" spans="1:5" x14ac:dyDescent="0.45">
      <c r="A346" s="2">
        <v>41046</v>
      </c>
      <c r="B346" s="3">
        <v>16070.48</v>
      </c>
      <c r="C346" s="3">
        <v>104.4</v>
      </c>
      <c r="D346" s="3">
        <f t="shared" si="12"/>
        <v>2.5164675464955984E-3</v>
      </c>
      <c r="E346" s="3">
        <f t="shared" si="13"/>
        <v>-2.3917734434704238E-3</v>
      </c>
    </row>
    <row r="347" spans="1:5" x14ac:dyDescent="0.45">
      <c r="A347" s="2">
        <v>41047</v>
      </c>
      <c r="B347" s="3">
        <v>16152.75</v>
      </c>
      <c r="C347" s="3">
        <v>104.95</v>
      </c>
      <c r="D347" s="3">
        <f t="shared" si="12"/>
        <v>5.1062651856153204E-3</v>
      </c>
      <c r="E347" s="3">
        <f t="shared" si="13"/>
        <v>5.254370818103639E-3</v>
      </c>
    </row>
    <row r="348" spans="1:5" x14ac:dyDescent="0.45">
      <c r="A348" s="2">
        <v>41050</v>
      </c>
      <c r="B348" s="3">
        <v>16183.26</v>
      </c>
      <c r="C348" s="3">
        <v>103.85</v>
      </c>
      <c r="D348" s="3">
        <f t="shared" si="12"/>
        <v>1.8870608373661153E-3</v>
      </c>
      <c r="E348" s="3">
        <f t="shared" si="13"/>
        <v>-1.0536495944520746E-2</v>
      </c>
    </row>
    <row r="349" spans="1:5" x14ac:dyDescent="0.45">
      <c r="A349" s="2">
        <v>41051</v>
      </c>
      <c r="B349" s="3">
        <v>16026.41</v>
      </c>
      <c r="C349" s="3">
        <v>103.4</v>
      </c>
      <c r="D349" s="3">
        <f t="shared" si="12"/>
        <v>-9.7393881924809876E-3</v>
      </c>
      <c r="E349" s="3">
        <f t="shared" si="13"/>
        <v>-4.3425882477924824E-3</v>
      </c>
    </row>
    <row r="350" spans="1:5" x14ac:dyDescent="0.45">
      <c r="A350" s="2">
        <v>41052</v>
      </c>
      <c r="B350" s="3">
        <v>15948.1</v>
      </c>
      <c r="C350" s="3">
        <v>103.45</v>
      </c>
      <c r="D350" s="3">
        <f t="shared" si="12"/>
        <v>-4.8982865773789987E-3</v>
      </c>
      <c r="E350" s="3">
        <f t="shared" si="13"/>
        <v>4.83442117223153E-4</v>
      </c>
    </row>
    <row r="351" spans="1:5" x14ac:dyDescent="0.45">
      <c r="A351" s="2">
        <v>41053</v>
      </c>
      <c r="B351" s="3">
        <v>16222.3</v>
      </c>
      <c r="C351" s="3">
        <v>104.9</v>
      </c>
      <c r="D351" s="3">
        <f t="shared" si="12"/>
        <v>1.7047139002990621E-2</v>
      </c>
      <c r="E351" s="3">
        <f t="shared" si="13"/>
        <v>1.391911121069944E-2</v>
      </c>
    </row>
    <row r="352" spans="1:5" x14ac:dyDescent="0.45">
      <c r="A352" s="2">
        <v>41054</v>
      </c>
      <c r="B352" s="3">
        <v>16217.82</v>
      </c>
      <c r="C352" s="3">
        <v>104.2</v>
      </c>
      <c r="D352" s="3">
        <f t="shared" si="12"/>
        <v>-2.7620119953197396E-4</v>
      </c>
      <c r="E352" s="3">
        <f t="shared" si="13"/>
        <v>-6.695386082984929E-3</v>
      </c>
    </row>
    <row r="353" spans="1:5" x14ac:dyDescent="0.45">
      <c r="A353" s="2">
        <v>41057</v>
      </c>
      <c r="B353" s="3">
        <v>16416.84</v>
      </c>
      <c r="C353" s="3">
        <v>106.5</v>
      </c>
      <c r="D353" s="3">
        <f t="shared" si="12"/>
        <v>1.2196999588244073E-2</v>
      </c>
      <c r="E353" s="3">
        <f t="shared" si="13"/>
        <v>2.1832855830213316E-2</v>
      </c>
    </row>
    <row r="354" spans="1:5" x14ac:dyDescent="0.45">
      <c r="A354" s="2">
        <v>41058</v>
      </c>
      <c r="B354" s="3">
        <v>16438.580000000002</v>
      </c>
      <c r="C354" s="3">
        <v>107.6</v>
      </c>
      <c r="D354" s="3">
        <f t="shared" si="12"/>
        <v>1.3233739317777926E-3</v>
      </c>
      <c r="E354" s="3">
        <f t="shared" si="13"/>
        <v>1.0275662578204078E-2</v>
      </c>
    </row>
    <row r="355" spans="1:5" x14ac:dyDescent="0.45">
      <c r="A355" s="2">
        <v>41059</v>
      </c>
      <c r="B355" s="3">
        <v>16312.15</v>
      </c>
      <c r="C355" s="3">
        <v>105.95</v>
      </c>
      <c r="D355" s="3">
        <f t="shared" si="12"/>
        <v>-7.720782287628499E-3</v>
      </c>
      <c r="E355" s="3">
        <f t="shared" si="13"/>
        <v>-1.5453363013375888E-2</v>
      </c>
    </row>
    <row r="356" spans="1:5" x14ac:dyDescent="0.45">
      <c r="A356" s="2">
        <v>41060</v>
      </c>
      <c r="B356" s="3">
        <v>16218.53</v>
      </c>
      <c r="C356" s="3">
        <v>106.35</v>
      </c>
      <c r="D356" s="3">
        <f t="shared" si="12"/>
        <v>-5.7558131870762332E-3</v>
      </c>
      <c r="E356" s="3">
        <f t="shared" si="13"/>
        <v>3.7682569319379454E-3</v>
      </c>
    </row>
    <row r="357" spans="1:5" x14ac:dyDescent="0.45">
      <c r="A357" s="2">
        <v>41061</v>
      </c>
      <c r="B357" s="3">
        <v>15965.16</v>
      </c>
      <c r="C357" s="3">
        <v>103.8</v>
      </c>
      <c r="D357" s="3">
        <f t="shared" si="12"/>
        <v>-1.5745567687474045E-2</v>
      </c>
      <c r="E357" s="3">
        <f t="shared" si="13"/>
        <v>-2.4269570914457896E-2</v>
      </c>
    </row>
    <row r="358" spans="1:5" x14ac:dyDescent="0.45">
      <c r="A358" s="2">
        <v>41064</v>
      </c>
      <c r="B358" s="3">
        <v>15988.4</v>
      </c>
      <c r="C358" s="3">
        <v>104</v>
      </c>
      <c r="D358" s="3">
        <f t="shared" si="12"/>
        <v>1.4546112607033443E-3</v>
      </c>
      <c r="E358" s="3">
        <f t="shared" si="13"/>
        <v>1.924928409584418E-3</v>
      </c>
    </row>
    <row r="359" spans="1:5" x14ac:dyDescent="0.45">
      <c r="A359" s="2">
        <v>41065</v>
      </c>
      <c r="B359" s="3">
        <v>16020.64</v>
      </c>
      <c r="C359" s="3">
        <v>105.75</v>
      </c>
      <c r="D359" s="3">
        <f t="shared" si="12"/>
        <v>2.0144316044665455E-3</v>
      </c>
      <c r="E359" s="3">
        <f t="shared" si="13"/>
        <v>1.6686918785014736E-2</v>
      </c>
    </row>
    <row r="360" spans="1:5" x14ac:dyDescent="0.45">
      <c r="A360" s="2">
        <v>41066</v>
      </c>
      <c r="B360" s="3">
        <v>16454.3</v>
      </c>
      <c r="C360" s="3">
        <v>109.35</v>
      </c>
      <c r="D360" s="3">
        <f t="shared" si="12"/>
        <v>2.6708950324469335E-2</v>
      </c>
      <c r="E360" s="3">
        <f t="shared" si="13"/>
        <v>3.3475929196389545E-2</v>
      </c>
    </row>
    <row r="361" spans="1:5" x14ac:dyDescent="0.45">
      <c r="A361" s="2">
        <v>41067</v>
      </c>
      <c r="B361" s="3">
        <v>16649.05</v>
      </c>
      <c r="C361" s="3">
        <v>108.05</v>
      </c>
      <c r="D361" s="3">
        <f t="shared" si="12"/>
        <v>1.1766316512457946E-2</v>
      </c>
      <c r="E361" s="3">
        <f t="shared" si="13"/>
        <v>-1.1959664169881786E-2</v>
      </c>
    </row>
    <row r="362" spans="1:5" x14ac:dyDescent="0.45">
      <c r="A362" s="2">
        <v>41068</v>
      </c>
      <c r="B362" s="3">
        <v>16718.87</v>
      </c>
      <c r="C362" s="3">
        <v>107.2</v>
      </c>
      <c r="D362" s="3">
        <f t="shared" si="12"/>
        <v>4.1848638990347707E-3</v>
      </c>
      <c r="E362" s="3">
        <f t="shared" si="13"/>
        <v>-7.8978343161933088E-3</v>
      </c>
    </row>
    <row r="363" spans="1:5" x14ac:dyDescent="0.45">
      <c r="A363" s="2">
        <v>41071</v>
      </c>
      <c r="B363" s="3">
        <v>16668.009999999998</v>
      </c>
      <c r="C363" s="3">
        <v>107.25</v>
      </c>
      <c r="D363" s="3">
        <f t="shared" si="12"/>
        <v>-3.0467081285839577E-3</v>
      </c>
      <c r="E363" s="3">
        <f t="shared" si="13"/>
        <v>4.6630917142463668E-4</v>
      </c>
    </row>
    <row r="364" spans="1:5" x14ac:dyDescent="0.45">
      <c r="A364" s="2">
        <v>41072</v>
      </c>
      <c r="B364" s="3">
        <v>16862.8</v>
      </c>
      <c r="C364" s="3">
        <v>107.85</v>
      </c>
      <c r="D364" s="3">
        <f t="shared" si="12"/>
        <v>1.1618698819850152E-2</v>
      </c>
      <c r="E364" s="3">
        <f t="shared" si="13"/>
        <v>5.5788150270389336E-3</v>
      </c>
    </row>
    <row r="365" spans="1:5" x14ac:dyDescent="0.45">
      <c r="A365" s="2">
        <v>41073</v>
      </c>
      <c r="B365" s="3">
        <v>16880.509999999998</v>
      </c>
      <c r="C365" s="3">
        <v>107.65</v>
      </c>
      <c r="D365" s="3">
        <f t="shared" si="12"/>
        <v>1.0496896496605703E-3</v>
      </c>
      <c r="E365" s="3">
        <f t="shared" si="13"/>
        <v>-1.8561490247932634E-3</v>
      </c>
    </row>
    <row r="366" spans="1:5" x14ac:dyDescent="0.45">
      <c r="A366" s="2">
        <v>41074</v>
      </c>
      <c r="B366" s="3">
        <v>16677.88</v>
      </c>
      <c r="C366" s="3">
        <v>105.6</v>
      </c>
      <c r="D366" s="3">
        <f t="shared" si="12"/>
        <v>-1.2076411449959787E-2</v>
      </c>
      <c r="E366" s="3">
        <f t="shared" si="13"/>
        <v>-1.9226852538211069E-2</v>
      </c>
    </row>
    <row r="367" spans="1:5" x14ac:dyDescent="0.45">
      <c r="A367" s="2">
        <v>41075</v>
      </c>
      <c r="B367" s="3">
        <v>16949.830000000002</v>
      </c>
      <c r="C367" s="3">
        <v>106.15</v>
      </c>
      <c r="D367" s="3">
        <f t="shared" si="12"/>
        <v>1.6174513746056818E-2</v>
      </c>
      <c r="E367" s="3">
        <f t="shared" si="13"/>
        <v>5.1948168771041511E-3</v>
      </c>
    </row>
    <row r="368" spans="1:5" x14ac:dyDescent="0.45">
      <c r="A368" s="2">
        <v>41078</v>
      </c>
      <c r="B368" s="3">
        <v>16705.830000000002</v>
      </c>
      <c r="C368" s="3">
        <v>107.15</v>
      </c>
      <c r="D368" s="3">
        <f t="shared" si="12"/>
        <v>-1.4500043980375799E-2</v>
      </c>
      <c r="E368" s="3">
        <f t="shared" si="13"/>
        <v>9.3765337703210147E-3</v>
      </c>
    </row>
    <row r="369" spans="1:5" x14ac:dyDescent="0.45">
      <c r="A369" s="2">
        <v>41079</v>
      </c>
      <c r="B369" s="3">
        <v>16859.8</v>
      </c>
      <c r="C369" s="3">
        <v>109</v>
      </c>
      <c r="D369" s="3">
        <f t="shared" si="12"/>
        <v>9.1743298098837505E-3</v>
      </c>
      <c r="E369" s="3">
        <f t="shared" si="13"/>
        <v>1.7118160309557668E-2</v>
      </c>
    </row>
    <row r="370" spans="1:5" x14ac:dyDescent="0.45">
      <c r="A370" s="2">
        <v>41080</v>
      </c>
      <c r="B370" s="3">
        <v>16896.63</v>
      </c>
      <c r="C370" s="3">
        <v>108.65</v>
      </c>
      <c r="D370" s="3">
        <f t="shared" si="12"/>
        <v>2.1821036533822796E-3</v>
      </c>
      <c r="E370" s="3">
        <f t="shared" si="13"/>
        <v>-3.2161755267049587E-3</v>
      </c>
    </row>
    <row r="371" spans="1:5" x14ac:dyDescent="0.45">
      <c r="A371" s="2">
        <v>41081</v>
      </c>
      <c r="B371" s="3">
        <v>17032.560000000001</v>
      </c>
      <c r="C371" s="3">
        <v>109.7</v>
      </c>
      <c r="D371" s="3">
        <f t="shared" si="12"/>
        <v>8.0126125761874195E-3</v>
      </c>
      <c r="E371" s="3">
        <f t="shared" si="13"/>
        <v>9.6176605787457979E-3</v>
      </c>
    </row>
    <row r="372" spans="1:5" x14ac:dyDescent="0.45">
      <c r="A372" s="2">
        <v>41082</v>
      </c>
      <c r="B372" s="3">
        <v>16972.509999999998</v>
      </c>
      <c r="C372" s="3">
        <v>110.05</v>
      </c>
      <c r="D372" s="3">
        <f t="shared" si="12"/>
        <v>-3.5318299548318909E-3</v>
      </c>
      <c r="E372" s="3">
        <f t="shared" si="13"/>
        <v>3.1854406912861541E-3</v>
      </c>
    </row>
    <row r="373" spans="1:5" x14ac:dyDescent="0.45">
      <c r="A373" s="2">
        <v>41085</v>
      </c>
      <c r="B373" s="3">
        <v>16882.16</v>
      </c>
      <c r="C373" s="3">
        <v>107.9</v>
      </c>
      <c r="D373" s="3">
        <f t="shared" si="12"/>
        <v>-5.3375333152145439E-3</v>
      </c>
      <c r="E373" s="3">
        <f t="shared" si="13"/>
        <v>-1.9729935708381652E-2</v>
      </c>
    </row>
    <row r="374" spans="1:5" x14ac:dyDescent="0.45">
      <c r="A374" s="2">
        <v>41086</v>
      </c>
      <c r="B374" s="3">
        <v>16906.580000000002</v>
      </c>
      <c r="C374" s="3">
        <v>109.75</v>
      </c>
      <c r="D374" s="3">
        <f t="shared" si="12"/>
        <v>1.4454521980868931E-3</v>
      </c>
      <c r="E374" s="3">
        <f t="shared" si="13"/>
        <v>1.7000179691191594E-2</v>
      </c>
    </row>
    <row r="375" spans="1:5" x14ac:dyDescent="0.45">
      <c r="A375" s="2">
        <v>41087</v>
      </c>
      <c r="B375" s="3">
        <v>16967.759999999998</v>
      </c>
      <c r="C375" s="3">
        <v>109.85</v>
      </c>
      <c r="D375" s="3">
        <f t="shared" si="12"/>
        <v>3.6121776260234209E-3</v>
      </c>
      <c r="E375" s="3">
        <f t="shared" si="13"/>
        <v>9.1074687533839393E-4</v>
      </c>
    </row>
    <row r="376" spans="1:5" x14ac:dyDescent="0.45">
      <c r="A376" s="2">
        <v>41088</v>
      </c>
      <c r="B376" s="3">
        <v>16990.759999999998</v>
      </c>
      <c r="C376" s="3">
        <v>109.6</v>
      </c>
      <c r="D376" s="3">
        <f t="shared" si="12"/>
        <v>1.3545939880147313E-3</v>
      </c>
      <c r="E376" s="3">
        <f t="shared" si="13"/>
        <v>-2.2784243167041011E-3</v>
      </c>
    </row>
    <row r="377" spans="1:5" x14ac:dyDescent="0.45">
      <c r="A377" s="2">
        <v>41089</v>
      </c>
      <c r="B377" s="3">
        <v>17429.98</v>
      </c>
      <c r="C377" s="3">
        <v>113.45</v>
      </c>
      <c r="D377" s="3">
        <f t="shared" si="12"/>
        <v>2.552204520554582E-2</v>
      </c>
      <c r="E377" s="3">
        <f t="shared" si="13"/>
        <v>3.4524836711935687E-2</v>
      </c>
    </row>
    <row r="378" spans="1:5" x14ac:dyDescent="0.45">
      <c r="A378" s="2">
        <v>41092</v>
      </c>
      <c r="B378" s="3">
        <v>17398.98</v>
      </c>
      <c r="C378" s="3">
        <v>112.7</v>
      </c>
      <c r="D378" s="3">
        <f t="shared" si="12"/>
        <v>-1.7801282717723006E-3</v>
      </c>
      <c r="E378" s="3">
        <f t="shared" si="13"/>
        <v>-6.6327901801201353E-3</v>
      </c>
    </row>
    <row r="379" spans="1:5" x14ac:dyDescent="0.45">
      <c r="A379" s="2">
        <v>41093</v>
      </c>
      <c r="B379" s="3">
        <v>17425.71</v>
      </c>
      <c r="C379" s="3">
        <v>111.6</v>
      </c>
      <c r="D379" s="3">
        <f t="shared" si="12"/>
        <v>1.5351180584406102E-3</v>
      </c>
      <c r="E379" s="3">
        <f t="shared" si="13"/>
        <v>-9.8083710985201519E-3</v>
      </c>
    </row>
    <row r="380" spans="1:5" x14ac:dyDescent="0.45">
      <c r="A380" s="2">
        <v>41094</v>
      </c>
      <c r="B380" s="3">
        <v>17462.810000000001</v>
      </c>
      <c r="C380" s="3">
        <v>113</v>
      </c>
      <c r="D380" s="3">
        <f t="shared" si="12"/>
        <v>2.1267748809143962E-3</v>
      </c>
      <c r="E380" s="3">
        <f t="shared" si="13"/>
        <v>1.2466768765130067E-2</v>
      </c>
    </row>
    <row r="381" spans="1:5" x14ac:dyDescent="0.45">
      <c r="A381" s="2">
        <v>41095</v>
      </c>
      <c r="B381" s="3">
        <v>17538.669999999998</v>
      </c>
      <c r="C381" s="3">
        <v>114.25</v>
      </c>
      <c r="D381" s="3">
        <f t="shared" si="12"/>
        <v>4.3346806352553349E-3</v>
      </c>
      <c r="E381" s="3">
        <f t="shared" si="13"/>
        <v>1.1001211061973583E-2</v>
      </c>
    </row>
    <row r="382" spans="1:5" x14ac:dyDescent="0.45">
      <c r="A382" s="2">
        <v>41096</v>
      </c>
      <c r="B382" s="3">
        <v>17521.12</v>
      </c>
      <c r="C382" s="3">
        <v>112.95</v>
      </c>
      <c r="D382" s="3">
        <f t="shared" si="12"/>
        <v>-1.0011469815338597E-3</v>
      </c>
      <c r="E382" s="3">
        <f t="shared" si="13"/>
        <v>-1.1443786860301789E-2</v>
      </c>
    </row>
    <row r="383" spans="1:5" x14ac:dyDescent="0.45">
      <c r="A383" s="2">
        <v>41099</v>
      </c>
      <c r="B383" s="3">
        <v>17391.98</v>
      </c>
      <c r="C383" s="3">
        <v>112.5</v>
      </c>
      <c r="D383" s="3">
        <f t="shared" si="12"/>
        <v>-7.3978299814542459E-3</v>
      </c>
      <c r="E383" s="3">
        <f t="shared" si="13"/>
        <v>-3.9920212695374498E-3</v>
      </c>
    </row>
    <row r="384" spans="1:5" x14ac:dyDescent="0.45">
      <c r="A384" s="2">
        <v>41100</v>
      </c>
      <c r="B384" s="3">
        <v>17618.349999999999</v>
      </c>
      <c r="C384" s="3">
        <v>113.05</v>
      </c>
      <c r="D384" s="3">
        <f t="shared" si="12"/>
        <v>1.2931792112175201E-2</v>
      </c>
      <c r="E384" s="3">
        <f t="shared" si="13"/>
        <v>4.8769770795040824E-3</v>
      </c>
    </row>
    <row r="385" spans="1:5" x14ac:dyDescent="0.45">
      <c r="A385" s="2">
        <v>41101</v>
      </c>
      <c r="B385" s="3">
        <v>17489.14</v>
      </c>
      <c r="C385" s="3">
        <v>113.65</v>
      </c>
      <c r="D385" s="3">
        <f t="shared" si="12"/>
        <v>-7.3608556696174565E-3</v>
      </c>
      <c r="E385" s="3">
        <f t="shared" si="13"/>
        <v>5.2933515745735155E-3</v>
      </c>
    </row>
    <row r="386" spans="1:5" x14ac:dyDescent="0.45">
      <c r="A386" s="2">
        <v>41102</v>
      </c>
      <c r="B386" s="3">
        <v>17232.55</v>
      </c>
      <c r="C386" s="3">
        <v>112.4</v>
      </c>
      <c r="D386" s="3">
        <f t="shared" si="12"/>
        <v>-1.4780079599018331E-2</v>
      </c>
      <c r="E386" s="3">
        <f t="shared" si="13"/>
        <v>-1.1059612838961532E-2</v>
      </c>
    </row>
    <row r="387" spans="1:5" x14ac:dyDescent="0.45">
      <c r="A387" s="2">
        <v>41103</v>
      </c>
      <c r="B387" s="3">
        <v>17213.7</v>
      </c>
      <c r="C387" s="3">
        <v>112.05</v>
      </c>
      <c r="D387" s="3">
        <f t="shared" si="12"/>
        <v>-1.0944588674590716E-3</v>
      </c>
      <c r="E387" s="3">
        <f t="shared" si="13"/>
        <v>-3.1187372126547275E-3</v>
      </c>
    </row>
    <row r="388" spans="1:5" x14ac:dyDescent="0.45">
      <c r="A388" s="2">
        <v>41106</v>
      </c>
      <c r="B388" s="3">
        <v>17103.310000000001</v>
      </c>
      <c r="C388" s="3">
        <v>112.35</v>
      </c>
      <c r="D388" s="3">
        <f t="shared" si="12"/>
        <v>-6.43356637191794E-3</v>
      </c>
      <c r="E388" s="3">
        <f t="shared" si="13"/>
        <v>2.6737983844022052E-3</v>
      </c>
    </row>
    <row r="389" spans="1:5" x14ac:dyDescent="0.45">
      <c r="A389" s="2">
        <v>41107</v>
      </c>
      <c r="B389" s="3">
        <v>17105.3</v>
      </c>
      <c r="C389" s="3">
        <v>112.25</v>
      </c>
      <c r="D389" s="3">
        <f t="shared" si="12"/>
        <v>1.1634497877835373E-4</v>
      </c>
      <c r="E389" s="3">
        <f t="shared" si="13"/>
        <v>-8.9047200897443861E-4</v>
      </c>
    </row>
    <row r="390" spans="1:5" x14ac:dyDescent="0.45">
      <c r="A390" s="2">
        <v>41108</v>
      </c>
      <c r="B390" s="3">
        <v>17185.009999999998</v>
      </c>
      <c r="C390" s="3">
        <v>111.15</v>
      </c>
      <c r="D390" s="3">
        <f t="shared" ref="D390:D453" si="14">LN(B390/B389)</f>
        <v>4.649135197318765E-3</v>
      </c>
      <c r="E390" s="3">
        <f t="shared" ref="E390:E453" si="15">LN(C390/C389)</f>
        <v>-9.8478862121580031E-3</v>
      </c>
    </row>
    <row r="391" spans="1:5" x14ac:dyDescent="0.45">
      <c r="A391" s="2">
        <v>41109</v>
      </c>
      <c r="B391" s="3">
        <v>17278.849999999999</v>
      </c>
      <c r="C391" s="3">
        <v>111.95</v>
      </c>
      <c r="D391" s="3">
        <f t="shared" si="14"/>
        <v>5.4457180309224898E-3</v>
      </c>
      <c r="E391" s="3">
        <f t="shared" si="15"/>
        <v>7.1717026345583159E-3</v>
      </c>
    </row>
    <row r="392" spans="1:5" x14ac:dyDescent="0.45">
      <c r="A392" s="2">
        <v>41110</v>
      </c>
      <c r="B392" s="3">
        <v>17158.439999999999</v>
      </c>
      <c r="C392" s="3">
        <v>111.35</v>
      </c>
      <c r="D392" s="3">
        <f t="shared" si="14"/>
        <v>-6.993029398947242E-3</v>
      </c>
      <c r="E392" s="3">
        <f t="shared" si="15"/>
        <v>-5.3739493413872772E-3</v>
      </c>
    </row>
    <row r="393" spans="1:5" x14ac:dyDescent="0.45">
      <c r="A393" s="2">
        <v>41113</v>
      </c>
      <c r="B393" s="3">
        <v>16877.349999999999</v>
      </c>
      <c r="C393" s="3">
        <v>109.25</v>
      </c>
      <c r="D393" s="3">
        <f t="shared" si="14"/>
        <v>-1.6517694514242991E-2</v>
      </c>
      <c r="E393" s="3">
        <f t="shared" si="15"/>
        <v>-1.9039559727677E-2</v>
      </c>
    </row>
    <row r="394" spans="1:5" x14ac:dyDescent="0.45">
      <c r="A394" s="2">
        <v>41114</v>
      </c>
      <c r="B394" s="3">
        <v>16918.080000000002</v>
      </c>
      <c r="C394" s="3">
        <v>110.75</v>
      </c>
      <c r="D394" s="3">
        <f t="shared" si="14"/>
        <v>2.410386239795048E-3</v>
      </c>
      <c r="E394" s="3">
        <f t="shared" si="15"/>
        <v>1.3636574949545444E-2</v>
      </c>
    </row>
    <row r="395" spans="1:5" x14ac:dyDescent="0.45">
      <c r="A395" s="2">
        <v>41115</v>
      </c>
      <c r="B395" s="3">
        <v>16846.05</v>
      </c>
      <c r="C395" s="3">
        <v>110.55</v>
      </c>
      <c r="D395" s="3">
        <f t="shared" si="14"/>
        <v>-4.2666646095747968E-3</v>
      </c>
      <c r="E395" s="3">
        <f t="shared" si="15"/>
        <v>-1.8075016217897128E-3</v>
      </c>
    </row>
    <row r="396" spans="1:5" x14ac:dyDescent="0.45">
      <c r="A396" s="2">
        <v>41116</v>
      </c>
      <c r="B396" s="3">
        <v>16639.82</v>
      </c>
      <c r="C396" s="3">
        <v>111.8</v>
      </c>
      <c r="D396" s="3">
        <f t="shared" si="14"/>
        <v>-1.2317589925539746E-2</v>
      </c>
      <c r="E396" s="3">
        <f t="shared" si="15"/>
        <v>1.1243653417543542E-2</v>
      </c>
    </row>
    <row r="397" spans="1:5" x14ac:dyDescent="0.45">
      <c r="A397" s="2">
        <v>41117</v>
      </c>
      <c r="B397" s="3">
        <v>16839.189999999999</v>
      </c>
      <c r="C397" s="3">
        <v>114.1</v>
      </c>
      <c r="D397" s="3">
        <f t="shared" si="14"/>
        <v>1.1910289868016821E-2</v>
      </c>
      <c r="E397" s="3">
        <f t="shared" si="15"/>
        <v>2.0363696147031138E-2</v>
      </c>
    </row>
    <row r="398" spans="1:5" x14ac:dyDescent="0.45">
      <c r="A398" s="2">
        <v>41120</v>
      </c>
      <c r="B398" s="3">
        <v>17143.68</v>
      </c>
      <c r="C398" s="3">
        <v>118.05</v>
      </c>
      <c r="D398" s="3">
        <f t="shared" si="14"/>
        <v>1.7920684679889918E-2</v>
      </c>
      <c r="E398" s="3">
        <f t="shared" si="15"/>
        <v>3.4033006663491933E-2</v>
      </c>
    </row>
    <row r="399" spans="1:5" x14ac:dyDescent="0.45">
      <c r="A399" s="2">
        <v>41121</v>
      </c>
      <c r="B399" s="3">
        <v>17236.18</v>
      </c>
      <c r="C399" s="3">
        <v>118.55</v>
      </c>
      <c r="D399" s="3">
        <f t="shared" si="14"/>
        <v>5.381070382588192E-3</v>
      </c>
      <c r="E399" s="3">
        <f t="shared" si="15"/>
        <v>4.2265489798924685E-3</v>
      </c>
    </row>
    <row r="400" spans="1:5" x14ac:dyDescent="0.45">
      <c r="A400" s="2">
        <v>41122</v>
      </c>
      <c r="B400" s="3">
        <v>17257.38</v>
      </c>
      <c r="C400" s="3">
        <v>118.8</v>
      </c>
      <c r="D400" s="3">
        <f t="shared" si="14"/>
        <v>1.2292151154812672E-3</v>
      </c>
      <c r="E400" s="3">
        <f t="shared" si="15"/>
        <v>2.1065944171299563E-3</v>
      </c>
    </row>
    <row r="401" spans="1:5" x14ac:dyDescent="0.45">
      <c r="A401" s="2">
        <v>41123</v>
      </c>
      <c r="B401" s="3">
        <v>17224.36</v>
      </c>
      <c r="C401" s="3">
        <v>118.25</v>
      </c>
      <c r="D401" s="3">
        <f t="shared" si="14"/>
        <v>-1.9152171609245431E-3</v>
      </c>
      <c r="E401" s="3">
        <f t="shared" si="15"/>
        <v>-4.6403795565022254E-3</v>
      </c>
    </row>
    <row r="402" spans="1:5" x14ac:dyDescent="0.45">
      <c r="A402" s="2">
        <v>41124</v>
      </c>
      <c r="B402" s="3">
        <v>17197.93</v>
      </c>
      <c r="C402" s="3">
        <v>118.4</v>
      </c>
      <c r="D402" s="3">
        <f t="shared" si="14"/>
        <v>-1.5356331722188041E-3</v>
      </c>
      <c r="E402" s="3">
        <f t="shared" si="15"/>
        <v>1.267695077863106E-3</v>
      </c>
    </row>
    <row r="403" spans="1:5" x14ac:dyDescent="0.45">
      <c r="A403" s="2">
        <v>41127</v>
      </c>
      <c r="B403" s="3">
        <v>17412.96</v>
      </c>
      <c r="C403" s="3">
        <v>120.4</v>
      </c>
      <c r="D403" s="3">
        <f t="shared" si="14"/>
        <v>1.2425728820586577E-2</v>
      </c>
      <c r="E403" s="3">
        <f t="shared" si="15"/>
        <v>1.6750810424815351E-2</v>
      </c>
    </row>
    <row r="404" spans="1:5" x14ac:dyDescent="0.45">
      <c r="A404" s="2">
        <v>41128</v>
      </c>
      <c r="B404" s="3">
        <v>17601.78</v>
      </c>
      <c r="C404" s="3">
        <v>118.35</v>
      </c>
      <c r="D404" s="3">
        <f t="shared" si="14"/>
        <v>1.0785276733522886E-2</v>
      </c>
      <c r="E404" s="3">
        <f t="shared" si="15"/>
        <v>-1.7173196914727851E-2</v>
      </c>
    </row>
    <row r="405" spans="1:5" x14ac:dyDescent="0.45">
      <c r="A405" s="2">
        <v>41129</v>
      </c>
      <c r="B405" s="3">
        <v>17600.560000000001</v>
      </c>
      <c r="C405" s="3">
        <v>118.85</v>
      </c>
      <c r="D405" s="3">
        <f t="shared" si="14"/>
        <v>-6.9313574068476924E-5</v>
      </c>
      <c r="E405" s="3">
        <f t="shared" si="15"/>
        <v>4.215857846210075E-3</v>
      </c>
    </row>
    <row r="406" spans="1:5" x14ac:dyDescent="0.45">
      <c r="A406" s="2">
        <v>41130</v>
      </c>
      <c r="B406" s="3">
        <v>17560.87</v>
      </c>
      <c r="C406" s="3">
        <v>118.9</v>
      </c>
      <c r="D406" s="3">
        <f t="shared" si="14"/>
        <v>-2.2575883209160564E-3</v>
      </c>
      <c r="E406" s="3">
        <f t="shared" si="15"/>
        <v>4.2060989053331263E-4</v>
      </c>
    </row>
    <row r="407" spans="1:5" x14ac:dyDescent="0.45">
      <c r="A407" s="2">
        <v>41131</v>
      </c>
      <c r="B407" s="3">
        <v>17557.740000000002</v>
      </c>
      <c r="C407" s="3">
        <v>119.7</v>
      </c>
      <c r="D407" s="3">
        <f t="shared" si="14"/>
        <v>-1.7825306914397566E-4</v>
      </c>
      <c r="E407" s="3">
        <f t="shared" si="15"/>
        <v>6.7058088671912014E-3</v>
      </c>
    </row>
    <row r="408" spans="1:5" x14ac:dyDescent="0.45">
      <c r="A408" s="2">
        <v>41134</v>
      </c>
      <c r="B408" s="3">
        <v>17633.45</v>
      </c>
      <c r="C408" s="3">
        <v>119.75</v>
      </c>
      <c r="D408" s="3">
        <f t="shared" si="14"/>
        <v>4.3027881016688115E-3</v>
      </c>
      <c r="E408" s="3">
        <f t="shared" si="15"/>
        <v>4.1762372709706913E-4</v>
      </c>
    </row>
    <row r="409" spans="1:5" x14ac:dyDescent="0.45">
      <c r="A409" s="2">
        <v>41135</v>
      </c>
      <c r="B409" s="3">
        <v>17728.2</v>
      </c>
      <c r="C409" s="3">
        <v>120.05</v>
      </c>
      <c r="D409" s="3">
        <f t="shared" si="14"/>
        <v>5.3589256583387521E-3</v>
      </c>
      <c r="E409" s="3">
        <f t="shared" si="15"/>
        <v>2.5020863762375907E-3</v>
      </c>
    </row>
    <row r="410" spans="1:5" x14ac:dyDescent="0.45">
      <c r="A410" s="2">
        <v>41137</v>
      </c>
      <c r="B410" s="3">
        <v>17657.21</v>
      </c>
      <c r="C410" s="3">
        <v>120.1</v>
      </c>
      <c r="D410" s="3">
        <f t="shared" si="14"/>
        <v>-4.0123935396404005E-3</v>
      </c>
      <c r="E410" s="3">
        <f t="shared" si="15"/>
        <v>4.1640641867564404E-4</v>
      </c>
    </row>
    <row r="411" spans="1:5" x14ac:dyDescent="0.45">
      <c r="A411" s="2">
        <v>41138</v>
      </c>
      <c r="B411" s="3">
        <v>17691.080000000002</v>
      </c>
      <c r="C411" s="3">
        <v>117.7</v>
      </c>
      <c r="D411" s="3">
        <f t="shared" si="14"/>
        <v>1.9163591995789077E-3</v>
      </c>
      <c r="E411" s="3">
        <f t="shared" si="15"/>
        <v>-2.0185714819706792E-2</v>
      </c>
    </row>
    <row r="412" spans="1:5" x14ac:dyDescent="0.45">
      <c r="A412" s="2">
        <v>41142</v>
      </c>
      <c r="B412" s="3">
        <v>17885.259999999998</v>
      </c>
      <c r="C412" s="3">
        <v>119.5</v>
      </c>
      <c r="D412" s="3">
        <f t="shared" si="14"/>
        <v>1.0916352177470211E-2</v>
      </c>
      <c r="E412" s="3">
        <f t="shared" si="15"/>
        <v>1.5177357105334207E-2</v>
      </c>
    </row>
    <row r="413" spans="1:5" x14ac:dyDescent="0.45">
      <c r="A413" s="2">
        <v>41143</v>
      </c>
      <c r="B413" s="3">
        <v>17846.86</v>
      </c>
      <c r="C413" s="3">
        <v>119</v>
      </c>
      <c r="D413" s="3">
        <f t="shared" si="14"/>
        <v>-2.149327539633553E-3</v>
      </c>
      <c r="E413" s="3">
        <f t="shared" si="15"/>
        <v>-4.1928782600359274E-3</v>
      </c>
    </row>
    <row r="414" spans="1:5" x14ac:dyDescent="0.45">
      <c r="A414" s="2">
        <v>41144</v>
      </c>
      <c r="B414" s="3">
        <v>17850.22</v>
      </c>
      <c r="C414" s="3">
        <v>117.45</v>
      </c>
      <c r="D414" s="3">
        <f t="shared" si="14"/>
        <v>1.8825069220926917E-4</v>
      </c>
      <c r="E414" s="3">
        <f t="shared" si="15"/>
        <v>-1.3110782006607539E-2</v>
      </c>
    </row>
    <row r="415" spans="1:5" x14ac:dyDescent="0.45">
      <c r="A415" s="2">
        <v>41145</v>
      </c>
      <c r="B415" s="3">
        <v>17783.21</v>
      </c>
      <c r="C415" s="3">
        <v>117.3</v>
      </c>
      <c r="D415" s="3">
        <f t="shared" si="14"/>
        <v>-3.7610793567742851E-3</v>
      </c>
      <c r="E415" s="3">
        <f t="shared" si="15"/>
        <v>-1.2779554454920687E-3</v>
      </c>
    </row>
    <row r="416" spans="1:5" x14ac:dyDescent="0.45">
      <c r="A416" s="2">
        <v>41148</v>
      </c>
      <c r="B416" s="3">
        <v>17678.810000000001</v>
      </c>
      <c r="C416" s="3">
        <v>118.4</v>
      </c>
      <c r="D416" s="3">
        <f t="shared" si="14"/>
        <v>-5.8880064709691694E-3</v>
      </c>
      <c r="E416" s="3">
        <f t="shared" si="15"/>
        <v>9.3339667904755053E-3</v>
      </c>
    </row>
    <row r="417" spans="1:5" x14ac:dyDescent="0.45">
      <c r="A417" s="2">
        <v>41149</v>
      </c>
      <c r="B417" s="3">
        <v>17631.71</v>
      </c>
      <c r="C417" s="3">
        <v>121.35</v>
      </c>
      <c r="D417" s="3">
        <f t="shared" si="14"/>
        <v>-2.6677617851019906E-3</v>
      </c>
      <c r="E417" s="3">
        <f t="shared" si="15"/>
        <v>2.4610209722704893E-2</v>
      </c>
    </row>
    <row r="418" spans="1:5" x14ac:dyDescent="0.45">
      <c r="A418" s="2">
        <v>41150</v>
      </c>
      <c r="B418" s="3">
        <v>17490.810000000001</v>
      </c>
      <c r="C418" s="3">
        <v>119.35</v>
      </c>
      <c r="D418" s="3">
        <f t="shared" si="14"/>
        <v>-8.0233853303008067E-3</v>
      </c>
      <c r="E418" s="3">
        <f t="shared" si="15"/>
        <v>-1.6618579387771296E-2</v>
      </c>
    </row>
    <row r="419" spans="1:5" x14ac:dyDescent="0.45">
      <c r="A419" s="2">
        <v>41151</v>
      </c>
      <c r="B419" s="3">
        <v>17541.64</v>
      </c>
      <c r="C419" s="3">
        <v>121.8</v>
      </c>
      <c r="D419" s="3">
        <f t="shared" si="14"/>
        <v>2.9018830067340262E-3</v>
      </c>
      <c r="E419" s="3">
        <f t="shared" si="15"/>
        <v>2.0320002490957528E-2</v>
      </c>
    </row>
    <row r="420" spans="1:5" x14ac:dyDescent="0.45">
      <c r="A420" s="2">
        <v>41152</v>
      </c>
      <c r="B420" s="3">
        <v>17429.560000000001</v>
      </c>
      <c r="C420" s="3">
        <v>120.05</v>
      </c>
      <c r="D420" s="3">
        <f t="shared" si="14"/>
        <v>-6.4098677624305767E-3</v>
      </c>
      <c r="E420" s="3">
        <f t="shared" si="15"/>
        <v>-1.4472032608534432E-2</v>
      </c>
    </row>
    <row r="421" spans="1:5" x14ac:dyDescent="0.45">
      <c r="A421" s="2">
        <v>41155</v>
      </c>
      <c r="B421" s="3">
        <v>17384.400000000001</v>
      </c>
      <c r="C421" s="3">
        <v>121.35</v>
      </c>
      <c r="D421" s="3">
        <f t="shared" si="14"/>
        <v>-2.5943630273567407E-3</v>
      </c>
      <c r="E421" s="3">
        <f t="shared" si="15"/>
        <v>1.0770609505348083E-2</v>
      </c>
    </row>
    <row r="422" spans="1:5" x14ac:dyDescent="0.45">
      <c r="A422" s="2">
        <v>41156</v>
      </c>
      <c r="B422" s="3">
        <v>17440.87</v>
      </c>
      <c r="C422" s="3">
        <v>123.9</v>
      </c>
      <c r="D422" s="3">
        <f t="shared" si="14"/>
        <v>3.2430502042338316E-3</v>
      </c>
      <c r="E422" s="3">
        <f t="shared" si="15"/>
        <v>2.0795856462486523E-2</v>
      </c>
    </row>
    <row r="423" spans="1:5" x14ac:dyDescent="0.45">
      <c r="A423" s="2">
        <v>41157</v>
      </c>
      <c r="B423" s="3">
        <v>17313.34</v>
      </c>
      <c r="C423" s="3">
        <v>122.65</v>
      </c>
      <c r="D423" s="3">
        <f t="shared" si="14"/>
        <v>-7.3389999316003729E-3</v>
      </c>
      <c r="E423" s="3">
        <f t="shared" si="15"/>
        <v>-1.0140017930598448E-2</v>
      </c>
    </row>
    <row r="424" spans="1:5" x14ac:dyDescent="0.45">
      <c r="A424" s="2">
        <v>41158</v>
      </c>
      <c r="B424" s="3">
        <v>17346.27</v>
      </c>
      <c r="C424" s="3">
        <v>120.8</v>
      </c>
      <c r="D424" s="3">
        <f t="shared" si="14"/>
        <v>1.9001950632725755E-3</v>
      </c>
      <c r="E424" s="3">
        <f t="shared" si="15"/>
        <v>-1.5198485203783842E-2</v>
      </c>
    </row>
    <row r="425" spans="1:5" x14ac:dyDescent="0.45">
      <c r="A425" s="2">
        <v>41159</v>
      </c>
      <c r="B425" s="3">
        <v>17683.73</v>
      </c>
      <c r="C425" s="3">
        <v>121.95</v>
      </c>
      <c r="D425" s="3">
        <f t="shared" si="14"/>
        <v>1.9267510119158424E-2</v>
      </c>
      <c r="E425" s="3">
        <f t="shared" si="15"/>
        <v>9.4748391612146689E-3</v>
      </c>
    </row>
    <row r="426" spans="1:5" x14ac:dyDescent="0.45">
      <c r="A426" s="2">
        <v>41160</v>
      </c>
      <c r="B426" s="3">
        <v>17749.650000000001</v>
      </c>
      <c r="C426" s="3">
        <v>121.9</v>
      </c>
      <c r="D426" s="3">
        <f t="shared" si="14"/>
        <v>3.7207896086234428E-3</v>
      </c>
      <c r="E426" s="3">
        <f t="shared" si="15"/>
        <v>-4.1008817470344298E-4</v>
      </c>
    </row>
    <row r="427" spans="1:5" x14ac:dyDescent="0.45">
      <c r="A427" s="2">
        <v>41162</v>
      </c>
      <c r="B427" s="3">
        <v>17766.78</v>
      </c>
      <c r="C427" s="3">
        <v>121.7</v>
      </c>
      <c r="D427" s="3">
        <f t="shared" si="14"/>
        <v>9.6462405305299123E-4</v>
      </c>
      <c r="E427" s="3">
        <f t="shared" si="15"/>
        <v>-1.6420364937444099E-3</v>
      </c>
    </row>
    <row r="428" spans="1:5" x14ac:dyDescent="0.45">
      <c r="A428" s="2">
        <v>41163</v>
      </c>
      <c r="B428" s="3">
        <v>17852.95</v>
      </c>
      <c r="C428" s="3">
        <v>120.95</v>
      </c>
      <c r="D428" s="3">
        <f t="shared" si="14"/>
        <v>4.8383392069418999E-3</v>
      </c>
      <c r="E428" s="3">
        <f t="shared" si="15"/>
        <v>-6.1817629374452563E-3</v>
      </c>
    </row>
    <row r="429" spans="1:5" x14ac:dyDescent="0.45">
      <c r="A429" s="2">
        <v>41164</v>
      </c>
      <c r="B429" s="3">
        <v>18000.03</v>
      </c>
      <c r="C429" s="3">
        <v>121.4</v>
      </c>
      <c r="D429" s="3">
        <f t="shared" si="14"/>
        <v>8.2046638842902843E-3</v>
      </c>
      <c r="E429" s="3">
        <f t="shared" si="15"/>
        <v>3.71364156936166E-3</v>
      </c>
    </row>
    <row r="430" spans="1:5" x14ac:dyDescent="0.45">
      <c r="A430" s="2">
        <v>41165</v>
      </c>
      <c r="B430" s="3">
        <v>18021.16</v>
      </c>
      <c r="C430" s="3">
        <v>121.15</v>
      </c>
      <c r="D430" s="3">
        <f t="shared" si="14"/>
        <v>1.1731984658809099E-3</v>
      </c>
      <c r="E430" s="3">
        <f t="shared" si="15"/>
        <v>-2.0614313628631695E-3</v>
      </c>
    </row>
    <row r="431" spans="1:5" x14ac:dyDescent="0.45">
      <c r="A431" s="2">
        <v>41166</v>
      </c>
      <c r="B431" s="3">
        <v>18464.27</v>
      </c>
      <c r="C431" s="3">
        <v>120.05</v>
      </c>
      <c r="D431" s="3">
        <f t="shared" si="14"/>
        <v>2.4290890241709991E-2</v>
      </c>
      <c r="E431" s="3">
        <f t="shared" si="15"/>
        <v>-9.12112459527256E-3</v>
      </c>
    </row>
    <row r="432" spans="1:5" x14ac:dyDescent="0.45">
      <c r="A432" s="2">
        <v>41169</v>
      </c>
      <c r="B432" s="3">
        <v>18542.310000000001</v>
      </c>
      <c r="C432" s="3">
        <v>117.6</v>
      </c>
      <c r="D432" s="3">
        <f t="shared" si="14"/>
        <v>4.2176345765607597E-3</v>
      </c>
      <c r="E432" s="3">
        <f t="shared" si="15"/>
        <v>-2.0619287202735703E-2</v>
      </c>
    </row>
    <row r="433" spans="1:5" x14ac:dyDescent="0.45">
      <c r="A433" s="2">
        <v>41170</v>
      </c>
      <c r="B433" s="3">
        <v>18496.009999999998</v>
      </c>
      <c r="C433" s="3">
        <v>117.7</v>
      </c>
      <c r="D433" s="3">
        <f t="shared" si="14"/>
        <v>-2.5001146983338906E-3</v>
      </c>
      <c r="E433" s="3">
        <f t="shared" si="15"/>
        <v>8.4997880170451618E-4</v>
      </c>
    </row>
    <row r="434" spans="1:5" x14ac:dyDescent="0.45">
      <c r="A434" s="2">
        <v>41172</v>
      </c>
      <c r="B434" s="3">
        <v>18349.25</v>
      </c>
      <c r="C434" s="3">
        <v>116.85</v>
      </c>
      <c r="D434" s="3">
        <f t="shared" si="14"/>
        <v>-7.9663314165660509E-3</v>
      </c>
      <c r="E434" s="3">
        <f t="shared" si="15"/>
        <v>-7.2479532813641079E-3</v>
      </c>
    </row>
    <row r="435" spans="1:5" x14ac:dyDescent="0.45">
      <c r="A435" s="2">
        <v>41173</v>
      </c>
      <c r="B435" s="3">
        <v>18752.830000000002</v>
      </c>
      <c r="C435" s="3">
        <v>120</v>
      </c>
      <c r="D435" s="3">
        <f t="shared" si="14"/>
        <v>2.1755972629769547E-2</v>
      </c>
      <c r="E435" s="3">
        <f t="shared" si="15"/>
        <v>2.6600681797178987E-2</v>
      </c>
    </row>
    <row r="436" spans="1:5" x14ac:dyDescent="0.45">
      <c r="A436" s="2">
        <v>41176</v>
      </c>
      <c r="B436" s="3">
        <v>18673.34</v>
      </c>
      <c r="C436" s="3">
        <v>118.3</v>
      </c>
      <c r="D436" s="3">
        <f t="shared" si="14"/>
        <v>-4.2478361813229355E-3</v>
      </c>
      <c r="E436" s="3">
        <f t="shared" si="15"/>
        <v>-1.4267971797704894E-2</v>
      </c>
    </row>
    <row r="437" spans="1:5" x14ac:dyDescent="0.45">
      <c r="A437" s="2">
        <v>41177</v>
      </c>
      <c r="B437" s="3">
        <v>18694.41</v>
      </c>
      <c r="C437" s="3">
        <v>117.25</v>
      </c>
      <c r="D437" s="3">
        <f t="shared" si="14"/>
        <v>1.1277105114944018E-3</v>
      </c>
      <c r="E437" s="3">
        <f t="shared" si="15"/>
        <v>-8.9153636579522803E-3</v>
      </c>
    </row>
    <row r="438" spans="1:5" x14ac:dyDescent="0.45">
      <c r="A438" s="2">
        <v>41178</v>
      </c>
      <c r="B438" s="3">
        <v>18632.169999999998</v>
      </c>
      <c r="C438" s="3">
        <v>116.8</v>
      </c>
      <c r="D438" s="3">
        <f t="shared" si="14"/>
        <v>-3.3348920626283464E-3</v>
      </c>
      <c r="E438" s="3">
        <f t="shared" si="15"/>
        <v>-3.8453369322620713E-3</v>
      </c>
    </row>
    <row r="439" spans="1:5" x14ac:dyDescent="0.45">
      <c r="A439" s="2">
        <v>41179</v>
      </c>
      <c r="B439" s="3">
        <v>18579.5</v>
      </c>
      <c r="C439" s="3">
        <v>116.75</v>
      </c>
      <c r="D439" s="3">
        <f t="shared" si="14"/>
        <v>-2.8308342610325384E-3</v>
      </c>
      <c r="E439" s="3">
        <f t="shared" si="15"/>
        <v>-4.2817384511997786E-4</v>
      </c>
    </row>
    <row r="440" spans="1:5" x14ac:dyDescent="0.45">
      <c r="A440" s="2">
        <v>41180</v>
      </c>
      <c r="B440" s="3">
        <v>18762.740000000002</v>
      </c>
      <c r="C440" s="3">
        <v>120.35</v>
      </c>
      <c r="D440" s="3">
        <f t="shared" si="14"/>
        <v>9.814165983147799E-3</v>
      </c>
      <c r="E440" s="3">
        <f t="shared" si="15"/>
        <v>3.0369267680074277E-2</v>
      </c>
    </row>
    <row r="441" spans="1:5" x14ac:dyDescent="0.45">
      <c r="A441" s="2">
        <v>41183</v>
      </c>
      <c r="B441" s="3">
        <v>18823.91</v>
      </c>
      <c r="C441" s="3">
        <v>120.1</v>
      </c>
      <c r="D441" s="3">
        <f t="shared" si="14"/>
        <v>3.254881933037931E-3</v>
      </c>
      <c r="E441" s="3">
        <f t="shared" si="15"/>
        <v>-2.0794351431430761E-3</v>
      </c>
    </row>
    <row r="442" spans="1:5" x14ac:dyDescent="0.45">
      <c r="A442" s="2">
        <v>41185</v>
      </c>
      <c r="B442" s="3">
        <v>18869.689999999999</v>
      </c>
      <c r="C442" s="3">
        <v>117.55</v>
      </c>
      <c r="D442" s="3">
        <f t="shared" si="14"/>
        <v>2.4290607694557823E-3</v>
      </c>
      <c r="E442" s="3">
        <f t="shared" si="15"/>
        <v>-2.146095409985934E-2</v>
      </c>
    </row>
    <row r="443" spans="1:5" x14ac:dyDescent="0.45">
      <c r="A443" s="2">
        <v>41186</v>
      </c>
      <c r="B443" s="3">
        <v>19058.150000000001</v>
      </c>
      <c r="C443" s="3">
        <v>117.55</v>
      </c>
      <c r="D443" s="3">
        <f t="shared" si="14"/>
        <v>9.93790055286972E-3</v>
      </c>
      <c r="E443" s="3">
        <f t="shared" si="15"/>
        <v>0</v>
      </c>
    </row>
    <row r="444" spans="1:5" x14ac:dyDescent="0.45">
      <c r="A444" s="2">
        <v>41187</v>
      </c>
      <c r="B444" s="3">
        <v>18938.46</v>
      </c>
      <c r="C444" s="3">
        <v>118.05</v>
      </c>
      <c r="D444" s="3">
        <f t="shared" si="14"/>
        <v>-6.3000565514409572E-3</v>
      </c>
      <c r="E444" s="3">
        <f t="shared" si="15"/>
        <v>4.2444885454433782E-3</v>
      </c>
    </row>
    <row r="445" spans="1:5" x14ac:dyDescent="0.45">
      <c r="A445" s="2">
        <v>41190</v>
      </c>
      <c r="B445" s="3">
        <v>18708.98</v>
      </c>
      <c r="C445" s="3">
        <v>118.7</v>
      </c>
      <c r="D445" s="3">
        <f t="shared" si="14"/>
        <v>-1.2191152555556962E-2</v>
      </c>
      <c r="E445" s="3">
        <f t="shared" si="15"/>
        <v>5.4910380841003735E-3</v>
      </c>
    </row>
    <row r="446" spans="1:5" x14ac:dyDescent="0.45">
      <c r="A446" s="2">
        <v>41191</v>
      </c>
      <c r="B446" s="3">
        <v>18793.36</v>
      </c>
      <c r="C446" s="3">
        <v>120.05</v>
      </c>
      <c r="D446" s="3">
        <f t="shared" si="14"/>
        <v>4.4999934612502106E-3</v>
      </c>
      <c r="E446" s="3">
        <f t="shared" si="15"/>
        <v>1.1309021051639933E-2</v>
      </c>
    </row>
    <row r="447" spans="1:5" x14ac:dyDescent="0.45">
      <c r="A447" s="2">
        <v>41192</v>
      </c>
      <c r="B447" s="3">
        <v>18631.099999999999</v>
      </c>
      <c r="C447" s="3">
        <v>119.35</v>
      </c>
      <c r="D447" s="3">
        <f t="shared" si="14"/>
        <v>-8.6713885375034033E-3</v>
      </c>
      <c r="E447" s="3">
        <f t="shared" si="15"/>
        <v>-5.8479698824230996E-3</v>
      </c>
    </row>
    <row r="448" spans="1:5" x14ac:dyDescent="0.45">
      <c r="A448" s="2">
        <v>41193</v>
      </c>
      <c r="B448" s="3">
        <v>18804.75</v>
      </c>
      <c r="C448" s="3">
        <v>119.45</v>
      </c>
      <c r="D448" s="3">
        <f t="shared" si="14"/>
        <v>9.2772700750824791E-3</v>
      </c>
      <c r="E448" s="3">
        <f t="shared" si="15"/>
        <v>8.3752098697959627E-4</v>
      </c>
    </row>
    <row r="449" spans="1:5" x14ac:dyDescent="0.45">
      <c r="A449" s="2">
        <v>41194</v>
      </c>
      <c r="B449" s="3">
        <v>18675.18</v>
      </c>
      <c r="C449" s="3">
        <v>119.8</v>
      </c>
      <c r="D449" s="3">
        <f t="shared" si="14"/>
        <v>-6.9141279706692697E-3</v>
      </c>
      <c r="E449" s="3">
        <f t="shared" si="15"/>
        <v>2.9258119095302865E-3</v>
      </c>
    </row>
    <row r="450" spans="1:5" x14ac:dyDescent="0.45">
      <c r="A450" s="2">
        <v>41197</v>
      </c>
      <c r="B450" s="3">
        <v>18713.55</v>
      </c>
      <c r="C450" s="3">
        <v>118.75</v>
      </c>
      <c r="D450" s="3">
        <f t="shared" si="14"/>
        <v>2.0524908693163803E-3</v>
      </c>
      <c r="E450" s="3">
        <f t="shared" si="15"/>
        <v>-8.8032427665983484E-3</v>
      </c>
    </row>
    <row r="451" spans="1:5" x14ac:dyDescent="0.45">
      <c r="A451" s="2">
        <v>41198</v>
      </c>
      <c r="B451" s="3">
        <v>18577.7</v>
      </c>
      <c r="C451" s="3">
        <v>118.6</v>
      </c>
      <c r="D451" s="3">
        <f t="shared" si="14"/>
        <v>-7.2859236932164215E-3</v>
      </c>
      <c r="E451" s="3">
        <f t="shared" si="15"/>
        <v>-1.2639563511255252E-3</v>
      </c>
    </row>
    <row r="452" spans="1:5" x14ac:dyDescent="0.45">
      <c r="A452" s="2">
        <v>41199</v>
      </c>
      <c r="B452" s="3">
        <v>18610.77</v>
      </c>
      <c r="C452" s="3">
        <v>119.65</v>
      </c>
      <c r="D452" s="3">
        <f t="shared" si="14"/>
        <v>1.7785086999791055E-3</v>
      </c>
      <c r="E452" s="3">
        <f t="shared" si="15"/>
        <v>8.8143277907572638E-3</v>
      </c>
    </row>
    <row r="453" spans="1:5" x14ac:dyDescent="0.45">
      <c r="A453" s="2">
        <v>41200</v>
      </c>
      <c r="B453" s="3">
        <v>18791.93</v>
      </c>
      <c r="C453" s="3">
        <v>120.45</v>
      </c>
      <c r="D453" s="3">
        <f t="shared" si="14"/>
        <v>9.687076957590298E-3</v>
      </c>
      <c r="E453" s="3">
        <f t="shared" si="15"/>
        <v>6.6639147064980857E-3</v>
      </c>
    </row>
    <row r="454" spans="1:5" x14ac:dyDescent="0.45">
      <c r="A454" s="2">
        <v>41201</v>
      </c>
      <c r="B454" s="3">
        <v>18682.310000000001</v>
      </c>
      <c r="C454" s="3">
        <v>119.2</v>
      </c>
      <c r="D454" s="3">
        <f t="shared" ref="D454:D517" si="16">LN(B454/B453)</f>
        <v>-5.8504355348585951E-3</v>
      </c>
      <c r="E454" s="3">
        <f t="shared" ref="E454:E517" si="17">LN(C454/C453)</f>
        <v>-1.0431974429630991E-2</v>
      </c>
    </row>
    <row r="455" spans="1:5" x14ac:dyDescent="0.45">
      <c r="A455" s="2">
        <v>41204</v>
      </c>
      <c r="B455" s="3">
        <v>18793.439999999999</v>
      </c>
      <c r="C455" s="3">
        <v>118.55</v>
      </c>
      <c r="D455" s="3">
        <f t="shared" si="16"/>
        <v>5.9307859478417669E-3</v>
      </c>
      <c r="E455" s="3">
        <f t="shared" si="17"/>
        <v>-5.4679421198349258E-3</v>
      </c>
    </row>
    <row r="456" spans="1:5" x14ac:dyDescent="0.45">
      <c r="A456" s="2">
        <v>41205</v>
      </c>
      <c r="B456" s="3">
        <v>18710.02</v>
      </c>
      <c r="C456" s="3">
        <v>117.35</v>
      </c>
      <c r="D456" s="3">
        <f t="shared" si="16"/>
        <v>-4.4486635407856804E-3</v>
      </c>
      <c r="E456" s="3">
        <f t="shared" si="17"/>
        <v>-1.0173890214382015E-2</v>
      </c>
    </row>
    <row r="457" spans="1:5" x14ac:dyDescent="0.45">
      <c r="A457" s="2">
        <v>41207</v>
      </c>
      <c r="B457" s="3">
        <v>18758.63</v>
      </c>
      <c r="C457" s="3">
        <v>117</v>
      </c>
      <c r="D457" s="3">
        <f t="shared" si="16"/>
        <v>2.5947039603609174E-3</v>
      </c>
      <c r="E457" s="3">
        <f t="shared" si="17"/>
        <v>-2.9869874992763841E-3</v>
      </c>
    </row>
    <row r="458" spans="1:5" x14ac:dyDescent="0.45">
      <c r="A458" s="2">
        <v>41208</v>
      </c>
      <c r="B458" s="3">
        <v>18625.34</v>
      </c>
      <c r="C458" s="3">
        <v>113.8</v>
      </c>
      <c r="D458" s="3">
        <f t="shared" si="16"/>
        <v>-7.1308940603157242E-3</v>
      </c>
      <c r="E458" s="3">
        <f t="shared" si="17"/>
        <v>-2.7731413105525588E-2</v>
      </c>
    </row>
    <row r="459" spans="1:5" x14ac:dyDescent="0.45">
      <c r="A459" s="2">
        <v>41211</v>
      </c>
      <c r="B459" s="3">
        <v>18635.82</v>
      </c>
      <c r="C459" s="3">
        <v>115.05</v>
      </c>
      <c r="D459" s="3">
        <f t="shared" si="16"/>
        <v>5.6251605029709472E-4</v>
      </c>
      <c r="E459" s="3">
        <f t="shared" si="17"/>
        <v>1.0924294789144287E-2</v>
      </c>
    </row>
    <row r="460" spans="1:5" x14ac:dyDescent="0.45">
      <c r="A460" s="2">
        <v>41212</v>
      </c>
      <c r="B460" s="3">
        <v>18430.849999999999</v>
      </c>
      <c r="C460" s="3">
        <v>113.05</v>
      </c>
      <c r="D460" s="3">
        <f t="shared" si="16"/>
        <v>-1.1059644108861313E-2</v>
      </c>
      <c r="E460" s="3">
        <f t="shared" si="17"/>
        <v>-1.7536617757396053E-2</v>
      </c>
    </row>
    <row r="461" spans="1:5" x14ac:dyDescent="0.45">
      <c r="A461" s="2">
        <v>41213</v>
      </c>
      <c r="B461" s="3">
        <v>18505.38</v>
      </c>
      <c r="C461" s="3">
        <v>114.05</v>
      </c>
      <c r="D461" s="3">
        <f t="shared" si="16"/>
        <v>4.035609543827378E-3</v>
      </c>
      <c r="E461" s="3">
        <f t="shared" si="17"/>
        <v>8.8067500064182239E-3</v>
      </c>
    </row>
    <row r="462" spans="1:5" x14ac:dyDescent="0.45">
      <c r="A462" s="2">
        <v>41214</v>
      </c>
      <c r="B462" s="3">
        <v>18561.7</v>
      </c>
      <c r="C462" s="3">
        <v>116.9</v>
      </c>
      <c r="D462" s="3">
        <f t="shared" si="16"/>
        <v>3.038817373268333E-3</v>
      </c>
      <c r="E462" s="3">
        <f t="shared" si="17"/>
        <v>2.4681919747625663E-2</v>
      </c>
    </row>
    <row r="463" spans="1:5" x14ac:dyDescent="0.45">
      <c r="A463" s="2">
        <v>41215</v>
      </c>
      <c r="B463" s="3">
        <v>18755.45</v>
      </c>
      <c r="C463" s="3">
        <v>117.85</v>
      </c>
      <c r="D463" s="3">
        <f t="shared" si="16"/>
        <v>1.0384058856624462E-2</v>
      </c>
      <c r="E463" s="3">
        <f t="shared" si="17"/>
        <v>8.0937609041172118E-3</v>
      </c>
    </row>
    <row r="464" spans="1:5" x14ac:dyDescent="0.45">
      <c r="A464" s="2">
        <v>41218</v>
      </c>
      <c r="B464" s="3">
        <v>18762.87</v>
      </c>
      <c r="C464" s="3">
        <v>116.9</v>
      </c>
      <c r="D464" s="3">
        <f t="shared" si="16"/>
        <v>3.9554010396712917E-4</v>
      </c>
      <c r="E464" s="3">
        <f t="shared" si="17"/>
        <v>-8.0937609041173437E-3</v>
      </c>
    </row>
    <row r="465" spans="1:5" x14ac:dyDescent="0.45">
      <c r="A465" s="2">
        <v>41219</v>
      </c>
      <c r="B465" s="3">
        <v>18817.38</v>
      </c>
      <c r="C465" s="3">
        <v>119.35</v>
      </c>
      <c r="D465" s="3">
        <f t="shared" si="16"/>
        <v>2.9009939118878536E-3</v>
      </c>
      <c r="E465" s="3">
        <f t="shared" si="17"/>
        <v>2.0741484306816372E-2</v>
      </c>
    </row>
    <row r="466" spans="1:5" x14ac:dyDescent="0.45">
      <c r="A466" s="2">
        <v>41220</v>
      </c>
      <c r="B466" s="3">
        <v>18902.41</v>
      </c>
      <c r="C466" s="3">
        <v>119.5</v>
      </c>
      <c r="D466" s="3">
        <f t="shared" si="16"/>
        <v>4.5085163004192795E-3</v>
      </c>
      <c r="E466" s="3">
        <f t="shared" si="17"/>
        <v>1.2560185867263815E-3</v>
      </c>
    </row>
    <row r="467" spans="1:5" x14ac:dyDescent="0.45">
      <c r="A467" s="2">
        <v>41221</v>
      </c>
      <c r="B467" s="3">
        <v>18846.259999999998</v>
      </c>
      <c r="C467" s="3">
        <v>118.5</v>
      </c>
      <c r="D467" s="3">
        <f t="shared" si="16"/>
        <v>-2.974941443601328E-3</v>
      </c>
      <c r="E467" s="3">
        <f t="shared" si="17"/>
        <v>-8.4034107963795041E-3</v>
      </c>
    </row>
    <row r="468" spans="1:5" x14ac:dyDescent="0.45">
      <c r="A468" s="2">
        <v>41222</v>
      </c>
      <c r="B468" s="3">
        <v>18683.68</v>
      </c>
      <c r="C468" s="3">
        <v>119.3</v>
      </c>
      <c r="D468" s="3">
        <f t="shared" si="16"/>
        <v>-8.6640701807375112E-3</v>
      </c>
      <c r="E468" s="3">
        <f t="shared" si="17"/>
        <v>6.7283685286845148E-3</v>
      </c>
    </row>
    <row r="469" spans="1:5" x14ac:dyDescent="0.45">
      <c r="A469" s="2">
        <v>41225</v>
      </c>
      <c r="B469" s="3">
        <v>18670.34</v>
      </c>
      <c r="C469" s="3">
        <v>119.95</v>
      </c>
      <c r="D469" s="3">
        <f t="shared" si="16"/>
        <v>-7.142471180941601E-4</v>
      </c>
      <c r="E469" s="3">
        <f t="shared" si="17"/>
        <v>5.4336601818330997E-3</v>
      </c>
    </row>
    <row r="470" spans="1:5" x14ac:dyDescent="0.45">
      <c r="A470" s="2">
        <v>41226</v>
      </c>
      <c r="B470" s="3">
        <v>18618.87</v>
      </c>
      <c r="C470" s="3">
        <v>119.2</v>
      </c>
      <c r="D470" s="3">
        <f t="shared" si="16"/>
        <v>-2.7605858470600283E-3</v>
      </c>
      <c r="E470" s="3">
        <f t="shared" si="17"/>
        <v>-6.272234654454186E-3</v>
      </c>
    </row>
    <row r="471" spans="1:5" x14ac:dyDescent="0.45">
      <c r="A471" s="2">
        <v>41228</v>
      </c>
      <c r="B471" s="3">
        <v>18471.37</v>
      </c>
      <c r="C471" s="3">
        <v>119.85</v>
      </c>
      <c r="D471" s="3">
        <f t="shared" si="16"/>
        <v>-7.9536167773655748E-3</v>
      </c>
      <c r="E471" s="3">
        <f t="shared" si="17"/>
        <v>5.4382062491440068E-3</v>
      </c>
    </row>
    <row r="472" spans="1:5" x14ac:dyDescent="0.45">
      <c r="A472" s="2">
        <v>41229</v>
      </c>
      <c r="B472" s="3">
        <v>18309.37</v>
      </c>
      <c r="C472" s="3">
        <v>119.05</v>
      </c>
      <c r="D472" s="3">
        <f t="shared" si="16"/>
        <v>-8.8090151302957463E-3</v>
      </c>
      <c r="E472" s="3">
        <f t="shared" si="17"/>
        <v>-6.6973879475215351E-3</v>
      </c>
    </row>
    <row r="473" spans="1:5" x14ac:dyDescent="0.45">
      <c r="A473" s="2">
        <v>41232</v>
      </c>
      <c r="B473" s="3">
        <v>18339</v>
      </c>
      <c r="C473" s="3">
        <v>120</v>
      </c>
      <c r="D473" s="3">
        <f t="shared" si="16"/>
        <v>1.6169890478630665E-3</v>
      </c>
      <c r="E473" s="3">
        <f t="shared" si="17"/>
        <v>7.9481698491741561E-3</v>
      </c>
    </row>
    <row r="474" spans="1:5" x14ac:dyDescent="0.45">
      <c r="A474" s="2">
        <v>41233</v>
      </c>
      <c r="B474" s="3">
        <v>18329.32</v>
      </c>
      <c r="C474" s="3">
        <v>121.9</v>
      </c>
      <c r="D474" s="3">
        <f t="shared" si="16"/>
        <v>-5.2797620533838441E-4</v>
      </c>
      <c r="E474" s="3">
        <f t="shared" si="17"/>
        <v>1.5709293705179879E-2</v>
      </c>
    </row>
    <row r="475" spans="1:5" x14ac:dyDescent="0.45">
      <c r="A475" s="2">
        <v>41234</v>
      </c>
      <c r="B475" s="3">
        <v>18460.38</v>
      </c>
      <c r="C475" s="3">
        <v>120.25</v>
      </c>
      <c r="D475" s="3">
        <f t="shared" si="16"/>
        <v>7.1248504022313518E-3</v>
      </c>
      <c r="E475" s="3">
        <f t="shared" si="17"/>
        <v>-1.362812750135531E-2</v>
      </c>
    </row>
    <row r="476" spans="1:5" x14ac:dyDescent="0.45">
      <c r="A476" s="2">
        <v>41235</v>
      </c>
      <c r="B476" s="3">
        <v>18517.34</v>
      </c>
      <c r="C476" s="3">
        <v>119.15</v>
      </c>
      <c r="D476" s="3">
        <f t="shared" si="16"/>
        <v>3.0807764811608394E-3</v>
      </c>
      <c r="E476" s="3">
        <f t="shared" si="17"/>
        <v>-9.1897054411194321E-3</v>
      </c>
    </row>
    <row r="477" spans="1:5" x14ac:dyDescent="0.45">
      <c r="A477" s="2">
        <v>41236</v>
      </c>
      <c r="B477" s="3">
        <v>18506.57</v>
      </c>
      <c r="C477" s="3">
        <v>119.5</v>
      </c>
      <c r="D477" s="3">
        <f t="shared" si="16"/>
        <v>-5.8178621889373543E-4</v>
      </c>
      <c r="E477" s="3">
        <f t="shared" si="17"/>
        <v>2.9331678268142247E-3</v>
      </c>
    </row>
    <row r="478" spans="1:5" x14ac:dyDescent="0.45">
      <c r="A478" s="2">
        <v>41239</v>
      </c>
      <c r="B478" s="3">
        <v>18537.009999999998</v>
      </c>
      <c r="C478" s="3">
        <v>120.2</v>
      </c>
      <c r="D478" s="3">
        <f t="shared" si="16"/>
        <v>1.6434700345656732E-3</v>
      </c>
      <c r="E478" s="3">
        <f t="shared" si="17"/>
        <v>5.840650729541829E-3</v>
      </c>
    </row>
    <row r="479" spans="1:5" x14ac:dyDescent="0.45">
      <c r="A479" s="2">
        <v>41240</v>
      </c>
      <c r="B479" s="3">
        <v>18842.080000000002</v>
      </c>
      <c r="C479" s="3">
        <v>118.4</v>
      </c>
      <c r="D479" s="3">
        <f t="shared" si="16"/>
        <v>1.6323392242814361E-2</v>
      </c>
      <c r="E479" s="3">
        <f t="shared" si="17"/>
        <v>-1.5088299651201884E-2</v>
      </c>
    </row>
    <row r="480" spans="1:5" x14ac:dyDescent="0.45">
      <c r="A480" s="2">
        <v>41242</v>
      </c>
      <c r="B480" s="3">
        <v>19170.91</v>
      </c>
      <c r="C480" s="3">
        <v>117.95</v>
      </c>
      <c r="D480" s="3">
        <f t="shared" si="16"/>
        <v>1.7301359484866486E-2</v>
      </c>
      <c r="E480" s="3">
        <f t="shared" si="17"/>
        <v>-3.8079165962212531E-3</v>
      </c>
    </row>
    <row r="481" spans="1:5" x14ac:dyDescent="0.45">
      <c r="A481" s="2">
        <v>41243</v>
      </c>
      <c r="B481" s="3">
        <v>19339.900000000001</v>
      </c>
      <c r="C481" s="3">
        <v>118</v>
      </c>
      <c r="D481" s="3">
        <f t="shared" si="16"/>
        <v>8.7762934448591071E-3</v>
      </c>
      <c r="E481" s="3">
        <f t="shared" si="17"/>
        <v>4.2381861198062754E-4</v>
      </c>
    </row>
    <row r="482" spans="1:5" x14ac:dyDescent="0.45">
      <c r="A482" s="2">
        <v>41246</v>
      </c>
      <c r="B482" s="3">
        <v>19305.32</v>
      </c>
      <c r="C482" s="3">
        <v>118.85</v>
      </c>
      <c r="D482" s="3">
        <f t="shared" si="16"/>
        <v>-1.7896137855685458E-3</v>
      </c>
      <c r="E482" s="3">
        <f t="shared" si="17"/>
        <v>7.1775693405380847E-3</v>
      </c>
    </row>
    <row r="483" spans="1:5" x14ac:dyDescent="0.45">
      <c r="A483" s="2">
        <v>41247</v>
      </c>
      <c r="B483" s="3">
        <v>19348.12</v>
      </c>
      <c r="C483" s="3">
        <v>120.35</v>
      </c>
      <c r="D483" s="3">
        <f t="shared" si="16"/>
        <v>2.214551537549049E-3</v>
      </c>
      <c r="E483" s="3">
        <f t="shared" si="17"/>
        <v>1.2541970422878013E-2</v>
      </c>
    </row>
    <row r="484" spans="1:5" x14ac:dyDescent="0.45">
      <c r="A484" s="2">
        <v>41248</v>
      </c>
      <c r="B484" s="3">
        <v>19391.86</v>
      </c>
      <c r="C484" s="3">
        <v>120.05</v>
      </c>
      <c r="D484" s="3">
        <f t="shared" si="16"/>
        <v>2.2581332559520532E-3</v>
      </c>
      <c r="E484" s="3">
        <f t="shared" si="17"/>
        <v>-2.495841561818746E-3</v>
      </c>
    </row>
    <row r="485" spans="1:5" x14ac:dyDescent="0.45">
      <c r="A485" s="2">
        <v>41249</v>
      </c>
      <c r="B485" s="3">
        <v>19486.8</v>
      </c>
      <c r="C485" s="3">
        <v>120</v>
      </c>
      <c r="D485" s="3">
        <f t="shared" si="16"/>
        <v>4.8839228880087817E-3</v>
      </c>
      <c r="E485" s="3">
        <f t="shared" si="17"/>
        <v>-4.165798852162468E-4</v>
      </c>
    </row>
    <row r="486" spans="1:5" x14ac:dyDescent="0.45">
      <c r="A486" s="2">
        <v>41250</v>
      </c>
      <c r="B486" s="3">
        <v>19424.099999999999</v>
      </c>
      <c r="C486" s="3">
        <v>118.7</v>
      </c>
      <c r="D486" s="3">
        <f t="shared" si="16"/>
        <v>-3.2227501428885104E-3</v>
      </c>
      <c r="E486" s="3">
        <f t="shared" si="17"/>
        <v>-1.0892441166423669E-2</v>
      </c>
    </row>
    <row r="487" spans="1:5" x14ac:dyDescent="0.45">
      <c r="A487" s="2">
        <v>41253</v>
      </c>
      <c r="B487" s="3">
        <v>19409.689999999999</v>
      </c>
      <c r="C487" s="3">
        <v>118.4</v>
      </c>
      <c r="D487" s="3">
        <f t="shared" si="16"/>
        <v>-7.4213722953026158E-4</v>
      </c>
      <c r="E487" s="3">
        <f t="shared" si="17"/>
        <v>-2.5305791657170467E-3</v>
      </c>
    </row>
    <row r="488" spans="1:5" x14ac:dyDescent="0.45">
      <c r="A488" s="2">
        <v>41254</v>
      </c>
      <c r="B488" s="3">
        <v>19387.14</v>
      </c>
      <c r="C488" s="3">
        <v>117.45</v>
      </c>
      <c r="D488" s="3">
        <f t="shared" si="16"/>
        <v>-1.1624662396061819E-3</v>
      </c>
      <c r="E488" s="3">
        <f t="shared" si="17"/>
        <v>-8.0560113449835435E-3</v>
      </c>
    </row>
    <row r="489" spans="1:5" x14ac:dyDescent="0.45">
      <c r="A489" s="2">
        <v>41255</v>
      </c>
      <c r="B489" s="3">
        <v>19355.259999999998</v>
      </c>
      <c r="C489" s="3">
        <v>117.15</v>
      </c>
      <c r="D489" s="3">
        <f t="shared" si="16"/>
        <v>-1.6457425041039454E-3</v>
      </c>
      <c r="E489" s="3">
        <f t="shared" si="17"/>
        <v>-2.5575461511171205E-3</v>
      </c>
    </row>
    <row r="490" spans="1:5" x14ac:dyDescent="0.45">
      <c r="A490" s="2">
        <v>41256</v>
      </c>
      <c r="B490" s="3">
        <v>19229.259999999998</v>
      </c>
      <c r="C490" s="3">
        <v>118.05</v>
      </c>
      <c r="D490" s="3">
        <f t="shared" si="16"/>
        <v>-6.5311398397829628E-3</v>
      </c>
      <c r="E490" s="3">
        <f t="shared" si="17"/>
        <v>7.6530985777172114E-3</v>
      </c>
    </row>
    <row r="491" spans="1:5" x14ac:dyDescent="0.45">
      <c r="A491" s="2">
        <v>41257</v>
      </c>
      <c r="B491" s="3">
        <v>19317.25</v>
      </c>
      <c r="C491" s="3">
        <v>116.25</v>
      </c>
      <c r="D491" s="3">
        <f t="shared" si="16"/>
        <v>4.565401787630808E-3</v>
      </c>
      <c r="E491" s="3">
        <f t="shared" si="17"/>
        <v>-1.5365219064056253E-2</v>
      </c>
    </row>
    <row r="492" spans="1:5" x14ac:dyDescent="0.45">
      <c r="A492" s="2">
        <v>41260</v>
      </c>
      <c r="B492" s="3">
        <v>19244.419999999998</v>
      </c>
      <c r="C492" s="3">
        <v>116.3</v>
      </c>
      <c r="D492" s="3">
        <f t="shared" si="16"/>
        <v>-3.7773305251676812E-3</v>
      </c>
      <c r="E492" s="3">
        <f t="shared" si="17"/>
        <v>4.3001505715310057E-4</v>
      </c>
    </row>
    <row r="493" spans="1:5" x14ac:dyDescent="0.45">
      <c r="A493" s="2">
        <v>41261</v>
      </c>
      <c r="B493" s="3">
        <v>19364.75</v>
      </c>
      <c r="C493" s="3">
        <v>117.2</v>
      </c>
      <c r="D493" s="3">
        <f t="shared" si="16"/>
        <v>6.2332544109507167E-3</v>
      </c>
      <c r="E493" s="3">
        <f t="shared" si="17"/>
        <v>7.7088176182934492E-3</v>
      </c>
    </row>
    <row r="494" spans="1:5" x14ac:dyDescent="0.45">
      <c r="A494" s="2">
        <v>41262</v>
      </c>
      <c r="B494" s="3">
        <v>19476</v>
      </c>
      <c r="C494" s="3">
        <v>116.15</v>
      </c>
      <c r="D494" s="3">
        <f t="shared" si="16"/>
        <v>5.7285353260471536E-3</v>
      </c>
      <c r="E494" s="3">
        <f t="shared" si="17"/>
        <v>-8.9994179264940317E-3</v>
      </c>
    </row>
    <row r="495" spans="1:5" x14ac:dyDescent="0.45">
      <c r="A495" s="2">
        <v>41263</v>
      </c>
      <c r="B495" s="3">
        <v>19453.919999999998</v>
      </c>
      <c r="C495" s="3">
        <v>115.8</v>
      </c>
      <c r="D495" s="3">
        <f t="shared" si="16"/>
        <v>-1.1343461464912257E-3</v>
      </c>
      <c r="E495" s="3">
        <f t="shared" si="17"/>
        <v>-3.017894077523316E-3</v>
      </c>
    </row>
    <row r="496" spans="1:5" x14ac:dyDescent="0.45">
      <c r="A496" s="2">
        <v>41264</v>
      </c>
      <c r="B496" s="3">
        <v>19242</v>
      </c>
      <c r="C496" s="3">
        <v>114.45</v>
      </c>
      <c r="D496" s="3">
        <f t="shared" si="16"/>
        <v>-1.0953202234890389E-2</v>
      </c>
      <c r="E496" s="3">
        <f t="shared" si="17"/>
        <v>-1.1726518740319094E-2</v>
      </c>
    </row>
    <row r="497" spans="1:5" x14ac:dyDescent="0.45">
      <c r="A497" s="2">
        <v>41267</v>
      </c>
      <c r="B497" s="3">
        <v>19255.09</v>
      </c>
      <c r="C497" s="3">
        <v>114.3</v>
      </c>
      <c r="D497" s="3">
        <f t="shared" si="16"/>
        <v>6.8005142749646291E-4</v>
      </c>
      <c r="E497" s="3">
        <f t="shared" si="17"/>
        <v>-1.3114755978107554E-3</v>
      </c>
    </row>
    <row r="498" spans="1:5" x14ac:dyDescent="0.45">
      <c r="A498" s="2">
        <v>41269</v>
      </c>
      <c r="B498" s="3">
        <v>19417.46</v>
      </c>
      <c r="C498" s="3">
        <v>115.1</v>
      </c>
      <c r="D498" s="3">
        <f t="shared" si="16"/>
        <v>8.3972199455492058E-3</v>
      </c>
      <c r="E498" s="3">
        <f t="shared" si="17"/>
        <v>6.9747449270719511E-3</v>
      </c>
    </row>
    <row r="499" spans="1:5" x14ac:dyDescent="0.45">
      <c r="A499" s="2">
        <v>41270</v>
      </c>
      <c r="B499" s="3">
        <v>19323.8</v>
      </c>
      <c r="C499" s="3">
        <v>113.65</v>
      </c>
      <c r="D499" s="3">
        <f t="shared" si="16"/>
        <v>-4.8351644975711044E-3</v>
      </c>
      <c r="E499" s="3">
        <f t="shared" si="17"/>
        <v>-1.2677765429284617E-2</v>
      </c>
    </row>
    <row r="500" spans="1:5" x14ac:dyDescent="0.45">
      <c r="A500" s="2">
        <v>41271</v>
      </c>
      <c r="B500" s="3">
        <v>19444.84</v>
      </c>
      <c r="C500" s="3">
        <v>113.4</v>
      </c>
      <c r="D500" s="3">
        <f t="shared" si="16"/>
        <v>6.2442424229770749E-3</v>
      </c>
      <c r="E500" s="3">
        <f t="shared" si="17"/>
        <v>-2.2021590049005418E-3</v>
      </c>
    </row>
    <row r="501" spans="1:5" x14ac:dyDescent="0.45">
      <c r="A501" s="2">
        <v>41274</v>
      </c>
      <c r="B501" s="3">
        <v>19426.71</v>
      </c>
      <c r="C501" s="3">
        <v>114.5</v>
      </c>
      <c r="D501" s="3">
        <f t="shared" si="16"/>
        <v>-9.328159702736593E-4</v>
      </c>
      <c r="E501" s="3">
        <f t="shared" si="17"/>
        <v>9.6534317006425601E-3</v>
      </c>
    </row>
    <row r="502" spans="1:5" x14ac:dyDescent="0.45">
      <c r="A502" s="2">
        <v>41275</v>
      </c>
      <c r="B502" s="3">
        <v>19580.810000000001</v>
      </c>
      <c r="C502" s="3">
        <v>113.8</v>
      </c>
      <c r="D502" s="3">
        <f t="shared" si="16"/>
        <v>7.9010817230666663E-3</v>
      </c>
      <c r="E502" s="3">
        <f t="shared" si="17"/>
        <v>-6.1323013020638294E-3</v>
      </c>
    </row>
    <row r="503" spans="1:5" x14ac:dyDescent="0.45">
      <c r="A503" s="2">
        <v>41276</v>
      </c>
      <c r="B503" s="3">
        <v>19714.240000000002</v>
      </c>
      <c r="C503" s="3">
        <v>113.25</v>
      </c>
      <c r="D503" s="3">
        <f t="shared" si="16"/>
        <v>6.7912122683058138E-3</v>
      </c>
      <c r="E503" s="3">
        <f t="shared" si="17"/>
        <v>-4.8447573290870821E-3</v>
      </c>
    </row>
    <row r="504" spans="1:5" x14ac:dyDescent="0.45">
      <c r="A504" s="2">
        <v>41277</v>
      </c>
      <c r="B504" s="3">
        <v>19764.78</v>
      </c>
      <c r="C504" s="3">
        <v>114.2</v>
      </c>
      <c r="D504" s="3">
        <f t="shared" si="16"/>
        <v>2.5603486413335566E-3</v>
      </c>
      <c r="E504" s="3">
        <f t="shared" si="17"/>
        <v>8.3535328587663951E-3</v>
      </c>
    </row>
    <row r="505" spans="1:5" x14ac:dyDescent="0.45">
      <c r="A505" s="2">
        <v>41278</v>
      </c>
      <c r="B505" s="3">
        <v>19784.080000000002</v>
      </c>
      <c r="C505" s="3">
        <v>114.9</v>
      </c>
      <c r="D505" s="3">
        <f t="shared" si="16"/>
        <v>9.7600798263662017E-4</v>
      </c>
      <c r="E505" s="3">
        <f t="shared" si="17"/>
        <v>6.1108876328002486E-3</v>
      </c>
    </row>
    <row r="506" spans="1:5" x14ac:dyDescent="0.45">
      <c r="A506" s="2">
        <v>41281</v>
      </c>
      <c r="B506" s="3">
        <v>19691.419999999998</v>
      </c>
      <c r="C506" s="3">
        <v>114.25</v>
      </c>
      <c r="D506" s="3">
        <f t="shared" si="16"/>
        <v>-4.6945660056169321E-3</v>
      </c>
      <c r="E506" s="3">
        <f t="shared" si="17"/>
        <v>-5.6731550803959269E-3</v>
      </c>
    </row>
    <row r="507" spans="1:5" x14ac:dyDescent="0.45">
      <c r="A507" s="2">
        <v>41282</v>
      </c>
      <c r="B507" s="3">
        <v>19742.52</v>
      </c>
      <c r="C507" s="3">
        <v>116.15</v>
      </c>
      <c r="D507" s="3">
        <f t="shared" si="16"/>
        <v>2.5916775550371401E-3</v>
      </c>
      <c r="E507" s="3">
        <f t="shared" si="17"/>
        <v>1.649342944210417E-2</v>
      </c>
    </row>
    <row r="508" spans="1:5" x14ac:dyDescent="0.45">
      <c r="A508" s="2">
        <v>41283</v>
      </c>
      <c r="B508" s="3">
        <v>19666.59</v>
      </c>
      <c r="C508" s="3">
        <v>115.25</v>
      </c>
      <c r="D508" s="3">
        <f t="shared" si="16"/>
        <v>-3.8534285070869504E-3</v>
      </c>
      <c r="E508" s="3">
        <f t="shared" si="17"/>
        <v>-7.778777339660343E-3</v>
      </c>
    </row>
    <row r="509" spans="1:5" x14ac:dyDescent="0.45">
      <c r="A509" s="2">
        <v>41284</v>
      </c>
      <c r="B509" s="3">
        <v>19663.55</v>
      </c>
      <c r="C509" s="3">
        <v>113.9</v>
      </c>
      <c r="D509" s="3">
        <f t="shared" si="16"/>
        <v>-1.5458882201054198E-4</v>
      </c>
      <c r="E509" s="3">
        <f t="shared" si="17"/>
        <v>-1.1782811423621368E-2</v>
      </c>
    </row>
    <row r="510" spans="1:5" x14ac:dyDescent="0.45">
      <c r="A510" s="2">
        <v>41285</v>
      </c>
      <c r="B510" s="3">
        <v>19663.64</v>
      </c>
      <c r="C510" s="3">
        <v>113</v>
      </c>
      <c r="D510" s="3">
        <f t="shared" si="16"/>
        <v>4.5769860495917068E-6</v>
      </c>
      <c r="E510" s="3">
        <f t="shared" si="17"/>
        <v>-7.9330517407959888E-3</v>
      </c>
    </row>
    <row r="511" spans="1:5" x14ac:dyDescent="0.45">
      <c r="A511" s="2">
        <v>41288</v>
      </c>
      <c r="B511" s="3">
        <v>19906.41</v>
      </c>
      <c r="C511" s="3">
        <v>112.15</v>
      </c>
      <c r="D511" s="3">
        <f t="shared" si="16"/>
        <v>1.2270545327778284E-2</v>
      </c>
      <c r="E511" s="3">
        <f t="shared" si="17"/>
        <v>-7.5505577461231783E-3</v>
      </c>
    </row>
    <row r="512" spans="1:5" x14ac:dyDescent="0.45">
      <c r="A512" s="2">
        <v>41289</v>
      </c>
      <c r="B512" s="3">
        <v>19986.82</v>
      </c>
      <c r="C512" s="3">
        <v>111.15</v>
      </c>
      <c r="D512" s="3">
        <f t="shared" si="16"/>
        <v>4.0312659013027842E-3</v>
      </c>
      <c r="E512" s="3">
        <f t="shared" si="17"/>
        <v>-8.9566205560117525E-3</v>
      </c>
    </row>
    <row r="513" spans="1:5" x14ac:dyDescent="0.45">
      <c r="A513" s="2">
        <v>41290</v>
      </c>
      <c r="B513" s="3">
        <v>19817.63</v>
      </c>
      <c r="C513" s="3">
        <v>111.9</v>
      </c>
      <c r="D513" s="3">
        <f t="shared" si="16"/>
        <v>-8.5011107516779084E-3</v>
      </c>
      <c r="E513" s="3">
        <f t="shared" si="17"/>
        <v>6.7249749076739159E-3</v>
      </c>
    </row>
    <row r="514" spans="1:5" x14ac:dyDescent="0.45">
      <c r="A514" s="2">
        <v>41291</v>
      </c>
      <c r="B514" s="3">
        <v>19964.03</v>
      </c>
      <c r="C514" s="3">
        <v>112.55</v>
      </c>
      <c r="D514" s="3">
        <f t="shared" si="16"/>
        <v>7.3602087447335665E-3</v>
      </c>
      <c r="E514" s="3">
        <f t="shared" si="17"/>
        <v>5.7919520348616669E-3</v>
      </c>
    </row>
    <row r="515" spans="1:5" x14ac:dyDescent="0.45">
      <c r="A515" s="2">
        <v>41292</v>
      </c>
      <c r="B515" s="3">
        <v>20039.04</v>
      </c>
      <c r="C515" s="3">
        <v>114.6</v>
      </c>
      <c r="D515" s="3">
        <f t="shared" si="16"/>
        <v>3.7502165665023496E-3</v>
      </c>
      <c r="E515" s="3">
        <f t="shared" si="17"/>
        <v>1.8050236927897877E-2</v>
      </c>
    </row>
    <row r="516" spans="1:5" x14ac:dyDescent="0.45">
      <c r="A516" s="2">
        <v>41295</v>
      </c>
      <c r="B516" s="3">
        <v>20101.82</v>
      </c>
      <c r="C516" s="3">
        <v>113.95</v>
      </c>
      <c r="D516" s="3">
        <f t="shared" si="16"/>
        <v>3.1279873519506722E-3</v>
      </c>
      <c r="E516" s="3">
        <f t="shared" si="17"/>
        <v>-5.6880485889458151E-3</v>
      </c>
    </row>
    <row r="517" spans="1:5" x14ac:dyDescent="0.45">
      <c r="A517" s="2">
        <v>41296</v>
      </c>
      <c r="B517" s="3">
        <v>19981.57</v>
      </c>
      <c r="C517" s="3">
        <v>113.4</v>
      </c>
      <c r="D517" s="3">
        <f t="shared" si="16"/>
        <v>-6.0000095177043392E-3</v>
      </c>
      <c r="E517" s="3">
        <f t="shared" si="17"/>
        <v>-4.8383643980415515E-3</v>
      </c>
    </row>
    <row r="518" spans="1:5" x14ac:dyDescent="0.45">
      <c r="A518" s="2">
        <v>41297</v>
      </c>
      <c r="B518" s="3">
        <v>20026.61</v>
      </c>
      <c r="C518" s="3">
        <v>112.4</v>
      </c>
      <c r="D518" s="3">
        <f t="shared" ref="D518:D581" si="18">LN(B518/B517)</f>
        <v>2.2515405113291988E-3</v>
      </c>
      <c r="E518" s="3">
        <f t="shared" ref="E518:E581" si="19">LN(C518/C517)</f>
        <v>-8.8574538340610524E-3</v>
      </c>
    </row>
    <row r="519" spans="1:5" x14ac:dyDescent="0.45">
      <c r="A519" s="2">
        <v>41298</v>
      </c>
      <c r="B519" s="3">
        <v>19923.78</v>
      </c>
      <c r="C519" s="3">
        <v>110.95</v>
      </c>
      <c r="D519" s="3">
        <f t="shared" si="18"/>
        <v>-5.1478960325524251E-3</v>
      </c>
      <c r="E519" s="3">
        <f t="shared" si="19"/>
        <v>-1.2984288080987746E-2</v>
      </c>
    </row>
    <row r="520" spans="1:5" x14ac:dyDescent="0.45">
      <c r="A520" s="2">
        <v>41299</v>
      </c>
      <c r="B520" s="3">
        <v>20103.53</v>
      </c>
      <c r="C520" s="3">
        <v>111</v>
      </c>
      <c r="D520" s="3">
        <f t="shared" si="18"/>
        <v>8.9814283452303457E-3</v>
      </c>
      <c r="E520" s="3">
        <f t="shared" si="19"/>
        <v>4.5055193373117538E-4</v>
      </c>
    </row>
    <row r="521" spans="1:5" x14ac:dyDescent="0.45">
      <c r="A521" s="2">
        <v>41302</v>
      </c>
      <c r="B521" s="3">
        <v>20103.349999999999</v>
      </c>
      <c r="C521" s="3">
        <v>111.9</v>
      </c>
      <c r="D521" s="3">
        <f t="shared" si="18"/>
        <v>-8.9536915075696103E-6</v>
      </c>
      <c r="E521" s="3">
        <f t="shared" si="19"/>
        <v>8.0754140055455514E-3</v>
      </c>
    </row>
    <row r="522" spans="1:5" x14ac:dyDescent="0.45">
      <c r="A522" s="2">
        <v>41303</v>
      </c>
      <c r="B522" s="3">
        <v>19990.900000000001</v>
      </c>
      <c r="C522" s="3">
        <v>112.2</v>
      </c>
      <c r="D522" s="3">
        <f t="shared" si="18"/>
        <v>-5.6092978342692232E-3</v>
      </c>
      <c r="E522" s="3">
        <f t="shared" si="19"/>
        <v>2.6773777707163942E-3</v>
      </c>
    </row>
    <row r="523" spans="1:5" x14ac:dyDescent="0.45">
      <c r="A523" s="2">
        <v>41304</v>
      </c>
      <c r="B523" s="3">
        <v>20005</v>
      </c>
      <c r="C523" s="3">
        <v>111.45</v>
      </c>
      <c r="D523" s="3">
        <f t="shared" si="18"/>
        <v>7.0507229911685179E-4</v>
      </c>
      <c r="E523" s="3">
        <f t="shared" si="19"/>
        <v>-6.7069332567181051E-3</v>
      </c>
    </row>
    <row r="524" spans="1:5" x14ac:dyDescent="0.45">
      <c r="A524" s="2">
        <v>41305</v>
      </c>
      <c r="B524" s="3">
        <v>19894.98</v>
      </c>
      <c r="C524" s="3">
        <v>110.2</v>
      </c>
      <c r="D524" s="3">
        <f t="shared" si="18"/>
        <v>-5.5148037085196704E-3</v>
      </c>
      <c r="E524" s="3">
        <f t="shared" si="19"/>
        <v>-1.1279163113063716E-2</v>
      </c>
    </row>
    <row r="525" spans="1:5" x14ac:dyDescent="0.45">
      <c r="A525" s="2">
        <v>41306</v>
      </c>
      <c r="B525" s="3">
        <v>19781.189999999999</v>
      </c>
      <c r="C525" s="3">
        <v>110.4</v>
      </c>
      <c r="D525" s="3">
        <f t="shared" si="18"/>
        <v>-5.7359524361846551E-3</v>
      </c>
      <c r="E525" s="3">
        <f t="shared" si="19"/>
        <v>1.8132371241809436E-3</v>
      </c>
    </row>
    <row r="526" spans="1:5" x14ac:dyDescent="0.45">
      <c r="A526" s="2">
        <v>41309</v>
      </c>
      <c r="B526" s="3">
        <v>19751.189999999999</v>
      </c>
      <c r="C526" s="3">
        <v>111</v>
      </c>
      <c r="D526" s="3">
        <f t="shared" si="18"/>
        <v>-1.5177434679552551E-3</v>
      </c>
      <c r="E526" s="3">
        <f t="shared" si="19"/>
        <v>5.4200674693391133E-3</v>
      </c>
    </row>
    <row r="527" spans="1:5" x14ac:dyDescent="0.45">
      <c r="A527" s="2">
        <v>41310</v>
      </c>
      <c r="B527" s="3">
        <v>19659.82</v>
      </c>
      <c r="C527" s="3">
        <v>109.65</v>
      </c>
      <c r="D527" s="3">
        <f t="shared" si="18"/>
        <v>-4.636783665413105E-3</v>
      </c>
      <c r="E527" s="3">
        <f t="shared" si="19"/>
        <v>-1.2236726448436921E-2</v>
      </c>
    </row>
    <row r="528" spans="1:5" x14ac:dyDescent="0.45">
      <c r="A528" s="2">
        <v>41311</v>
      </c>
      <c r="B528" s="3">
        <v>19639.72</v>
      </c>
      <c r="C528" s="3">
        <v>109.3</v>
      </c>
      <c r="D528" s="3">
        <f t="shared" si="18"/>
        <v>-1.0229128255768744E-3</v>
      </c>
      <c r="E528" s="3">
        <f t="shared" si="19"/>
        <v>-3.1970796814044223E-3</v>
      </c>
    </row>
    <row r="529" spans="1:5" x14ac:dyDescent="0.45">
      <c r="A529" s="2">
        <v>41312</v>
      </c>
      <c r="B529" s="3">
        <v>19580.32</v>
      </c>
      <c r="C529" s="3">
        <v>111.45</v>
      </c>
      <c r="D529" s="3">
        <f t="shared" si="18"/>
        <v>-3.0290660293786878E-3</v>
      </c>
      <c r="E529" s="3">
        <f t="shared" si="19"/>
        <v>1.9479664649384981E-2</v>
      </c>
    </row>
    <row r="530" spans="1:5" x14ac:dyDescent="0.45">
      <c r="A530" s="2">
        <v>41313</v>
      </c>
      <c r="B530" s="3">
        <v>19484.77</v>
      </c>
      <c r="C530" s="3">
        <v>111.25</v>
      </c>
      <c r="D530" s="3">
        <f t="shared" si="18"/>
        <v>-4.8918454069223349E-3</v>
      </c>
      <c r="E530" s="3">
        <f t="shared" si="19"/>
        <v>-1.7961387855282989E-3</v>
      </c>
    </row>
    <row r="531" spans="1:5" x14ac:dyDescent="0.45">
      <c r="A531" s="2">
        <v>41316</v>
      </c>
      <c r="B531" s="3">
        <v>19460.57</v>
      </c>
      <c r="C531" s="3">
        <v>112.25</v>
      </c>
      <c r="D531" s="3">
        <f t="shared" si="18"/>
        <v>-1.2427675873254716E-3</v>
      </c>
      <c r="E531" s="3">
        <f t="shared" si="19"/>
        <v>8.9486055760140144E-3</v>
      </c>
    </row>
    <row r="532" spans="1:5" x14ac:dyDescent="0.45">
      <c r="A532" s="2">
        <v>41317</v>
      </c>
      <c r="B532" s="3">
        <v>19561.04</v>
      </c>
      <c r="C532" s="3">
        <v>112.85</v>
      </c>
      <c r="D532" s="3">
        <f t="shared" si="18"/>
        <v>5.149465745440251E-3</v>
      </c>
      <c r="E532" s="3">
        <f t="shared" si="19"/>
        <v>5.3309766411810192E-3</v>
      </c>
    </row>
    <row r="533" spans="1:5" x14ac:dyDescent="0.45">
      <c r="A533" s="2">
        <v>41318</v>
      </c>
      <c r="B533" s="3">
        <v>19608.080000000002</v>
      </c>
      <c r="C533" s="3">
        <v>110.05</v>
      </c>
      <c r="D533" s="3">
        <f t="shared" si="18"/>
        <v>2.4018932574863552E-3</v>
      </c>
      <c r="E533" s="3">
        <f t="shared" si="19"/>
        <v>-2.5124695291074004E-2</v>
      </c>
    </row>
    <row r="534" spans="1:5" x14ac:dyDescent="0.45">
      <c r="A534" s="2">
        <v>41319</v>
      </c>
      <c r="B534" s="3">
        <v>19497.18</v>
      </c>
      <c r="C534" s="3">
        <v>105.85</v>
      </c>
      <c r="D534" s="3">
        <f t="shared" si="18"/>
        <v>-5.671886457576044E-3</v>
      </c>
      <c r="E534" s="3">
        <f t="shared" si="19"/>
        <v>-3.8911810391596559E-2</v>
      </c>
    </row>
    <row r="535" spans="1:5" x14ac:dyDescent="0.45">
      <c r="A535" s="2">
        <v>41320</v>
      </c>
      <c r="B535" s="3">
        <v>19468.150000000001</v>
      </c>
      <c r="C535" s="3">
        <v>105.45</v>
      </c>
      <c r="D535" s="3">
        <f t="shared" si="18"/>
        <v>-1.4900428340321322E-3</v>
      </c>
      <c r="E535" s="3">
        <f t="shared" si="19"/>
        <v>-3.7860906560904721E-3</v>
      </c>
    </row>
    <row r="536" spans="1:5" x14ac:dyDescent="0.45">
      <c r="A536" s="2">
        <v>41323</v>
      </c>
      <c r="B536" s="3">
        <v>19501.080000000002</v>
      </c>
      <c r="C536" s="3">
        <v>108.3</v>
      </c>
      <c r="D536" s="3">
        <f t="shared" si="18"/>
        <v>1.6900517581740445E-3</v>
      </c>
      <c r="E536" s="3">
        <f t="shared" si="19"/>
        <v>2.6668247082161273E-2</v>
      </c>
    </row>
    <row r="537" spans="1:5" x14ac:dyDescent="0.45">
      <c r="A537" s="2">
        <v>41324</v>
      </c>
      <c r="B537" s="3">
        <v>19635.72</v>
      </c>
      <c r="C537" s="3">
        <v>108.3</v>
      </c>
      <c r="D537" s="3">
        <f t="shared" si="18"/>
        <v>6.8805079193989304E-3</v>
      </c>
      <c r="E537" s="3">
        <f t="shared" si="19"/>
        <v>0</v>
      </c>
    </row>
    <row r="538" spans="1:5" x14ac:dyDescent="0.45">
      <c r="A538" s="2">
        <v>41325</v>
      </c>
      <c r="B538" s="3">
        <v>19642.75</v>
      </c>
      <c r="C538" s="3">
        <v>108.1</v>
      </c>
      <c r="D538" s="3">
        <f t="shared" si="18"/>
        <v>3.5795692016847032E-4</v>
      </c>
      <c r="E538" s="3">
        <f t="shared" si="19"/>
        <v>-1.8484293617823161E-3</v>
      </c>
    </row>
    <row r="539" spans="1:5" x14ac:dyDescent="0.45">
      <c r="A539" s="2">
        <v>41326</v>
      </c>
      <c r="B539" s="3">
        <v>19325.36</v>
      </c>
      <c r="C539" s="3">
        <v>107.05</v>
      </c>
      <c r="D539" s="3">
        <f t="shared" si="18"/>
        <v>-1.6290090471733264E-2</v>
      </c>
      <c r="E539" s="3">
        <f t="shared" si="19"/>
        <v>-9.7607096094707285E-3</v>
      </c>
    </row>
    <row r="540" spans="1:5" x14ac:dyDescent="0.45">
      <c r="A540" s="2">
        <v>41327</v>
      </c>
      <c r="B540" s="3">
        <v>19317.009999999998</v>
      </c>
      <c r="C540" s="3">
        <v>109.05</v>
      </c>
      <c r="D540" s="3">
        <f t="shared" si="18"/>
        <v>-4.3216811649810985E-4</v>
      </c>
      <c r="E540" s="3">
        <f t="shared" si="19"/>
        <v>1.85104776119463E-2</v>
      </c>
    </row>
    <row r="541" spans="1:5" x14ac:dyDescent="0.45">
      <c r="A541" s="2">
        <v>41330</v>
      </c>
      <c r="B541" s="3">
        <v>19331.689999999999</v>
      </c>
      <c r="C541" s="3">
        <v>112</v>
      </c>
      <c r="D541" s="3">
        <f t="shared" si="18"/>
        <v>7.5966336285420203E-4</v>
      </c>
      <c r="E541" s="3">
        <f t="shared" si="19"/>
        <v>2.6692378647456428E-2</v>
      </c>
    </row>
    <row r="542" spans="1:5" x14ac:dyDescent="0.45">
      <c r="A542" s="2">
        <v>41331</v>
      </c>
      <c r="B542" s="3">
        <v>19015.14</v>
      </c>
      <c r="C542" s="3">
        <v>111</v>
      </c>
      <c r="D542" s="3">
        <f t="shared" si="18"/>
        <v>-1.651021430401883E-2</v>
      </c>
      <c r="E542" s="3">
        <f t="shared" si="19"/>
        <v>-8.9686699827603751E-3</v>
      </c>
    </row>
    <row r="543" spans="1:5" x14ac:dyDescent="0.45">
      <c r="A543" s="2">
        <v>41332</v>
      </c>
      <c r="B543" s="3">
        <v>19152.41</v>
      </c>
      <c r="C543" s="3">
        <v>109.15</v>
      </c>
      <c r="D543" s="3">
        <f t="shared" si="18"/>
        <v>7.1930523107714426E-3</v>
      </c>
      <c r="E543" s="3">
        <f t="shared" si="19"/>
        <v>-1.6807118316381174E-2</v>
      </c>
    </row>
    <row r="544" spans="1:5" x14ac:dyDescent="0.45">
      <c r="A544" s="2">
        <v>41333</v>
      </c>
      <c r="B544" s="3">
        <v>18861.54</v>
      </c>
      <c r="C544" s="3">
        <v>104.2</v>
      </c>
      <c r="D544" s="3">
        <f t="shared" si="18"/>
        <v>-1.5303628105772592E-2</v>
      </c>
      <c r="E544" s="3">
        <f t="shared" si="19"/>
        <v>-4.6410953676686434E-2</v>
      </c>
    </row>
    <row r="545" spans="1:5" x14ac:dyDescent="0.45">
      <c r="A545" s="2">
        <v>41334</v>
      </c>
      <c r="B545" s="3">
        <v>18918.52</v>
      </c>
      <c r="C545" s="3">
        <v>107.85</v>
      </c>
      <c r="D545" s="3">
        <f t="shared" si="18"/>
        <v>3.0164082960029335E-3</v>
      </c>
      <c r="E545" s="3">
        <f t="shared" si="19"/>
        <v>3.4429243515898655E-2</v>
      </c>
    </row>
    <row r="546" spans="1:5" x14ac:dyDescent="0.45">
      <c r="A546" s="2">
        <v>41337</v>
      </c>
      <c r="B546" s="3">
        <v>18877.96</v>
      </c>
      <c r="C546" s="3">
        <v>108.45</v>
      </c>
      <c r="D546" s="3">
        <f t="shared" si="18"/>
        <v>-2.1462324306041206E-3</v>
      </c>
      <c r="E546" s="3">
        <f t="shared" si="19"/>
        <v>5.5478644377181833E-3</v>
      </c>
    </row>
    <row r="547" spans="1:5" x14ac:dyDescent="0.45">
      <c r="A547" s="2">
        <v>41338</v>
      </c>
      <c r="B547" s="3">
        <v>19143.169999999998</v>
      </c>
      <c r="C547" s="3">
        <v>108.55</v>
      </c>
      <c r="D547" s="3">
        <f t="shared" si="18"/>
        <v>1.3950890013646388E-2</v>
      </c>
      <c r="E547" s="3">
        <f t="shared" si="19"/>
        <v>9.2165905141746178E-4</v>
      </c>
    </row>
    <row r="548" spans="1:5" x14ac:dyDescent="0.45">
      <c r="A548" s="2">
        <v>41339</v>
      </c>
      <c r="B548" s="3">
        <v>19252.61</v>
      </c>
      <c r="C548" s="3">
        <v>107.55</v>
      </c>
      <c r="D548" s="3">
        <f t="shared" si="18"/>
        <v>5.7006419130113967E-3</v>
      </c>
      <c r="E548" s="3">
        <f t="shared" si="19"/>
        <v>-9.2550406105617808E-3</v>
      </c>
    </row>
    <row r="549" spans="1:5" x14ac:dyDescent="0.45">
      <c r="A549" s="2">
        <v>41340</v>
      </c>
      <c r="B549" s="3">
        <v>19413.54</v>
      </c>
      <c r="C549" s="3">
        <v>108.25</v>
      </c>
      <c r="D549" s="3">
        <f t="shared" si="18"/>
        <v>8.3241248094109502E-3</v>
      </c>
      <c r="E549" s="3">
        <f t="shared" si="19"/>
        <v>6.4875111688602249E-3</v>
      </c>
    </row>
    <row r="550" spans="1:5" x14ac:dyDescent="0.45">
      <c r="A550" s="2">
        <v>41341</v>
      </c>
      <c r="B550" s="3">
        <v>19683.23</v>
      </c>
      <c r="C550" s="3">
        <v>109.95</v>
      </c>
      <c r="D550" s="3">
        <f t="shared" si="18"/>
        <v>1.3796243405113989E-2</v>
      </c>
      <c r="E550" s="3">
        <f t="shared" si="19"/>
        <v>1.5582350118170963E-2</v>
      </c>
    </row>
    <row r="551" spans="1:5" x14ac:dyDescent="0.45">
      <c r="A551" s="2">
        <v>41344</v>
      </c>
      <c r="B551" s="3">
        <v>19646.21</v>
      </c>
      <c r="C551" s="3">
        <v>110.3</v>
      </c>
      <c r="D551" s="3">
        <f t="shared" si="18"/>
        <v>-1.8825597787985816E-3</v>
      </c>
      <c r="E551" s="3">
        <f t="shared" si="19"/>
        <v>3.178209258686534E-3</v>
      </c>
    </row>
    <row r="552" spans="1:5" x14ac:dyDescent="0.45">
      <c r="A552" s="2">
        <v>41345</v>
      </c>
      <c r="B552" s="3">
        <v>19564.919999999998</v>
      </c>
      <c r="C552" s="3">
        <v>109.5</v>
      </c>
      <c r="D552" s="3">
        <f t="shared" si="18"/>
        <v>-4.1462776746733643E-3</v>
      </c>
      <c r="E552" s="3">
        <f t="shared" si="19"/>
        <v>-7.2793770029012479E-3</v>
      </c>
    </row>
    <row r="553" spans="1:5" x14ac:dyDescent="0.45">
      <c r="A553" s="2">
        <v>41346</v>
      </c>
      <c r="B553" s="3">
        <v>19362.55</v>
      </c>
      <c r="C553" s="3">
        <v>109.75</v>
      </c>
      <c r="D553" s="3">
        <f t="shared" si="18"/>
        <v>-1.0397378668873129E-2</v>
      </c>
      <c r="E553" s="3">
        <f t="shared" si="19"/>
        <v>2.2805026987253031E-3</v>
      </c>
    </row>
    <row r="554" spans="1:5" x14ac:dyDescent="0.45">
      <c r="A554" s="2">
        <v>41347</v>
      </c>
      <c r="B554" s="3">
        <v>19570.439999999999</v>
      </c>
      <c r="C554" s="3">
        <v>109.7</v>
      </c>
      <c r="D554" s="3">
        <f t="shared" si="18"/>
        <v>1.0679476497364207E-2</v>
      </c>
      <c r="E554" s="3">
        <f t="shared" si="19"/>
        <v>-4.5568467409612439E-4</v>
      </c>
    </row>
    <row r="555" spans="1:5" x14ac:dyDescent="0.45">
      <c r="A555" s="2">
        <v>41348</v>
      </c>
      <c r="B555" s="3">
        <v>19427.560000000001</v>
      </c>
      <c r="C555" s="3">
        <v>108.7</v>
      </c>
      <c r="D555" s="3">
        <f t="shared" si="18"/>
        <v>-7.3275880460837543E-3</v>
      </c>
      <c r="E555" s="3">
        <f t="shared" si="19"/>
        <v>-9.1575731540208434E-3</v>
      </c>
    </row>
    <row r="556" spans="1:5" x14ac:dyDescent="0.45">
      <c r="A556" s="2">
        <v>41351</v>
      </c>
      <c r="B556" s="3">
        <v>19293.2</v>
      </c>
      <c r="C556" s="3">
        <v>108.45</v>
      </c>
      <c r="D556" s="3">
        <f t="shared" si="18"/>
        <v>-6.9399742808428783E-3</v>
      </c>
      <c r="E556" s="3">
        <f t="shared" si="19"/>
        <v>-2.3025568542803729E-3</v>
      </c>
    </row>
    <row r="557" spans="1:5" x14ac:dyDescent="0.45">
      <c r="A557" s="2">
        <v>41352</v>
      </c>
      <c r="B557" s="3">
        <v>19008.099999999999</v>
      </c>
      <c r="C557" s="3">
        <v>106.85</v>
      </c>
      <c r="D557" s="3">
        <f t="shared" si="18"/>
        <v>-1.4887498112102346E-2</v>
      </c>
      <c r="E557" s="3">
        <f t="shared" si="19"/>
        <v>-1.4863255507726818E-2</v>
      </c>
    </row>
    <row r="558" spans="1:5" x14ac:dyDescent="0.45">
      <c r="A558" s="2">
        <v>41353</v>
      </c>
      <c r="B558" s="3">
        <v>18884.189999999999</v>
      </c>
      <c r="C558" s="3">
        <v>104.45</v>
      </c>
      <c r="D558" s="3">
        <f t="shared" si="18"/>
        <v>-6.5401400480685091E-3</v>
      </c>
      <c r="E558" s="3">
        <f t="shared" si="19"/>
        <v>-2.2717493762581777E-2</v>
      </c>
    </row>
    <row r="559" spans="1:5" x14ac:dyDescent="0.45">
      <c r="A559" s="2">
        <v>41354</v>
      </c>
      <c r="B559" s="3">
        <v>18792.87</v>
      </c>
      <c r="C559" s="3">
        <v>101.75</v>
      </c>
      <c r="D559" s="3">
        <f t="shared" si="18"/>
        <v>-4.8475214798206351E-3</v>
      </c>
      <c r="E559" s="3">
        <f t="shared" si="19"/>
        <v>-2.6189663679870443E-2</v>
      </c>
    </row>
    <row r="560" spans="1:5" x14ac:dyDescent="0.45">
      <c r="A560" s="2">
        <v>41355</v>
      </c>
      <c r="B560" s="3">
        <v>18735.599999999999</v>
      </c>
      <c r="C560" s="3">
        <v>102.5</v>
      </c>
      <c r="D560" s="3">
        <f t="shared" si="18"/>
        <v>-3.0520852279296391E-3</v>
      </c>
      <c r="E560" s="3">
        <f t="shared" si="19"/>
        <v>7.3439742557585052E-3</v>
      </c>
    </row>
    <row r="561" spans="1:5" x14ac:dyDescent="0.45">
      <c r="A561" s="2">
        <v>41358</v>
      </c>
      <c r="B561" s="3">
        <v>18681.419999999998</v>
      </c>
      <c r="C561" s="3">
        <v>103.85</v>
      </c>
      <c r="D561" s="3">
        <f t="shared" si="18"/>
        <v>-2.8960103111759848E-3</v>
      </c>
      <c r="E561" s="3">
        <f t="shared" si="19"/>
        <v>1.3084751743658455E-2</v>
      </c>
    </row>
    <row r="562" spans="1:5" x14ac:dyDescent="0.45">
      <c r="A562" s="2">
        <v>41359</v>
      </c>
      <c r="B562" s="3">
        <v>18704.53</v>
      </c>
      <c r="C562" s="3">
        <v>105</v>
      </c>
      <c r="D562" s="3">
        <f t="shared" si="18"/>
        <v>1.2362934708618455E-3</v>
      </c>
      <c r="E562" s="3">
        <f t="shared" si="19"/>
        <v>1.101279983540202E-2</v>
      </c>
    </row>
    <row r="563" spans="1:5" x14ac:dyDescent="0.45">
      <c r="A563" s="2">
        <v>41361</v>
      </c>
      <c r="B563" s="3">
        <v>18835.77</v>
      </c>
      <c r="C563" s="3">
        <v>105.95</v>
      </c>
      <c r="D563" s="3">
        <f t="shared" si="18"/>
        <v>6.9919811332961766E-3</v>
      </c>
      <c r="E563" s="3">
        <f t="shared" si="19"/>
        <v>9.00693455678463E-3</v>
      </c>
    </row>
    <row r="564" spans="1:5" x14ac:dyDescent="0.45">
      <c r="A564" s="2">
        <v>41365</v>
      </c>
      <c r="B564" s="3">
        <v>18864.75</v>
      </c>
      <c r="C564" s="3">
        <v>105.4</v>
      </c>
      <c r="D564" s="3">
        <f t="shared" si="18"/>
        <v>1.5373796280761457E-3</v>
      </c>
      <c r="E564" s="3">
        <f t="shared" si="19"/>
        <v>-5.2046486070460776E-3</v>
      </c>
    </row>
    <row r="565" spans="1:5" x14ac:dyDescent="0.45">
      <c r="A565" s="2">
        <v>41366</v>
      </c>
      <c r="B565" s="3">
        <v>19040.95</v>
      </c>
      <c r="C565" s="3">
        <v>106.65</v>
      </c>
      <c r="D565" s="3">
        <f t="shared" si="18"/>
        <v>9.2968218020942541E-3</v>
      </c>
      <c r="E565" s="3">
        <f t="shared" si="19"/>
        <v>1.1789808810097717E-2</v>
      </c>
    </row>
    <row r="566" spans="1:5" x14ac:dyDescent="0.45">
      <c r="A566" s="2">
        <v>41367</v>
      </c>
      <c r="B566" s="3">
        <v>18801.64</v>
      </c>
      <c r="C566" s="3">
        <v>106.2</v>
      </c>
      <c r="D566" s="3">
        <f t="shared" si="18"/>
        <v>-1.2647823002701663E-2</v>
      </c>
      <c r="E566" s="3">
        <f t="shared" si="19"/>
        <v>-4.2283361095211761E-3</v>
      </c>
    </row>
    <row r="567" spans="1:5" x14ac:dyDescent="0.45">
      <c r="A567" s="2">
        <v>41368</v>
      </c>
      <c r="B567" s="3">
        <v>18509.7</v>
      </c>
      <c r="C567" s="3">
        <v>104.45</v>
      </c>
      <c r="D567" s="3">
        <f t="shared" si="18"/>
        <v>-1.5649181075154454E-2</v>
      </c>
      <c r="E567" s="3">
        <f t="shared" si="19"/>
        <v>-1.6615620805263673E-2</v>
      </c>
    </row>
    <row r="568" spans="1:5" x14ac:dyDescent="0.45">
      <c r="A568" s="2">
        <v>41369</v>
      </c>
      <c r="B568" s="3">
        <v>18450.23</v>
      </c>
      <c r="C568" s="3">
        <v>104.85</v>
      </c>
      <c r="D568" s="3">
        <f t="shared" si="18"/>
        <v>-3.2180824651385693E-3</v>
      </c>
      <c r="E568" s="3">
        <f t="shared" si="19"/>
        <v>3.8222693453541894E-3</v>
      </c>
    </row>
    <row r="569" spans="1:5" x14ac:dyDescent="0.45">
      <c r="A569" s="2">
        <v>41372</v>
      </c>
      <c r="B569" s="3">
        <v>18437.78</v>
      </c>
      <c r="C569" s="3">
        <v>104.4</v>
      </c>
      <c r="D569" s="3">
        <f t="shared" si="18"/>
        <v>-6.7501610809226893E-4</v>
      </c>
      <c r="E569" s="3">
        <f t="shared" si="19"/>
        <v>-4.3010818993904736E-3</v>
      </c>
    </row>
    <row r="570" spans="1:5" x14ac:dyDescent="0.45">
      <c r="A570" s="2">
        <v>41373</v>
      </c>
      <c r="B570" s="3">
        <v>18226.48</v>
      </c>
      <c r="C570" s="3">
        <v>103.45</v>
      </c>
      <c r="D570" s="3">
        <f t="shared" si="18"/>
        <v>-1.1526338694743623E-2</v>
      </c>
      <c r="E570" s="3">
        <f t="shared" si="19"/>
        <v>-9.1412712569863292E-3</v>
      </c>
    </row>
    <row r="571" spans="1:5" x14ac:dyDescent="0.45">
      <c r="A571" s="2">
        <v>41374</v>
      </c>
      <c r="B571" s="3">
        <v>18414.45</v>
      </c>
      <c r="C571" s="3">
        <v>104.4</v>
      </c>
      <c r="D571" s="3">
        <f t="shared" si="18"/>
        <v>1.0260200764056485E-2</v>
      </c>
      <c r="E571" s="3">
        <f t="shared" si="19"/>
        <v>9.1412712569862529E-3</v>
      </c>
    </row>
    <row r="572" spans="1:5" x14ac:dyDescent="0.45">
      <c r="A572" s="2">
        <v>41375</v>
      </c>
      <c r="B572" s="3">
        <v>18542.2</v>
      </c>
      <c r="C572" s="3">
        <v>103.25</v>
      </c>
      <c r="D572" s="3">
        <f t="shared" si="18"/>
        <v>6.9135329548445298E-3</v>
      </c>
      <c r="E572" s="3">
        <f t="shared" si="19"/>
        <v>-1.1076443607396246E-2</v>
      </c>
    </row>
    <row r="573" spans="1:5" x14ac:dyDescent="0.45">
      <c r="A573" s="2">
        <v>41376</v>
      </c>
      <c r="B573" s="3">
        <v>18242.560000000001</v>
      </c>
      <c r="C573" s="3">
        <v>105.55</v>
      </c>
      <c r="D573" s="3">
        <f t="shared" si="18"/>
        <v>-1.6291889774445803E-2</v>
      </c>
      <c r="E573" s="3">
        <f t="shared" si="19"/>
        <v>2.2031542453187447E-2</v>
      </c>
    </row>
    <row r="574" spans="1:5" x14ac:dyDescent="0.45">
      <c r="A574" s="2">
        <v>41379</v>
      </c>
      <c r="B574" s="3">
        <v>18357.8</v>
      </c>
      <c r="C574" s="3">
        <v>104</v>
      </c>
      <c r="D574" s="3">
        <f t="shared" si="18"/>
        <v>6.2972266294941499E-3</v>
      </c>
      <c r="E574" s="3">
        <f t="shared" si="19"/>
        <v>-1.4793875152956928E-2</v>
      </c>
    </row>
    <row r="575" spans="1:5" x14ac:dyDescent="0.45">
      <c r="A575" s="2">
        <v>41380</v>
      </c>
      <c r="B575" s="3">
        <v>18744.93</v>
      </c>
      <c r="C575" s="3">
        <v>106.85</v>
      </c>
      <c r="D575" s="3">
        <f t="shared" si="18"/>
        <v>2.0868763547138597E-2</v>
      </c>
      <c r="E575" s="3">
        <f t="shared" si="19"/>
        <v>2.7035082623783974E-2</v>
      </c>
    </row>
    <row r="576" spans="1:5" x14ac:dyDescent="0.45">
      <c r="A576" s="2">
        <v>41381</v>
      </c>
      <c r="B576" s="3">
        <v>18731.16</v>
      </c>
      <c r="C576" s="3">
        <v>107.15</v>
      </c>
      <c r="D576" s="3">
        <f t="shared" si="18"/>
        <v>-7.3486858525997391E-4</v>
      </c>
      <c r="E576" s="3">
        <f t="shared" si="19"/>
        <v>2.8037401544295714E-3</v>
      </c>
    </row>
    <row r="577" spans="1:5" x14ac:dyDescent="0.45">
      <c r="A577" s="2">
        <v>41382</v>
      </c>
      <c r="B577" s="3">
        <v>19016.46</v>
      </c>
      <c r="C577" s="3">
        <v>106.7</v>
      </c>
      <c r="D577" s="3">
        <f t="shared" si="18"/>
        <v>1.5116472654485763E-2</v>
      </c>
      <c r="E577" s="3">
        <f t="shared" si="19"/>
        <v>-4.2085636118783408E-3</v>
      </c>
    </row>
    <row r="578" spans="1:5" x14ac:dyDescent="0.45">
      <c r="A578" s="2">
        <v>41386</v>
      </c>
      <c r="B578" s="3">
        <v>19169.830000000002</v>
      </c>
      <c r="C578" s="3">
        <v>109.4</v>
      </c>
      <c r="D578" s="3">
        <f t="shared" si="18"/>
        <v>8.0327690743054216E-3</v>
      </c>
      <c r="E578" s="3">
        <f t="shared" si="19"/>
        <v>2.498973168017312E-2</v>
      </c>
    </row>
    <row r="579" spans="1:5" x14ac:dyDescent="0.45">
      <c r="A579" s="2">
        <v>41387</v>
      </c>
      <c r="B579" s="3">
        <v>19179.36</v>
      </c>
      <c r="C579" s="3">
        <v>109.7</v>
      </c>
      <c r="D579" s="3">
        <f t="shared" si="18"/>
        <v>4.9701181152320205E-4</v>
      </c>
      <c r="E579" s="3">
        <f t="shared" si="19"/>
        <v>2.7384772933037706E-3</v>
      </c>
    </row>
    <row r="580" spans="1:5" x14ac:dyDescent="0.45">
      <c r="A580" s="2">
        <v>41389</v>
      </c>
      <c r="B580" s="3">
        <v>19406.849999999999</v>
      </c>
      <c r="C580" s="3">
        <v>109.8</v>
      </c>
      <c r="D580" s="3">
        <f t="shared" si="18"/>
        <v>1.1791395723397791E-2</v>
      </c>
      <c r="E580" s="3">
        <f t="shared" si="19"/>
        <v>9.1116179424564371E-4</v>
      </c>
    </row>
    <row r="581" spans="1:5" x14ac:dyDescent="0.45">
      <c r="A581" s="2">
        <v>41390</v>
      </c>
      <c r="B581" s="3">
        <v>19286.72</v>
      </c>
      <c r="C581" s="3">
        <v>109.65</v>
      </c>
      <c r="D581" s="3">
        <f t="shared" si="18"/>
        <v>-6.2093203586036996E-3</v>
      </c>
      <c r="E581" s="3">
        <f t="shared" si="19"/>
        <v>-1.3670542115330011E-3</v>
      </c>
    </row>
    <row r="582" spans="1:5" x14ac:dyDescent="0.45">
      <c r="A582" s="2">
        <v>41393</v>
      </c>
      <c r="B582" s="3">
        <v>19387.5</v>
      </c>
      <c r="C582" s="3">
        <v>110.7</v>
      </c>
      <c r="D582" s="3">
        <f t="shared" ref="D582:D645" si="20">LN(B582/B581)</f>
        <v>5.2117523310601984E-3</v>
      </c>
      <c r="E582" s="3">
        <f t="shared" ref="E582:E645" si="21">LN(C582/C581)</f>
        <v>9.5303648506940616E-3</v>
      </c>
    </row>
    <row r="583" spans="1:5" x14ac:dyDescent="0.45">
      <c r="A583" s="2">
        <v>41394</v>
      </c>
      <c r="B583" s="3">
        <v>19504.18</v>
      </c>
      <c r="C583" s="3">
        <v>112.2</v>
      </c>
      <c r="D583" s="3">
        <f t="shared" si="20"/>
        <v>6.0002730698006258E-3</v>
      </c>
      <c r="E583" s="3">
        <f t="shared" si="21"/>
        <v>1.3459153374004711E-2</v>
      </c>
    </row>
    <row r="584" spans="1:5" x14ac:dyDescent="0.45">
      <c r="A584" s="2">
        <v>41396</v>
      </c>
      <c r="B584" s="3">
        <v>19735.77</v>
      </c>
      <c r="C584" s="3">
        <v>114.8</v>
      </c>
      <c r="D584" s="3">
        <f t="shared" si="20"/>
        <v>1.1803923756127783E-2</v>
      </c>
      <c r="E584" s="3">
        <f t="shared" si="21"/>
        <v>2.2908490796870122E-2</v>
      </c>
    </row>
    <row r="585" spans="1:5" x14ac:dyDescent="0.45">
      <c r="A585" s="2">
        <v>41397</v>
      </c>
      <c r="B585" s="3">
        <v>19575.64</v>
      </c>
      <c r="C585" s="3">
        <v>112</v>
      </c>
      <c r="D585" s="3">
        <f t="shared" si="20"/>
        <v>-8.1467892224519143E-3</v>
      </c>
      <c r="E585" s="3">
        <f t="shared" si="21"/>
        <v>-2.4692612590371522E-2</v>
      </c>
    </row>
    <row r="586" spans="1:5" x14ac:dyDescent="0.45">
      <c r="A586" s="2">
        <v>41400</v>
      </c>
      <c r="B586" s="3">
        <v>19673.64</v>
      </c>
      <c r="C586" s="3">
        <v>112.1</v>
      </c>
      <c r="D586" s="3">
        <f t="shared" si="20"/>
        <v>4.9937325553518807E-3</v>
      </c>
      <c r="E586" s="3">
        <f t="shared" si="21"/>
        <v>8.924587830195697E-4</v>
      </c>
    </row>
    <row r="587" spans="1:5" x14ac:dyDescent="0.45">
      <c r="A587" s="2">
        <v>41401</v>
      </c>
      <c r="B587" s="3">
        <v>19888.95</v>
      </c>
      <c r="C587" s="3">
        <v>112.75</v>
      </c>
      <c r="D587" s="3">
        <f t="shared" si="20"/>
        <v>1.088463246402761E-2</v>
      </c>
      <c r="E587" s="3">
        <f t="shared" si="21"/>
        <v>5.7816483046734752E-3</v>
      </c>
    </row>
    <row r="588" spans="1:5" x14ac:dyDescent="0.45">
      <c r="A588" s="2">
        <v>41402</v>
      </c>
      <c r="B588" s="3">
        <v>19990.18</v>
      </c>
      <c r="C588" s="3">
        <v>114.6</v>
      </c>
      <c r="D588" s="3">
        <f t="shared" si="20"/>
        <v>5.0768518485061614E-3</v>
      </c>
      <c r="E588" s="3">
        <f t="shared" si="21"/>
        <v>1.6274825897851414E-2</v>
      </c>
    </row>
    <row r="589" spans="1:5" x14ac:dyDescent="0.45">
      <c r="A589" s="2">
        <v>41403</v>
      </c>
      <c r="B589" s="3">
        <v>19939.04</v>
      </c>
      <c r="C589" s="3">
        <v>113.4</v>
      </c>
      <c r="D589" s="3">
        <f t="shared" si="20"/>
        <v>-2.5615340326075866E-3</v>
      </c>
      <c r="E589" s="3">
        <f t="shared" si="21"/>
        <v>-1.0526412986987392E-2</v>
      </c>
    </row>
    <row r="590" spans="1:5" x14ac:dyDescent="0.45">
      <c r="A590" s="2">
        <v>41404</v>
      </c>
      <c r="B590" s="3">
        <v>20082.62</v>
      </c>
      <c r="C590" s="3">
        <v>112.25</v>
      </c>
      <c r="D590" s="3">
        <f t="shared" si="20"/>
        <v>7.1751454582405306E-3</v>
      </c>
      <c r="E590" s="3">
        <f t="shared" si="21"/>
        <v>-1.0192864671288035E-2</v>
      </c>
    </row>
    <row r="591" spans="1:5" x14ac:dyDescent="0.45">
      <c r="A591" s="2">
        <v>41405</v>
      </c>
      <c r="B591" s="3">
        <v>20122.32</v>
      </c>
      <c r="C591" s="3">
        <v>112.2</v>
      </c>
      <c r="D591" s="3">
        <f t="shared" si="20"/>
        <v>1.974882335505611E-3</v>
      </c>
      <c r="E591" s="3">
        <f t="shared" si="21"/>
        <v>-4.4553353376765878E-4</v>
      </c>
    </row>
    <row r="592" spans="1:5" x14ac:dyDescent="0.45">
      <c r="A592" s="2">
        <v>41407</v>
      </c>
      <c r="B592" s="3">
        <v>19691.669999999998</v>
      </c>
      <c r="C592" s="3">
        <v>112.25</v>
      </c>
      <c r="D592" s="3">
        <f t="shared" si="20"/>
        <v>-2.1633943053966945E-2</v>
      </c>
      <c r="E592" s="3">
        <f t="shared" si="21"/>
        <v>4.4553353376777208E-4</v>
      </c>
    </row>
    <row r="593" spans="1:5" x14ac:dyDescent="0.45">
      <c r="A593" s="2">
        <v>41408</v>
      </c>
      <c r="B593" s="3">
        <v>19722.29</v>
      </c>
      <c r="C593" s="3">
        <v>114.15</v>
      </c>
      <c r="D593" s="3">
        <f t="shared" si="20"/>
        <v>1.5537645118731303E-3</v>
      </c>
      <c r="E593" s="3">
        <f t="shared" si="21"/>
        <v>1.6784846353440915E-2</v>
      </c>
    </row>
    <row r="594" spans="1:5" x14ac:dyDescent="0.45">
      <c r="A594" s="2">
        <v>41409</v>
      </c>
      <c r="B594" s="3">
        <v>20212.96</v>
      </c>
      <c r="C594" s="3">
        <v>113.7</v>
      </c>
      <c r="D594" s="3">
        <f t="shared" si="20"/>
        <v>2.4574514645383957E-2</v>
      </c>
      <c r="E594" s="3">
        <f t="shared" si="21"/>
        <v>-3.9499722193141558E-3</v>
      </c>
    </row>
    <row r="595" spans="1:5" x14ac:dyDescent="0.45">
      <c r="A595" s="2">
        <v>41410</v>
      </c>
      <c r="B595" s="3">
        <v>20247.330000000002</v>
      </c>
      <c r="C595" s="3">
        <v>113.7</v>
      </c>
      <c r="D595" s="3">
        <f t="shared" si="20"/>
        <v>1.6989501690285924E-3</v>
      </c>
      <c r="E595" s="3">
        <f t="shared" si="21"/>
        <v>0</v>
      </c>
    </row>
    <row r="596" spans="1:5" x14ac:dyDescent="0.45">
      <c r="A596" s="2">
        <v>41411</v>
      </c>
      <c r="B596" s="3">
        <v>20286.12</v>
      </c>
      <c r="C596" s="3">
        <v>116</v>
      </c>
      <c r="D596" s="3">
        <f t="shared" si="20"/>
        <v>1.9139753384733059E-3</v>
      </c>
      <c r="E596" s="3">
        <f t="shared" si="21"/>
        <v>2.0026790349874243E-2</v>
      </c>
    </row>
    <row r="597" spans="1:5" x14ac:dyDescent="0.45">
      <c r="A597" s="2">
        <v>41414</v>
      </c>
      <c r="B597" s="3">
        <v>20223.98</v>
      </c>
      <c r="C597" s="3">
        <v>114.2</v>
      </c>
      <c r="D597" s="3">
        <f t="shared" si="20"/>
        <v>-3.0678793060427718E-3</v>
      </c>
      <c r="E597" s="3">
        <f t="shared" si="21"/>
        <v>-1.5638893884454778E-2</v>
      </c>
    </row>
    <row r="598" spans="1:5" x14ac:dyDescent="0.45">
      <c r="A598" s="2">
        <v>41415</v>
      </c>
      <c r="B598" s="3">
        <v>20111.61</v>
      </c>
      <c r="C598" s="3">
        <v>112.5</v>
      </c>
      <c r="D598" s="3">
        <f t="shared" si="20"/>
        <v>-5.5717687881459994E-3</v>
      </c>
      <c r="E598" s="3">
        <f t="shared" si="21"/>
        <v>-1.4998075577435009E-2</v>
      </c>
    </row>
    <row r="599" spans="1:5" x14ac:dyDescent="0.45">
      <c r="A599" s="2">
        <v>41416</v>
      </c>
      <c r="B599" s="3">
        <v>20062.240000000002</v>
      </c>
      <c r="C599" s="3">
        <v>112.65</v>
      </c>
      <c r="D599" s="3">
        <f t="shared" si="20"/>
        <v>-2.4578189470592826E-3</v>
      </c>
      <c r="E599" s="3">
        <f t="shared" si="21"/>
        <v>1.3324452337786948E-3</v>
      </c>
    </row>
    <row r="600" spans="1:5" x14ac:dyDescent="0.45">
      <c r="A600" s="2">
        <v>41417</v>
      </c>
      <c r="B600" s="3">
        <v>19674.330000000002</v>
      </c>
      <c r="C600" s="3">
        <v>110.25</v>
      </c>
      <c r="D600" s="3">
        <f t="shared" si="20"/>
        <v>-1.9524700948281293E-2</v>
      </c>
      <c r="E600" s="3">
        <f t="shared" si="21"/>
        <v>-2.1535152551298103E-2</v>
      </c>
    </row>
    <row r="601" spans="1:5" x14ac:dyDescent="0.45">
      <c r="A601" s="2">
        <v>41418</v>
      </c>
      <c r="B601" s="3">
        <v>19704.330000000002</v>
      </c>
      <c r="C601" s="3">
        <v>109</v>
      </c>
      <c r="D601" s="3">
        <f t="shared" si="20"/>
        <v>1.5236681900253539E-3</v>
      </c>
      <c r="E601" s="3">
        <f t="shared" si="21"/>
        <v>-1.1402632097811649E-2</v>
      </c>
    </row>
    <row r="602" spans="1:5" x14ac:dyDescent="0.45">
      <c r="A602" s="2">
        <v>41421</v>
      </c>
      <c r="B602" s="3">
        <v>20030.77</v>
      </c>
      <c r="C602" s="3">
        <v>111.9</v>
      </c>
      <c r="D602" s="3">
        <f t="shared" si="20"/>
        <v>1.6431182728888521E-2</v>
      </c>
      <c r="E602" s="3">
        <f t="shared" si="21"/>
        <v>2.625773308873593E-2</v>
      </c>
    </row>
    <row r="603" spans="1:5" x14ac:dyDescent="0.45">
      <c r="A603" s="2">
        <v>41422</v>
      </c>
      <c r="B603" s="3">
        <v>20160.82</v>
      </c>
      <c r="C603" s="3">
        <v>112.5</v>
      </c>
      <c r="D603" s="3">
        <f t="shared" si="20"/>
        <v>6.4715257038187599E-3</v>
      </c>
      <c r="E603" s="3">
        <f t="shared" si="21"/>
        <v>5.3476063265952773E-3</v>
      </c>
    </row>
    <row r="604" spans="1:5" x14ac:dyDescent="0.45">
      <c r="A604" s="2">
        <v>41423</v>
      </c>
      <c r="B604" s="3">
        <v>20147.64</v>
      </c>
      <c r="C604" s="3">
        <v>113.35</v>
      </c>
      <c r="D604" s="3">
        <f t="shared" si="20"/>
        <v>-6.5395703381939166E-4</v>
      </c>
      <c r="E604" s="3">
        <f t="shared" si="21"/>
        <v>7.5271553090631603E-3</v>
      </c>
    </row>
    <row r="605" spans="1:5" x14ac:dyDescent="0.45">
      <c r="A605" s="2">
        <v>41424</v>
      </c>
      <c r="B605" s="3">
        <v>20215.400000000001</v>
      </c>
      <c r="C605" s="3">
        <v>114.3</v>
      </c>
      <c r="D605" s="3">
        <f t="shared" si="20"/>
        <v>3.3575302383030549E-3</v>
      </c>
      <c r="E605" s="3">
        <f t="shared" si="21"/>
        <v>8.3461938472270038E-3</v>
      </c>
    </row>
    <row r="606" spans="1:5" x14ac:dyDescent="0.45">
      <c r="A606" s="2">
        <v>41425</v>
      </c>
      <c r="B606" s="3">
        <v>19760.3</v>
      </c>
      <c r="C606" s="3">
        <v>113.45</v>
      </c>
      <c r="D606" s="3">
        <f t="shared" si="20"/>
        <v>-2.2769815792928451E-2</v>
      </c>
      <c r="E606" s="3">
        <f t="shared" si="21"/>
        <v>-7.464359574914212E-3</v>
      </c>
    </row>
    <row r="607" spans="1:5" x14ac:dyDescent="0.45">
      <c r="A607" s="2">
        <v>41428</v>
      </c>
      <c r="B607" s="3">
        <v>19610.48</v>
      </c>
      <c r="C607" s="3">
        <v>111.3</v>
      </c>
      <c r="D607" s="3">
        <f t="shared" si="20"/>
        <v>-7.6107571745216967E-3</v>
      </c>
      <c r="E607" s="3">
        <f t="shared" si="21"/>
        <v>-1.9132952944351658E-2</v>
      </c>
    </row>
    <row r="608" spans="1:5" x14ac:dyDescent="0.45">
      <c r="A608" s="2">
        <v>41429</v>
      </c>
      <c r="B608" s="3">
        <v>19545.78</v>
      </c>
      <c r="C608" s="3">
        <v>113.05</v>
      </c>
      <c r="D608" s="3">
        <f t="shared" si="20"/>
        <v>-3.3047108627328715E-3</v>
      </c>
      <c r="E608" s="3">
        <f t="shared" si="21"/>
        <v>1.560094044247981E-2</v>
      </c>
    </row>
    <row r="609" spans="1:5" x14ac:dyDescent="0.45">
      <c r="A609" s="2">
        <v>41430</v>
      </c>
      <c r="B609" s="3">
        <v>19568.22</v>
      </c>
      <c r="C609" s="3">
        <v>112.35</v>
      </c>
      <c r="D609" s="3">
        <f t="shared" si="20"/>
        <v>1.1474153736244354E-3</v>
      </c>
      <c r="E609" s="3">
        <f t="shared" si="21"/>
        <v>-6.2112000926407476E-3</v>
      </c>
    </row>
    <row r="610" spans="1:5" x14ac:dyDescent="0.45">
      <c r="A610" s="2">
        <v>41431</v>
      </c>
      <c r="B610" s="3">
        <v>19519.490000000002</v>
      </c>
      <c r="C610" s="3">
        <v>111.9</v>
      </c>
      <c r="D610" s="3">
        <f t="shared" si="20"/>
        <v>-2.493368132629395E-3</v>
      </c>
      <c r="E610" s="3">
        <f t="shared" si="21"/>
        <v>-4.0133833134585644E-3</v>
      </c>
    </row>
    <row r="611" spans="1:5" x14ac:dyDescent="0.45">
      <c r="A611" s="2">
        <v>41432</v>
      </c>
      <c r="B611" s="3">
        <v>19429.23</v>
      </c>
      <c r="C611" s="3">
        <v>110.55</v>
      </c>
      <c r="D611" s="3">
        <f t="shared" si="20"/>
        <v>-4.6348204293790163E-3</v>
      </c>
      <c r="E611" s="3">
        <f t="shared" si="21"/>
        <v>-1.2137708014424367E-2</v>
      </c>
    </row>
    <row r="612" spans="1:5" x14ac:dyDescent="0.45">
      <c r="A612" s="2">
        <v>41435</v>
      </c>
      <c r="B612" s="3">
        <v>19441.07</v>
      </c>
      <c r="C612" s="3">
        <v>109.9</v>
      </c>
      <c r="D612" s="3">
        <f t="shared" si="20"/>
        <v>6.0920550477792511E-4</v>
      </c>
      <c r="E612" s="3">
        <f t="shared" si="21"/>
        <v>-5.8970458938795963E-3</v>
      </c>
    </row>
    <row r="613" spans="1:5" x14ac:dyDescent="0.45">
      <c r="A613" s="2">
        <v>41436</v>
      </c>
      <c r="B613" s="3">
        <v>19143</v>
      </c>
      <c r="C613" s="3">
        <v>108</v>
      </c>
      <c r="D613" s="3">
        <f t="shared" si="20"/>
        <v>-1.5450725115528238E-2</v>
      </c>
      <c r="E613" s="3">
        <f t="shared" si="21"/>
        <v>-1.7439634285356078E-2</v>
      </c>
    </row>
    <row r="614" spans="1:5" x14ac:dyDescent="0.45">
      <c r="A614" s="2">
        <v>41437</v>
      </c>
      <c r="B614" s="3">
        <v>19041.13</v>
      </c>
      <c r="C614" s="3">
        <v>107.85</v>
      </c>
      <c r="D614" s="3">
        <f t="shared" si="20"/>
        <v>-5.3357372126712193E-3</v>
      </c>
      <c r="E614" s="3">
        <f t="shared" si="21"/>
        <v>-1.3898542890544128E-3</v>
      </c>
    </row>
    <row r="615" spans="1:5" x14ac:dyDescent="0.45">
      <c r="A615" s="2">
        <v>41438</v>
      </c>
      <c r="B615" s="3">
        <v>18827.16</v>
      </c>
      <c r="C615" s="3">
        <v>105.7</v>
      </c>
      <c r="D615" s="3">
        <f t="shared" si="20"/>
        <v>-1.1300868202083697E-2</v>
      </c>
      <c r="E615" s="3">
        <f t="shared" si="21"/>
        <v>-2.0136479958973344E-2</v>
      </c>
    </row>
    <row r="616" spans="1:5" x14ac:dyDescent="0.45">
      <c r="A616" s="2">
        <v>41439</v>
      </c>
      <c r="B616" s="3">
        <v>19177.93</v>
      </c>
      <c r="C616" s="3">
        <v>108.65</v>
      </c>
      <c r="D616" s="3">
        <f t="shared" si="20"/>
        <v>1.8459630569620505E-2</v>
      </c>
      <c r="E616" s="3">
        <f t="shared" si="21"/>
        <v>2.7526813826246787E-2</v>
      </c>
    </row>
    <row r="617" spans="1:5" x14ac:dyDescent="0.45">
      <c r="A617" s="2">
        <v>41442</v>
      </c>
      <c r="B617" s="3">
        <v>19325.87</v>
      </c>
      <c r="C617" s="3">
        <v>108</v>
      </c>
      <c r="D617" s="3">
        <f t="shared" si="20"/>
        <v>7.684474155873363E-3</v>
      </c>
      <c r="E617" s="3">
        <f t="shared" si="21"/>
        <v>-6.000479578218961E-3</v>
      </c>
    </row>
    <row r="618" spans="1:5" x14ac:dyDescent="0.45">
      <c r="A618" s="2">
        <v>41443</v>
      </c>
      <c r="B618" s="3">
        <v>19223.28</v>
      </c>
      <c r="C618" s="3">
        <v>108</v>
      </c>
      <c r="D618" s="3">
        <f t="shared" si="20"/>
        <v>-5.3225683157993448E-3</v>
      </c>
      <c r="E618" s="3">
        <f t="shared" si="21"/>
        <v>0</v>
      </c>
    </row>
    <row r="619" spans="1:5" x14ac:dyDescent="0.45">
      <c r="A619" s="2">
        <v>41444</v>
      </c>
      <c r="B619" s="3">
        <v>19245.7</v>
      </c>
      <c r="C619" s="3">
        <v>107.3</v>
      </c>
      <c r="D619" s="3">
        <f t="shared" si="20"/>
        <v>1.1656146088836505E-3</v>
      </c>
      <c r="E619" s="3">
        <f t="shared" si="21"/>
        <v>-6.5025774875669571E-3</v>
      </c>
    </row>
    <row r="620" spans="1:5" x14ac:dyDescent="0.45">
      <c r="A620" s="2">
        <v>41445</v>
      </c>
      <c r="B620" s="3">
        <v>18719.29</v>
      </c>
      <c r="C620" s="3">
        <v>105.9</v>
      </c>
      <c r="D620" s="3">
        <f t="shared" si="20"/>
        <v>-2.7733116178384247E-2</v>
      </c>
      <c r="E620" s="3">
        <f t="shared" si="21"/>
        <v>-1.3133397029291893E-2</v>
      </c>
    </row>
    <row r="621" spans="1:5" x14ac:dyDescent="0.45">
      <c r="A621" s="2">
        <v>41446</v>
      </c>
      <c r="B621" s="3">
        <v>18774.240000000002</v>
      </c>
      <c r="C621" s="3">
        <v>107.15</v>
      </c>
      <c r="D621" s="3">
        <f t="shared" si="20"/>
        <v>2.9311744902763286E-3</v>
      </c>
      <c r="E621" s="3">
        <f t="shared" si="21"/>
        <v>1.1734469312225328E-2</v>
      </c>
    </row>
    <row r="622" spans="1:5" x14ac:dyDescent="0.45">
      <c r="A622" s="2">
        <v>41449</v>
      </c>
      <c r="B622" s="3">
        <v>18540.89</v>
      </c>
      <c r="C622" s="3">
        <v>106</v>
      </c>
      <c r="D622" s="3">
        <f t="shared" si="20"/>
        <v>-1.2507154169501477E-2</v>
      </c>
      <c r="E622" s="3">
        <f t="shared" si="21"/>
        <v>-1.0790627807518988E-2</v>
      </c>
    </row>
    <row r="623" spans="1:5" x14ac:dyDescent="0.45">
      <c r="A623" s="2">
        <v>41450</v>
      </c>
      <c r="B623" s="3">
        <v>18629.150000000001</v>
      </c>
      <c r="C623" s="3">
        <v>103.2</v>
      </c>
      <c r="D623" s="3">
        <f t="shared" si="20"/>
        <v>4.7489949366160602E-3</v>
      </c>
      <c r="E623" s="3">
        <f t="shared" si="21"/>
        <v>-2.677024106460478E-2</v>
      </c>
    </row>
    <row r="624" spans="1:5" x14ac:dyDescent="0.45">
      <c r="A624" s="2">
        <v>41451</v>
      </c>
      <c r="B624" s="3">
        <v>18552.12</v>
      </c>
      <c r="C624" s="3">
        <v>105.75</v>
      </c>
      <c r="D624" s="3">
        <f t="shared" si="20"/>
        <v>-4.1434899995343687E-3</v>
      </c>
      <c r="E624" s="3">
        <f t="shared" si="21"/>
        <v>2.4408964878924928E-2</v>
      </c>
    </row>
    <row r="625" spans="1:5" x14ac:dyDescent="0.45">
      <c r="A625" s="2">
        <v>41452</v>
      </c>
      <c r="B625" s="3">
        <v>18875.95</v>
      </c>
      <c r="C625" s="3">
        <v>106.45</v>
      </c>
      <c r="D625" s="3">
        <f t="shared" si="20"/>
        <v>1.7304556756732589E-2</v>
      </c>
      <c r="E625" s="3">
        <f t="shared" si="21"/>
        <v>6.5975734131011356E-3</v>
      </c>
    </row>
    <row r="626" spans="1:5" x14ac:dyDescent="0.45">
      <c r="A626" s="2">
        <v>41453</v>
      </c>
      <c r="B626" s="3">
        <v>19395.810000000001</v>
      </c>
      <c r="C626" s="3">
        <v>110.95</v>
      </c>
      <c r="D626" s="3">
        <f t="shared" si="20"/>
        <v>2.7168438366586129E-2</v>
      </c>
      <c r="E626" s="3">
        <f t="shared" si="21"/>
        <v>4.1404258039114378E-2</v>
      </c>
    </row>
    <row r="627" spans="1:5" x14ac:dyDescent="0.45">
      <c r="A627" s="2">
        <v>41456</v>
      </c>
      <c r="B627" s="3">
        <v>19577.39</v>
      </c>
      <c r="C627" s="3">
        <v>112.55</v>
      </c>
      <c r="D627" s="3">
        <f t="shared" si="20"/>
        <v>9.3182655713065065E-3</v>
      </c>
      <c r="E627" s="3">
        <f t="shared" si="21"/>
        <v>1.4317917974138328E-2</v>
      </c>
    </row>
    <row r="628" spans="1:5" x14ac:dyDescent="0.45">
      <c r="A628" s="2">
        <v>41457</v>
      </c>
      <c r="B628" s="3">
        <v>19463.82</v>
      </c>
      <c r="C628" s="3">
        <v>111.15</v>
      </c>
      <c r="D628" s="3">
        <f t="shared" si="20"/>
        <v>-5.8179713359506119E-3</v>
      </c>
      <c r="E628" s="3">
        <f t="shared" si="21"/>
        <v>-1.2516926942535643E-2</v>
      </c>
    </row>
    <row r="629" spans="1:5" x14ac:dyDescent="0.45">
      <c r="A629" s="2">
        <v>41458</v>
      </c>
      <c r="B629" s="3">
        <v>19177.759999999998</v>
      </c>
      <c r="C629" s="3">
        <v>108.35</v>
      </c>
      <c r="D629" s="3">
        <f t="shared" si="20"/>
        <v>-1.480608328245258E-2</v>
      </c>
      <c r="E629" s="3">
        <f t="shared" si="21"/>
        <v>-2.5513912427837657E-2</v>
      </c>
    </row>
    <row r="630" spans="1:5" x14ac:dyDescent="0.45">
      <c r="A630" s="2">
        <v>41459</v>
      </c>
      <c r="B630" s="3">
        <v>19410.84</v>
      </c>
      <c r="C630" s="3">
        <v>107.6</v>
      </c>
      <c r="D630" s="3">
        <f t="shared" si="20"/>
        <v>1.2080398592188775E-2</v>
      </c>
      <c r="E630" s="3">
        <f t="shared" si="21"/>
        <v>-6.9460802546840068E-3</v>
      </c>
    </row>
    <row r="631" spans="1:5" x14ac:dyDescent="0.45">
      <c r="A631" s="2">
        <v>41460</v>
      </c>
      <c r="B631" s="3">
        <v>19495.82</v>
      </c>
      <c r="C631" s="3">
        <v>107.5</v>
      </c>
      <c r="D631" s="3">
        <f t="shared" si="20"/>
        <v>4.3684107111474323E-3</v>
      </c>
      <c r="E631" s="3">
        <f t="shared" si="21"/>
        <v>-9.298001599665276E-4</v>
      </c>
    </row>
    <row r="632" spans="1:5" x14ac:dyDescent="0.45">
      <c r="A632" s="2">
        <v>41463</v>
      </c>
      <c r="B632" s="3">
        <v>19324.77</v>
      </c>
      <c r="C632" s="3">
        <v>105.45</v>
      </c>
      <c r="D632" s="3">
        <f t="shared" si="20"/>
        <v>-8.8123908962726809E-3</v>
      </c>
      <c r="E632" s="3">
        <f t="shared" si="21"/>
        <v>-1.9253940642933818E-2</v>
      </c>
    </row>
    <row r="633" spans="1:5" x14ac:dyDescent="0.45">
      <c r="A633" s="2">
        <v>41464</v>
      </c>
      <c r="B633" s="3">
        <v>19439.48</v>
      </c>
      <c r="C633" s="3">
        <v>109.5</v>
      </c>
      <c r="D633" s="3">
        <f t="shared" si="20"/>
        <v>5.9183569824387793E-3</v>
      </c>
      <c r="E633" s="3">
        <f t="shared" si="21"/>
        <v>3.7687642331771902E-2</v>
      </c>
    </row>
    <row r="634" spans="1:5" x14ac:dyDescent="0.45">
      <c r="A634" s="2">
        <v>41465</v>
      </c>
      <c r="B634" s="3">
        <v>19294.12</v>
      </c>
      <c r="C634" s="3">
        <v>108.15</v>
      </c>
      <c r="D634" s="3">
        <f t="shared" si="20"/>
        <v>-7.5056634241997718E-3</v>
      </c>
      <c r="E634" s="3">
        <f t="shared" si="21"/>
        <v>-1.240539685748763E-2</v>
      </c>
    </row>
    <row r="635" spans="1:5" x14ac:dyDescent="0.45">
      <c r="A635" s="2">
        <v>41466</v>
      </c>
      <c r="B635" s="3">
        <v>19676.060000000001</v>
      </c>
      <c r="C635" s="3">
        <v>110.05</v>
      </c>
      <c r="D635" s="3">
        <f t="shared" si="20"/>
        <v>1.9602282049588911E-2</v>
      </c>
      <c r="E635" s="3">
        <f t="shared" si="21"/>
        <v>1.741565557340282E-2</v>
      </c>
    </row>
    <row r="636" spans="1:5" x14ac:dyDescent="0.45">
      <c r="A636" s="2">
        <v>41467</v>
      </c>
      <c r="B636" s="3">
        <v>19958.47</v>
      </c>
      <c r="C636" s="3">
        <v>109.85</v>
      </c>
      <c r="D636" s="3">
        <f t="shared" si="20"/>
        <v>1.4250946309961323E-2</v>
      </c>
      <c r="E636" s="3">
        <f t="shared" si="21"/>
        <v>-1.8190091418515248E-3</v>
      </c>
    </row>
    <row r="637" spans="1:5" x14ac:dyDescent="0.45">
      <c r="A637" s="2">
        <v>41470</v>
      </c>
      <c r="B637" s="3">
        <v>20034.48</v>
      </c>
      <c r="C637" s="3">
        <v>109.8</v>
      </c>
      <c r="D637" s="3">
        <f t="shared" si="20"/>
        <v>3.8011745331062263E-3</v>
      </c>
      <c r="E637" s="3">
        <f t="shared" si="21"/>
        <v>-4.552697551889003E-4</v>
      </c>
    </row>
    <row r="638" spans="1:5" x14ac:dyDescent="0.45">
      <c r="A638" s="2">
        <v>41471</v>
      </c>
      <c r="B638" s="3">
        <v>19851.23</v>
      </c>
      <c r="C638" s="3">
        <v>110.15</v>
      </c>
      <c r="D638" s="3">
        <f t="shared" si="20"/>
        <v>-9.1888192228151283E-3</v>
      </c>
      <c r="E638" s="3">
        <f t="shared" si="21"/>
        <v>3.1825441729218581E-3</v>
      </c>
    </row>
    <row r="639" spans="1:5" x14ac:dyDescent="0.45">
      <c r="A639" s="2">
        <v>41472</v>
      </c>
      <c r="B639" s="3">
        <v>19948.73</v>
      </c>
      <c r="C639" s="3">
        <v>110.9</v>
      </c>
      <c r="D639" s="3">
        <f t="shared" si="20"/>
        <v>4.8995122126924322E-3</v>
      </c>
      <c r="E639" s="3">
        <f t="shared" si="21"/>
        <v>6.7858211079693288E-3</v>
      </c>
    </row>
    <row r="640" spans="1:5" x14ac:dyDescent="0.45">
      <c r="A640" s="2">
        <v>41473</v>
      </c>
      <c r="B640" s="3">
        <v>20128.41</v>
      </c>
      <c r="C640" s="3">
        <v>111.1</v>
      </c>
      <c r="D640" s="3">
        <f t="shared" si="20"/>
        <v>8.9667677832388978E-3</v>
      </c>
      <c r="E640" s="3">
        <f t="shared" si="21"/>
        <v>1.8018022892629455E-3</v>
      </c>
    </row>
    <row r="641" spans="1:5" x14ac:dyDescent="0.45">
      <c r="A641" s="2">
        <v>41474</v>
      </c>
      <c r="B641" s="3">
        <v>20149.849999999999</v>
      </c>
      <c r="C641" s="3">
        <v>111.25</v>
      </c>
      <c r="D641" s="3">
        <f t="shared" si="20"/>
        <v>1.0645942513373039E-3</v>
      </c>
      <c r="E641" s="3">
        <f t="shared" si="21"/>
        <v>1.3492244007653851E-3</v>
      </c>
    </row>
    <row r="642" spans="1:5" x14ac:dyDescent="0.45">
      <c r="A642" s="2">
        <v>41477</v>
      </c>
      <c r="B642" s="3">
        <v>20159.12</v>
      </c>
      <c r="C642" s="3">
        <v>111.1</v>
      </c>
      <c r="D642" s="3">
        <f t="shared" si="20"/>
        <v>4.5994726054387916E-4</v>
      </c>
      <c r="E642" s="3">
        <f t="shared" si="21"/>
        <v>-1.3492244007653842E-3</v>
      </c>
    </row>
    <row r="643" spans="1:5" x14ac:dyDescent="0.45">
      <c r="A643" s="2">
        <v>41478</v>
      </c>
      <c r="B643" s="3">
        <v>20302.13</v>
      </c>
      <c r="C643" s="3">
        <v>110.15</v>
      </c>
      <c r="D643" s="3">
        <f t="shared" si="20"/>
        <v>7.0690151949635476E-3</v>
      </c>
      <c r="E643" s="3">
        <f t="shared" si="21"/>
        <v>-8.5876233972320866E-3</v>
      </c>
    </row>
    <row r="644" spans="1:5" x14ac:dyDescent="0.45">
      <c r="A644" s="2">
        <v>41479</v>
      </c>
      <c r="B644" s="3">
        <v>20090.68</v>
      </c>
      <c r="C644" s="3">
        <v>110</v>
      </c>
      <c r="D644" s="3">
        <f t="shared" si="20"/>
        <v>-1.0469780712318258E-2</v>
      </c>
      <c r="E644" s="3">
        <f t="shared" si="21"/>
        <v>-1.3627074559359016E-3</v>
      </c>
    </row>
    <row r="645" spans="1:5" x14ac:dyDescent="0.45">
      <c r="A645" s="2">
        <v>41480</v>
      </c>
      <c r="B645" s="3">
        <v>19804.759999999998</v>
      </c>
      <c r="C645" s="3">
        <v>109.5</v>
      </c>
      <c r="D645" s="3">
        <f t="shared" si="20"/>
        <v>-1.4333713090966003E-2</v>
      </c>
      <c r="E645" s="3">
        <f t="shared" si="21"/>
        <v>-4.5558165358606907E-3</v>
      </c>
    </row>
    <row r="646" spans="1:5" x14ac:dyDescent="0.45">
      <c r="A646" s="2">
        <v>41481</v>
      </c>
      <c r="B646" s="3">
        <v>19748.189999999999</v>
      </c>
      <c r="C646" s="3">
        <v>108.45</v>
      </c>
      <c r="D646" s="3">
        <f t="shared" ref="D646:D709" si="22">LN(B646/B645)</f>
        <v>-2.860471270673895E-3</v>
      </c>
      <c r="E646" s="3">
        <f t="shared" ref="E646:E709" si="23">LN(C646/C645)</f>
        <v>-9.6353119836721426E-3</v>
      </c>
    </row>
    <row r="647" spans="1:5" x14ac:dyDescent="0.45">
      <c r="A647" s="2">
        <v>41484</v>
      </c>
      <c r="B647" s="3">
        <v>19593.28</v>
      </c>
      <c r="C647" s="3">
        <v>108.1</v>
      </c>
      <c r="D647" s="3">
        <f t="shared" si="22"/>
        <v>-7.8751912731324335E-3</v>
      </c>
      <c r="E647" s="3">
        <f t="shared" si="23"/>
        <v>-3.2325126277208912E-3</v>
      </c>
    </row>
    <row r="648" spans="1:5" x14ac:dyDescent="0.45">
      <c r="A648" s="2">
        <v>41485</v>
      </c>
      <c r="B648" s="3">
        <v>19348.34</v>
      </c>
      <c r="C648" s="3">
        <v>105.55</v>
      </c>
      <c r="D648" s="3">
        <f t="shared" si="22"/>
        <v>-1.2580022622581238E-2</v>
      </c>
      <c r="E648" s="3">
        <f t="shared" si="23"/>
        <v>-2.3871950350833004E-2</v>
      </c>
    </row>
    <row r="649" spans="1:5" x14ac:dyDescent="0.45">
      <c r="A649" s="2">
        <v>41486</v>
      </c>
      <c r="B649" s="3">
        <v>19345.7</v>
      </c>
      <c r="C649" s="3">
        <v>100.75</v>
      </c>
      <c r="D649" s="3">
        <f t="shared" si="22"/>
        <v>-1.3645512353302767E-4</v>
      </c>
      <c r="E649" s="3">
        <f t="shared" si="23"/>
        <v>-4.6542573467537172E-2</v>
      </c>
    </row>
    <row r="650" spans="1:5" x14ac:dyDescent="0.45">
      <c r="A650" s="2">
        <v>41487</v>
      </c>
      <c r="B650" s="3">
        <v>19317.189999999999</v>
      </c>
      <c r="C650" s="3">
        <v>102.95</v>
      </c>
      <c r="D650" s="3">
        <f t="shared" si="22"/>
        <v>-1.4747994869250406E-3</v>
      </c>
      <c r="E650" s="3">
        <f t="shared" si="23"/>
        <v>2.1601232647006162E-2</v>
      </c>
    </row>
    <row r="651" spans="1:5" x14ac:dyDescent="0.45">
      <c r="A651" s="2">
        <v>41488</v>
      </c>
      <c r="B651" s="3">
        <v>19164.02</v>
      </c>
      <c r="C651" s="3">
        <v>91.05</v>
      </c>
      <c r="D651" s="3">
        <f t="shared" si="22"/>
        <v>-7.9608104278351636E-3</v>
      </c>
      <c r="E651" s="3">
        <f t="shared" si="23"/>
        <v>-0.12283462730018155</v>
      </c>
    </row>
    <row r="652" spans="1:5" x14ac:dyDescent="0.45">
      <c r="A652" s="2">
        <v>41491</v>
      </c>
      <c r="B652" s="3">
        <v>19182.259999999998</v>
      </c>
      <c r="C652" s="3">
        <v>93</v>
      </c>
      <c r="D652" s="3">
        <f t="shared" si="22"/>
        <v>9.513309439999893E-4</v>
      </c>
      <c r="E652" s="3">
        <f t="shared" si="23"/>
        <v>2.1190686979639054E-2</v>
      </c>
    </row>
    <row r="653" spans="1:5" x14ac:dyDescent="0.45">
      <c r="A653" s="2">
        <v>41492</v>
      </c>
      <c r="B653" s="3">
        <v>18733.04</v>
      </c>
      <c r="C653" s="3">
        <v>93.6</v>
      </c>
      <c r="D653" s="3">
        <f t="shared" si="22"/>
        <v>-2.3697083841838881E-2</v>
      </c>
      <c r="E653" s="3">
        <f t="shared" si="23"/>
        <v>6.4308903302903314E-3</v>
      </c>
    </row>
    <row r="654" spans="1:5" x14ac:dyDescent="0.45">
      <c r="A654" s="2">
        <v>41493</v>
      </c>
      <c r="B654" s="3">
        <v>18664.88</v>
      </c>
      <c r="C654" s="3">
        <v>93.35</v>
      </c>
      <c r="D654" s="3">
        <f t="shared" si="22"/>
        <v>-3.6451265455322516E-3</v>
      </c>
      <c r="E654" s="3">
        <f t="shared" si="23"/>
        <v>-2.6745134958147329E-3</v>
      </c>
    </row>
    <row r="655" spans="1:5" x14ac:dyDescent="0.45">
      <c r="A655" s="2">
        <v>41494</v>
      </c>
      <c r="B655" s="3">
        <v>18789.34</v>
      </c>
      <c r="C655" s="3">
        <v>95.95</v>
      </c>
      <c r="D655" s="3">
        <f t="shared" si="22"/>
        <v>6.6460045415288405E-3</v>
      </c>
      <c r="E655" s="3">
        <f t="shared" si="23"/>
        <v>2.747135246597748E-2</v>
      </c>
    </row>
    <row r="656" spans="1:5" x14ac:dyDescent="0.45">
      <c r="A656" s="2">
        <v>41498</v>
      </c>
      <c r="B656" s="3">
        <v>18946.98</v>
      </c>
      <c r="C656" s="3">
        <v>94.95</v>
      </c>
      <c r="D656" s="3">
        <f t="shared" si="22"/>
        <v>8.3548643316377867E-3</v>
      </c>
      <c r="E656" s="3">
        <f t="shared" si="23"/>
        <v>-1.0476785195414024E-2</v>
      </c>
    </row>
    <row r="657" spans="1:5" x14ac:dyDescent="0.45">
      <c r="A657" s="2">
        <v>41499</v>
      </c>
      <c r="B657" s="3">
        <v>19229.84</v>
      </c>
      <c r="C657" s="3">
        <v>96.1</v>
      </c>
      <c r="D657" s="3">
        <f t="shared" si="22"/>
        <v>1.4818687159673634E-2</v>
      </c>
      <c r="E657" s="3">
        <f t="shared" si="23"/>
        <v>1.2038878717951815E-2</v>
      </c>
    </row>
    <row r="658" spans="1:5" x14ac:dyDescent="0.45">
      <c r="A658" s="2">
        <v>41500</v>
      </c>
      <c r="B658" s="3">
        <v>19367.59</v>
      </c>
      <c r="C658" s="3">
        <v>96.95</v>
      </c>
      <c r="D658" s="3">
        <f t="shared" si="22"/>
        <v>7.1378112399760624E-3</v>
      </c>
      <c r="E658" s="3">
        <f t="shared" si="23"/>
        <v>8.8060657124140029E-3</v>
      </c>
    </row>
    <row r="659" spans="1:5" x14ac:dyDescent="0.45">
      <c r="A659" s="2">
        <v>41502</v>
      </c>
      <c r="B659" s="3">
        <v>18598.18</v>
      </c>
      <c r="C659" s="3">
        <v>97.85</v>
      </c>
      <c r="D659" s="3">
        <f t="shared" si="22"/>
        <v>-4.0537324004018056E-2</v>
      </c>
      <c r="E659" s="3">
        <f t="shared" si="23"/>
        <v>9.2403121534242426E-3</v>
      </c>
    </row>
    <row r="660" spans="1:5" x14ac:dyDescent="0.45">
      <c r="A660" s="2">
        <v>41505</v>
      </c>
      <c r="B660" s="3">
        <v>18307.52</v>
      </c>
      <c r="C660" s="3">
        <v>96.55</v>
      </c>
      <c r="D660" s="3">
        <f t="shared" si="22"/>
        <v>-1.5751822068277858E-2</v>
      </c>
      <c r="E660" s="3">
        <f t="shared" si="23"/>
        <v>-1.3374684967561723E-2</v>
      </c>
    </row>
    <row r="661" spans="1:5" x14ac:dyDescent="0.45">
      <c r="A661" s="2">
        <v>41506</v>
      </c>
      <c r="B661" s="3">
        <v>18246.04</v>
      </c>
      <c r="C661" s="3">
        <v>96.55</v>
      </c>
      <c r="D661" s="3">
        <f t="shared" si="22"/>
        <v>-3.3638342187439392E-3</v>
      </c>
      <c r="E661" s="3">
        <f t="shared" si="23"/>
        <v>0</v>
      </c>
    </row>
    <row r="662" spans="1:5" x14ac:dyDescent="0.45">
      <c r="A662" s="2">
        <v>41507</v>
      </c>
      <c r="B662" s="3">
        <v>17905.91</v>
      </c>
      <c r="C662" s="3">
        <v>97.55</v>
      </c>
      <c r="D662" s="3">
        <f t="shared" si="22"/>
        <v>-1.881724423104959E-2</v>
      </c>
      <c r="E662" s="3">
        <f t="shared" si="23"/>
        <v>1.0304058194596712E-2</v>
      </c>
    </row>
    <row r="663" spans="1:5" x14ac:dyDescent="0.45">
      <c r="A663" s="2">
        <v>41508</v>
      </c>
      <c r="B663" s="3">
        <v>18312.939999999999</v>
      </c>
      <c r="C663" s="3">
        <v>98.15</v>
      </c>
      <c r="D663" s="3">
        <f t="shared" si="22"/>
        <v>2.2477087841241639E-2</v>
      </c>
      <c r="E663" s="3">
        <f t="shared" si="23"/>
        <v>6.1318536533498365E-3</v>
      </c>
    </row>
    <row r="664" spans="1:5" x14ac:dyDescent="0.45">
      <c r="A664" s="2">
        <v>41509</v>
      </c>
      <c r="B664" s="3">
        <v>18519.439999999999</v>
      </c>
      <c r="C664" s="3">
        <v>97.7</v>
      </c>
      <c r="D664" s="3">
        <f t="shared" si="22"/>
        <v>1.1213077387485545E-2</v>
      </c>
      <c r="E664" s="3">
        <f t="shared" si="23"/>
        <v>-4.5953616737330382E-3</v>
      </c>
    </row>
    <row r="665" spans="1:5" x14ac:dyDescent="0.45">
      <c r="A665" s="2">
        <v>41512</v>
      </c>
      <c r="B665" s="3">
        <v>18558.13</v>
      </c>
      <c r="C665" s="3">
        <v>98.05</v>
      </c>
      <c r="D665" s="3">
        <f t="shared" si="22"/>
        <v>2.0869767917783811E-3</v>
      </c>
      <c r="E665" s="3">
        <f t="shared" si="23"/>
        <v>3.5759935936180726E-3</v>
      </c>
    </row>
    <row r="666" spans="1:5" x14ac:dyDescent="0.45">
      <c r="A666" s="2">
        <v>41513</v>
      </c>
      <c r="B666" s="3">
        <v>17968.080000000002</v>
      </c>
      <c r="C666" s="3">
        <v>95.6</v>
      </c>
      <c r="D666" s="3">
        <f t="shared" si="22"/>
        <v>-3.2311117625726818E-2</v>
      </c>
      <c r="E666" s="3">
        <f t="shared" si="23"/>
        <v>-2.5304732584999753E-2</v>
      </c>
    </row>
    <row r="667" spans="1:5" x14ac:dyDescent="0.45">
      <c r="A667" s="2">
        <v>41514</v>
      </c>
      <c r="B667" s="3">
        <v>17996.150000000001</v>
      </c>
      <c r="C667" s="3">
        <v>94.15</v>
      </c>
      <c r="D667" s="3">
        <f t="shared" si="22"/>
        <v>1.5609957838588495E-3</v>
      </c>
      <c r="E667" s="3">
        <f t="shared" si="23"/>
        <v>-1.528356495419402E-2</v>
      </c>
    </row>
    <row r="668" spans="1:5" x14ac:dyDescent="0.45">
      <c r="A668" s="2">
        <v>41515</v>
      </c>
      <c r="B668" s="3">
        <v>18401.04</v>
      </c>
      <c r="C668" s="3">
        <v>97.05</v>
      </c>
      <c r="D668" s="3">
        <f t="shared" si="22"/>
        <v>2.2249338626991778E-2</v>
      </c>
      <c r="E668" s="3">
        <f t="shared" si="23"/>
        <v>3.0337054511857819E-2</v>
      </c>
    </row>
    <row r="669" spans="1:5" x14ac:dyDescent="0.45">
      <c r="A669" s="2">
        <v>41516</v>
      </c>
      <c r="B669" s="3">
        <v>18619.72</v>
      </c>
      <c r="C669" s="3">
        <v>97.3</v>
      </c>
      <c r="D669" s="3">
        <f t="shared" si="22"/>
        <v>1.181404938509318E-2</v>
      </c>
      <c r="E669" s="3">
        <f t="shared" si="23"/>
        <v>2.5726795769401719E-3</v>
      </c>
    </row>
    <row r="670" spans="1:5" x14ac:dyDescent="0.45">
      <c r="A670" s="2">
        <v>41519</v>
      </c>
      <c r="B670" s="3">
        <v>18886.13</v>
      </c>
      <c r="C670" s="3">
        <v>99.1</v>
      </c>
      <c r="D670" s="3">
        <f t="shared" si="22"/>
        <v>1.4206556081014033E-2</v>
      </c>
      <c r="E670" s="3">
        <f t="shared" si="23"/>
        <v>1.8330452143982847E-2</v>
      </c>
    </row>
    <row r="671" spans="1:5" x14ac:dyDescent="0.45">
      <c r="A671" s="2">
        <v>41520</v>
      </c>
      <c r="B671" s="3">
        <v>18234.66</v>
      </c>
      <c r="C671" s="3">
        <v>95.65</v>
      </c>
      <c r="D671" s="3">
        <f t="shared" si="22"/>
        <v>-3.5103611598093137E-2</v>
      </c>
      <c r="E671" s="3">
        <f t="shared" si="23"/>
        <v>-3.5433745449680351E-2</v>
      </c>
    </row>
    <row r="672" spans="1:5" x14ac:dyDescent="0.45">
      <c r="A672" s="2">
        <v>41521</v>
      </c>
      <c r="B672" s="3">
        <v>18567.55</v>
      </c>
      <c r="C672" s="3">
        <v>96.35</v>
      </c>
      <c r="D672" s="3">
        <f t="shared" si="22"/>
        <v>1.8091254810236823E-2</v>
      </c>
      <c r="E672" s="3">
        <f t="shared" si="23"/>
        <v>7.2916989741132988E-3</v>
      </c>
    </row>
    <row r="673" spans="1:5" x14ac:dyDescent="0.45">
      <c r="A673" s="2">
        <v>41522</v>
      </c>
      <c r="B673" s="3">
        <v>18979.759999999998</v>
      </c>
      <c r="C673" s="3">
        <v>96.35</v>
      </c>
      <c r="D673" s="3">
        <f t="shared" si="22"/>
        <v>2.1957714777449216E-2</v>
      </c>
      <c r="E673" s="3">
        <f t="shared" si="23"/>
        <v>0</v>
      </c>
    </row>
    <row r="674" spans="1:5" x14ac:dyDescent="0.45">
      <c r="A674" s="2">
        <v>41523</v>
      </c>
      <c r="B674" s="3">
        <v>19270.060000000001</v>
      </c>
      <c r="C674" s="3">
        <v>99</v>
      </c>
      <c r="D674" s="3">
        <f t="shared" si="22"/>
        <v>1.5179447857108213E-2</v>
      </c>
      <c r="E674" s="3">
        <f t="shared" si="23"/>
        <v>2.7132455274214651E-2</v>
      </c>
    </row>
    <row r="675" spans="1:5" x14ac:dyDescent="0.45">
      <c r="A675" s="2">
        <v>41527</v>
      </c>
      <c r="B675" s="3">
        <v>19997.09</v>
      </c>
      <c r="C675" s="3">
        <v>102.25</v>
      </c>
      <c r="D675" s="3">
        <f t="shared" si="22"/>
        <v>3.7034166898253576E-2</v>
      </c>
      <c r="E675" s="3">
        <f t="shared" si="23"/>
        <v>3.2300944788321247E-2</v>
      </c>
    </row>
    <row r="676" spans="1:5" x14ac:dyDescent="0.45">
      <c r="A676" s="2">
        <v>41528</v>
      </c>
      <c r="B676" s="3">
        <v>19997.45</v>
      </c>
      <c r="C676" s="3">
        <v>99.1</v>
      </c>
      <c r="D676" s="3">
        <f t="shared" si="22"/>
        <v>1.8002457336022464E-5</v>
      </c>
      <c r="E676" s="3">
        <f t="shared" si="23"/>
        <v>-3.1291353586968863E-2</v>
      </c>
    </row>
    <row r="677" spans="1:5" x14ac:dyDescent="0.45">
      <c r="A677" s="2">
        <v>41529</v>
      </c>
      <c r="B677" s="3">
        <v>19781.88</v>
      </c>
      <c r="C677" s="3">
        <v>98.9</v>
      </c>
      <c r="D677" s="3">
        <f t="shared" si="22"/>
        <v>-1.0838398246640797E-2</v>
      </c>
      <c r="E677" s="3">
        <f t="shared" si="23"/>
        <v>-2.0202027072757684E-3</v>
      </c>
    </row>
    <row r="678" spans="1:5" x14ac:dyDescent="0.45">
      <c r="A678" s="2">
        <v>41530</v>
      </c>
      <c r="B678" s="3">
        <v>19732.759999999998</v>
      </c>
      <c r="C678" s="3">
        <v>99.8</v>
      </c>
      <c r="D678" s="3">
        <f t="shared" si="22"/>
        <v>-2.4861684328153456E-3</v>
      </c>
      <c r="E678" s="3">
        <f t="shared" si="23"/>
        <v>9.0589446887517529E-3</v>
      </c>
    </row>
    <row r="679" spans="1:5" x14ac:dyDescent="0.45">
      <c r="A679" s="2">
        <v>41533</v>
      </c>
      <c r="B679" s="3">
        <v>19742.47</v>
      </c>
      <c r="C679" s="3">
        <v>102.6</v>
      </c>
      <c r="D679" s="3">
        <f t="shared" si="22"/>
        <v>4.919540783339157E-4</v>
      </c>
      <c r="E679" s="3">
        <f t="shared" si="23"/>
        <v>2.7669749419250895E-2</v>
      </c>
    </row>
    <row r="680" spans="1:5" x14ac:dyDescent="0.45">
      <c r="A680" s="2">
        <v>41534</v>
      </c>
      <c r="B680" s="3">
        <v>19804.03</v>
      </c>
      <c r="C680" s="3">
        <v>101.55</v>
      </c>
      <c r="D680" s="3">
        <f t="shared" si="22"/>
        <v>3.1132995194618996E-3</v>
      </c>
      <c r="E680" s="3">
        <f t="shared" si="23"/>
        <v>-1.0286644710275426E-2</v>
      </c>
    </row>
    <row r="681" spans="1:5" x14ac:dyDescent="0.45">
      <c r="A681" s="2">
        <v>41535</v>
      </c>
      <c r="B681" s="3">
        <v>19962.16</v>
      </c>
      <c r="C681" s="3">
        <v>100.6</v>
      </c>
      <c r="D681" s="3">
        <f t="shared" si="22"/>
        <v>7.9530291176929512E-3</v>
      </c>
      <c r="E681" s="3">
        <f t="shared" si="23"/>
        <v>-9.3990303607549217E-3</v>
      </c>
    </row>
    <row r="682" spans="1:5" x14ac:dyDescent="0.45">
      <c r="A682" s="2">
        <v>41536</v>
      </c>
      <c r="B682" s="3">
        <v>20646.64</v>
      </c>
      <c r="C682" s="3">
        <v>100.45</v>
      </c>
      <c r="D682" s="3">
        <f t="shared" si="22"/>
        <v>3.3714112842415524E-2</v>
      </c>
      <c r="E682" s="3">
        <f t="shared" si="23"/>
        <v>-1.4921664046953467E-3</v>
      </c>
    </row>
    <row r="683" spans="1:5" x14ac:dyDescent="0.45">
      <c r="A683" s="2">
        <v>41537</v>
      </c>
      <c r="B683" s="3">
        <v>20263.71</v>
      </c>
      <c r="C683" s="3">
        <v>101.4</v>
      </c>
      <c r="D683" s="3">
        <f t="shared" si="22"/>
        <v>-1.872099280021898E-2</v>
      </c>
      <c r="E683" s="3">
        <f t="shared" si="23"/>
        <v>9.4129998961394491E-3</v>
      </c>
    </row>
    <row r="684" spans="1:5" x14ac:dyDescent="0.45">
      <c r="A684" s="2">
        <v>41540</v>
      </c>
      <c r="B684" s="3">
        <v>19900.96</v>
      </c>
      <c r="C684" s="3">
        <v>99.2</v>
      </c>
      <c r="D684" s="3">
        <f t="shared" si="22"/>
        <v>-1.806362973049716E-2</v>
      </c>
      <c r="E684" s="3">
        <f t="shared" si="23"/>
        <v>-2.193507686625568E-2</v>
      </c>
    </row>
    <row r="685" spans="1:5" x14ac:dyDescent="0.45">
      <c r="A685" s="2">
        <v>41541</v>
      </c>
      <c r="B685" s="3">
        <v>19920.21</v>
      </c>
      <c r="C685" s="3">
        <v>99.25</v>
      </c>
      <c r="D685" s="3">
        <f t="shared" si="22"/>
        <v>9.6682249665140327E-4</v>
      </c>
      <c r="E685" s="3">
        <f t="shared" si="23"/>
        <v>5.0390527647267095E-4</v>
      </c>
    </row>
    <row r="686" spans="1:5" x14ac:dyDescent="0.45">
      <c r="A686" s="2">
        <v>41542</v>
      </c>
      <c r="B686" s="3">
        <v>19856.240000000002</v>
      </c>
      <c r="C686" s="3">
        <v>100.6</v>
      </c>
      <c r="D686" s="3">
        <f t="shared" si="22"/>
        <v>-3.2164788537631748E-3</v>
      </c>
      <c r="E686" s="3">
        <f t="shared" si="23"/>
        <v>1.3510338098338933E-2</v>
      </c>
    </row>
    <row r="687" spans="1:5" x14ac:dyDescent="0.45">
      <c r="A687" s="2">
        <v>41543</v>
      </c>
      <c r="B687" s="3">
        <v>19893.849999999999</v>
      </c>
      <c r="C687" s="3">
        <v>99.25</v>
      </c>
      <c r="D687" s="3">
        <f t="shared" si="22"/>
        <v>1.8923233242036121E-3</v>
      </c>
      <c r="E687" s="3">
        <f t="shared" si="23"/>
        <v>-1.3510338098339014E-2</v>
      </c>
    </row>
    <row r="688" spans="1:5" x14ac:dyDescent="0.45">
      <c r="A688" s="2">
        <v>41544</v>
      </c>
      <c r="B688" s="3">
        <v>19727.27</v>
      </c>
      <c r="C688" s="3">
        <v>98.9</v>
      </c>
      <c r="D688" s="3">
        <f t="shared" si="22"/>
        <v>-8.4086962467673776E-3</v>
      </c>
      <c r="E688" s="3">
        <f t="shared" si="23"/>
        <v>-3.5326809386332743E-3</v>
      </c>
    </row>
    <row r="689" spans="1:5" x14ac:dyDescent="0.45">
      <c r="A689" s="2">
        <v>41547</v>
      </c>
      <c r="B689" s="3">
        <v>19379.77</v>
      </c>
      <c r="C689" s="3">
        <v>98.15</v>
      </c>
      <c r="D689" s="3">
        <f t="shared" si="22"/>
        <v>-1.7772204006092258E-2</v>
      </c>
      <c r="E689" s="3">
        <f t="shared" si="23"/>
        <v>-7.6123179061963041E-3</v>
      </c>
    </row>
    <row r="690" spans="1:5" x14ac:dyDescent="0.45">
      <c r="A690" s="2">
        <v>41548</v>
      </c>
      <c r="B690" s="3">
        <v>19517.150000000001</v>
      </c>
      <c r="C690" s="3">
        <v>99</v>
      </c>
      <c r="D690" s="3">
        <f t="shared" si="22"/>
        <v>7.0638277398106181E-3</v>
      </c>
      <c r="E690" s="3">
        <f t="shared" si="23"/>
        <v>8.6229294121198986E-3</v>
      </c>
    </row>
    <row r="691" spans="1:5" x14ac:dyDescent="0.45">
      <c r="A691" s="2">
        <v>41550</v>
      </c>
      <c r="B691" s="3">
        <v>19902.07</v>
      </c>
      <c r="C691" s="3">
        <v>99.9</v>
      </c>
      <c r="D691" s="3">
        <f t="shared" si="22"/>
        <v>1.953018019428384E-2</v>
      </c>
      <c r="E691" s="3">
        <f t="shared" si="23"/>
        <v>9.0498355199178562E-3</v>
      </c>
    </row>
    <row r="692" spans="1:5" x14ac:dyDescent="0.45">
      <c r="A692" s="2">
        <v>41551</v>
      </c>
      <c r="B692" s="3">
        <v>19915.95</v>
      </c>
      <c r="C692" s="3">
        <v>98</v>
      </c>
      <c r="D692" s="3">
        <f t="shared" si="22"/>
        <v>6.9717181126529801E-4</v>
      </c>
      <c r="E692" s="3">
        <f t="shared" si="23"/>
        <v>-1.9202206983935932E-2</v>
      </c>
    </row>
    <row r="693" spans="1:5" x14ac:dyDescent="0.45">
      <c r="A693" s="2">
        <v>41554</v>
      </c>
      <c r="B693" s="3">
        <v>19895.099999999999</v>
      </c>
      <c r="C693" s="3">
        <v>97.95</v>
      </c>
      <c r="D693" s="3">
        <f t="shared" si="22"/>
        <v>-1.047447977699401E-3</v>
      </c>
      <c r="E693" s="3">
        <f t="shared" si="23"/>
        <v>-5.1033428002211084E-4</v>
      </c>
    </row>
    <row r="694" spans="1:5" x14ac:dyDescent="0.45">
      <c r="A694" s="2">
        <v>41555</v>
      </c>
      <c r="B694" s="3">
        <v>19983.61</v>
      </c>
      <c r="C694" s="3">
        <v>98.1</v>
      </c>
      <c r="D694" s="3">
        <f t="shared" si="22"/>
        <v>4.4389673255003865E-3</v>
      </c>
      <c r="E694" s="3">
        <f t="shared" si="23"/>
        <v>1.5302221807675365E-3</v>
      </c>
    </row>
    <row r="695" spans="1:5" x14ac:dyDescent="0.45">
      <c r="A695" s="2">
        <v>41556</v>
      </c>
      <c r="B695" s="3">
        <v>20249.259999999998</v>
      </c>
      <c r="C695" s="3">
        <v>99.05</v>
      </c>
      <c r="D695" s="3">
        <f t="shared" si="22"/>
        <v>1.3205812094652261E-2</v>
      </c>
      <c r="E695" s="3">
        <f t="shared" si="23"/>
        <v>9.6374065732426142E-3</v>
      </c>
    </row>
    <row r="696" spans="1:5" x14ac:dyDescent="0.45">
      <c r="A696" s="2">
        <v>41557</v>
      </c>
      <c r="B696" s="3">
        <v>20272.91</v>
      </c>
      <c r="C696" s="3">
        <v>99.4</v>
      </c>
      <c r="D696" s="3">
        <f t="shared" si="22"/>
        <v>1.1672623990899827E-3</v>
      </c>
      <c r="E696" s="3">
        <f t="shared" si="23"/>
        <v>3.5273405179684406E-3</v>
      </c>
    </row>
    <row r="697" spans="1:5" x14ac:dyDescent="0.45">
      <c r="A697" s="2">
        <v>41558</v>
      </c>
      <c r="B697" s="3">
        <v>20528.59</v>
      </c>
      <c r="C697" s="3">
        <v>98.9</v>
      </c>
      <c r="D697" s="3">
        <f t="shared" si="22"/>
        <v>1.2533036617705903E-2</v>
      </c>
      <c r="E697" s="3">
        <f t="shared" si="23"/>
        <v>-5.042875033861899E-3</v>
      </c>
    </row>
    <row r="698" spans="1:5" x14ac:dyDescent="0.45">
      <c r="A698" s="2">
        <v>41561</v>
      </c>
      <c r="B698" s="3">
        <v>20607.54</v>
      </c>
      <c r="C698" s="3">
        <v>99.3</v>
      </c>
      <c r="D698" s="3">
        <f t="shared" si="22"/>
        <v>3.8384795524968114E-3</v>
      </c>
      <c r="E698" s="3">
        <f t="shared" si="23"/>
        <v>4.0363324224603316E-3</v>
      </c>
    </row>
    <row r="699" spans="1:5" x14ac:dyDescent="0.45">
      <c r="A699" s="2">
        <v>41562</v>
      </c>
      <c r="B699" s="3">
        <v>20547.62</v>
      </c>
      <c r="C699" s="3">
        <v>98.7</v>
      </c>
      <c r="D699" s="3">
        <f t="shared" si="22"/>
        <v>-2.9119090942443747E-3</v>
      </c>
      <c r="E699" s="3">
        <f t="shared" si="23"/>
        <v>-6.060624611690958E-3</v>
      </c>
    </row>
    <row r="700" spans="1:5" x14ac:dyDescent="0.45">
      <c r="A700" s="2">
        <v>41564</v>
      </c>
      <c r="B700" s="3">
        <v>20415.509999999998</v>
      </c>
      <c r="C700" s="3">
        <v>97.45</v>
      </c>
      <c r="D700" s="3">
        <f t="shared" si="22"/>
        <v>-6.4502130593437311E-3</v>
      </c>
      <c r="E700" s="3">
        <f t="shared" si="23"/>
        <v>-1.2745520485866061E-2</v>
      </c>
    </row>
    <row r="701" spans="1:5" x14ac:dyDescent="0.45">
      <c r="A701" s="2">
        <v>41565</v>
      </c>
      <c r="B701" s="3">
        <v>20882.89</v>
      </c>
      <c r="C701" s="3">
        <v>99.55</v>
      </c>
      <c r="D701" s="3">
        <f t="shared" si="22"/>
        <v>2.2635257307691968E-2</v>
      </c>
      <c r="E701" s="3">
        <f t="shared" si="23"/>
        <v>2.1320604556635415E-2</v>
      </c>
    </row>
    <row r="702" spans="1:5" x14ac:dyDescent="0.45">
      <c r="A702" s="2">
        <v>41568</v>
      </c>
      <c r="B702" s="3">
        <v>20893.89</v>
      </c>
      <c r="C702" s="3">
        <v>99.55</v>
      </c>
      <c r="D702" s="3">
        <f t="shared" si="22"/>
        <v>5.2660833382591106E-4</v>
      </c>
      <c r="E702" s="3">
        <f t="shared" si="23"/>
        <v>0</v>
      </c>
    </row>
    <row r="703" spans="1:5" x14ac:dyDescent="0.45">
      <c r="A703" s="2">
        <v>41569</v>
      </c>
      <c r="B703" s="3">
        <v>20864.97</v>
      </c>
      <c r="C703" s="3">
        <v>101.95</v>
      </c>
      <c r="D703" s="3">
        <f t="shared" si="22"/>
        <v>-1.3850955042143099E-3</v>
      </c>
      <c r="E703" s="3">
        <f t="shared" si="23"/>
        <v>2.3822466510258943E-2</v>
      </c>
    </row>
    <row r="704" spans="1:5" x14ac:dyDescent="0.45">
      <c r="A704" s="2">
        <v>41570</v>
      </c>
      <c r="B704" s="3">
        <v>20767.88</v>
      </c>
      <c r="C704" s="3">
        <v>100.65</v>
      </c>
      <c r="D704" s="3">
        <f t="shared" si="22"/>
        <v>-4.6641138431591364E-3</v>
      </c>
      <c r="E704" s="3">
        <f t="shared" si="23"/>
        <v>-1.2833344934663609E-2</v>
      </c>
    </row>
    <row r="705" spans="1:5" x14ac:dyDescent="0.45">
      <c r="A705" s="2">
        <v>41571</v>
      </c>
      <c r="B705" s="3">
        <v>20725.43</v>
      </c>
      <c r="C705" s="3">
        <v>98.85</v>
      </c>
      <c r="D705" s="3">
        <f t="shared" si="22"/>
        <v>-2.0461136896541333E-3</v>
      </c>
      <c r="E705" s="3">
        <f t="shared" si="23"/>
        <v>-1.8045602469174676E-2</v>
      </c>
    </row>
    <row r="706" spans="1:5" x14ac:dyDescent="0.45">
      <c r="A706" s="2">
        <v>41572</v>
      </c>
      <c r="B706" s="3">
        <v>20683.52</v>
      </c>
      <c r="C706" s="3">
        <v>100.05</v>
      </c>
      <c r="D706" s="3">
        <f t="shared" si="22"/>
        <v>-2.0242007735104721E-3</v>
      </c>
      <c r="E706" s="3">
        <f t="shared" si="23"/>
        <v>1.2066511413116486E-2</v>
      </c>
    </row>
    <row r="707" spans="1:5" x14ac:dyDescent="0.45">
      <c r="A707" s="2">
        <v>41575</v>
      </c>
      <c r="B707" s="3">
        <v>20570.28</v>
      </c>
      <c r="C707" s="3">
        <v>98.8</v>
      </c>
      <c r="D707" s="3">
        <f t="shared" si="22"/>
        <v>-5.4899322930212421E-3</v>
      </c>
      <c r="E707" s="3">
        <f t="shared" si="23"/>
        <v>-1.257245627592026E-2</v>
      </c>
    </row>
    <row r="708" spans="1:5" x14ac:dyDescent="0.45">
      <c r="A708" s="2">
        <v>41576</v>
      </c>
      <c r="B708" s="3">
        <v>20929.009999999998</v>
      </c>
      <c r="C708" s="3">
        <v>100.45</v>
      </c>
      <c r="D708" s="3">
        <f t="shared" si="22"/>
        <v>1.7288919185026383E-2</v>
      </c>
      <c r="E708" s="3">
        <f t="shared" si="23"/>
        <v>1.6562486507121405E-2</v>
      </c>
    </row>
    <row r="709" spans="1:5" x14ac:dyDescent="0.45">
      <c r="A709" s="2">
        <v>41577</v>
      </c>
      <c r="B709" s="3">
        <v>21033.97</v>
      </c>
      <c r="C709" s="3">
        <v>100.3</v>
      </c>
      <c r="D709" s="3">
        <f t="shared" si="22"/>
        <v>5.0025150209358762E-3</v>
      </c>
      <c r="E709" s="3">
        <f t="shared" si="23"/>
        <v>-1.4943962930536569E-3</v>
      </c>
    </row>
    <row r="710" spans="1:5" x14ac:dyDescent="0.45">
      <c r="A710" s="2">
        <v>41578</v>
      </c>
      <c r="B710" s="3">
        <v>21164.52</v>
      </c>
      <c r="C710" s="3">
        <v>101.15</v>
      </c>
      <c r="D710" s="3">
        <f t="shared" ref="D710:D773" si="24">LN(B710/B709)</f>
        <v>6.1874449300396888E-3</v>
      </c>
      <c r="E710" s="3">
        <f t="shared" ref="E710:E773" si="25">LN(C710/C709)</f>
        <v>8.4388686458646035E-3</v>
      </c>
    </row>
    <row r="711" spans="1:5" x14ac:dyDescent="0.45">
      <c r="A711" s="2">
        <v>41579</v>
      </c>
      <c r="B711" s="3">
        <v>21196.81</v>
      </c>
      <c r="C711" s="3">
        <v>97.95</v>
      </c>
      <c r="D711" s="3">
        <f t="shared" si="24"/>
        <v>1.5245038932345679E-3</v>
      </c>
      <c r="E711" s="3">
        <f t="shared" si="25"/>
        <v>-3.2147419223204736E-2</v>
      </c>
    </row>
    <row r="712" spans="1:5" x14ac:dyDescent="0.45">
      <c r="A712" s="2">
        <v>41581</v>
      </c>
      <c r="B712" s="3">
        <v>21239.360000000001</v>
      </c>
      <c r="C712" s="3">
        <v>98.45</v>
      </c>
      <c r="D712" s="3">
        <f t="shared" si="24"/>
        <v>2.0053654351715414E-3</v>
      </c>
      <c r="E712" s="3">
        <f t="shared" si="25"/>
        <v>5.0916606945848866E-3</v>
      </c>
    </row>
    <row r="713" spans="1:5" x14ac:dyDescent="0.45">
      <c r="A713" s="2">
        <v>41583</v>
      </c>
      <c r="B713" s="3">
        <v>20974.79</v>
      </c>
      <c r="C713" s="3">
        <v>95.35</v>
      </c>
      <c r="D713" s="3">
        <f t="shared" si="24"/>
        <v>-1.2534823708824304E-2</v>
      </c>
      <c r="E713" s="3">
        <f t="shared" si="25"/>
        <v>-3.1994473038706533E-2</v>
      </c>
    </row>
    <row r="714" spans="1:5" x14ac:dyDescent="0.45">
      <c r="A714" s="2">
        <v>41584</v>
      </c>
      <c r="B714" s="3">
        <v>20894.939999999999</v>
      </c>
      <c r="C714" s="3">
        <v>96.25</v>
      </c>
      <c r="D714" s="3">
        <f t="shared" si="24"/>
        <v>-3.8142159888021935E-3</v>
      </c>
      <c r="E714" s="3">
        <f t="shared" si="25"/>
        <v>9.3946411214654822E-3</v>
      </c>
    </row>
    <row r="715" spans="1:5" x14ac:dyDescent="0.45">
      <c r="A715" s="2">
        <v>41585</v>
      </c>
      <c r="B715" s="3">
        <v>20822.77</v>
      </c>
      <c r="C715" s="3">
        <v>95.1</v>
      </c>
      <c r="D715" s="3">
        <f t="shared" si="24"/>
        <v>-3.4599249093997253E-3</v>
      </c>
      <c r="E715" s="3">
        <f t="shared" si="25"/>
        <v>-1.2020003616549077E-2</v>
      </c>
    </row>
    <row r="716" spans="1:5" x14ac:dyDescent="0.45">
      <c r="A716" s="2">
        <v>41586</v>
      </c>
      <c r="B716" s="3">
        <v>20666.150000000001</v>
      </c>
      <c r="C716" s="3">
        <v>95.95</v>
      </c>
      <c r="D716" s="3">
        <f t="shared" si="24"/>
        <v>-7.550003421520477E-3</v>
      </c>
      <c r="E716" s="3">
        <f t="shared" si="25"/>
        <v>8.8982529023644615E-3</v>
      </c>
    </row>
    <row r="717" spans="1:5" x14ac:dyDescent="0.45">
      <c r="A717" s="2">
        <v>41589</v>
      </c>
      <c r="B717" s="3">
        <v>20490.96</v>
      </c>
      <c r="C717" s="3">
        <v>95.75</v>
      </c>
      <c r="D717" s="3">
        <f t="shared" si="24"/>
        <v>-8.5132827882079386E-3</v>
      </c>
      <c r="E717" s="3">
        <f t="shared" si="25"/>
        <v>-2.0865943929535891E-3</v>
      </c>
    </row>
    <row r="718" spans="1:5" x14ac:dyDescent="0.45">
      <c r="A718" s="2">
        <v>41590</v>
      </c>
      <c r="B718" s="3">
        <v>20281.91</v>
      </c>
      <c r="C718" s="3">
        <v>95.05</v>
      </c>
      <c r="D718" s="3">
        <f t="shared" si="24"/>
        <v>-1.0254457528515476E-2</v>
      </c>
      <c r="E718" s="3">
        <f t="shared" si="25"/>
        <v>-7.3375591263172175E-3</v>
      </c>
    </row>
    <row r="719" spans="1:5" x14ac:dyDescent="0.45">
      <c r="A719" s="2">
        <v>41591</v>
      </c>
      <c r="B719" s="3">
        <v>20194.400000000001</v>
      </c>
      <c r="C719" s="3">
        <v>95.75</v>
      </c>
      <c r="D719" s="3">
        <f t="shared" si="24"/>
        <v>-4.3240174980751066E-3</v>
      </c>
      <c r="E719" s="3">
        <f t="shared" si="25"/>
        <v>7.3375591263171681E-3</v>
      </c>
    </row>
    <row r="720" spans="1:5" x14ac:dyDescent="0.45">
      <c r="A720" s="2">
        <v>41592</v>
      </c>
      <c r="B720" s="3">
        <v>20399.419999999998</v>
      </c>
      <c r="C720" s="3">
        <v>95.85</v>
      </c>
      <c r="D720" s="3">
        <f t="shared" si="24"/>
        <v>1.0101130823764364E-2</v>
      </c>
      <c r="E720" s="3">
        <f t="shared" si="25"/>
        <v>1.0438414308981804E-3</v>
      </c>
    </row>
    <row r="721" spans="1:5" x14ac:dyDescent="0.45">
      <c r="A721" s="2">
        <v>41596</v>
      </c>
      <c r="B721" s="3">
        <v>20850.740000000002</v>
      </c>
      <c r="C721" s="3">
        <v>96.05</v>
      </c>
      <c r="D721" s="3">
        <f t="shared" si="24"/>
        <v>2.1882970148270522E-2</v>
      </c>
      <c r="E721" s="3">
        <f t="shared" si="25"/>
        <v>2.0844197229121096E-3</v>
      </c>
    </row>
    <row r="722" spans="1:5" x14ac:dyDescent="0.45">
      <c r="A722" s="2">
        <v>41597</v>
      </c>
      <c r="B722" s="3">
        <v>20890.82</v>
      </c>
      <c r="C722" s="3">
        <v>94.95</v>
      </c>
      <c r="D722" s="3">
        <f t="shared" si="24"/>
        <v>1.9203888075845291E-3</v>
      </c>
      <c r="E722" s="3">
        <f t="shared" si="25"/>
        <v>-1.1518451956270742E-2</v>
      </c>
    </row>
    <row r="723" spans="1:5" x14ac:dyDescent="0.45">
      <c r="A723" s="2">
        <v>41598</v>
      </c>
      <c r="B723" s="3">
        <v>20635.13</v>
      </c>
      <c r="C723" s="3">
        <v>93.7</v>
      </c>
      <c r="D723" s="3">
        <f t="shared" si="24"/>
        <v>-1.2314864868827885E-2</v>
      </c>
      <c r="E723" s="3">
        <f t="shared" si="25"/>
        <v>-1.3252248013918343E-2</v>
      </c>
    </row>
    <row r="724" spans="1:5" x14ac:dyDescent="0.45">
      <c r="A724" s="2">
        <v>41599</v>
      </c>
      <c r="B724" s="3">
        <v>20229.05</v>
      </c>
      <c r="C724" s="3">
        <v>93.35</v>
      </c>
      <c r="D724" s="3">
        <f t="shared" si="24"/>
        <v>-1.987527304392394E-2</v>
      </c>
      <c r="E724" s="3">
        <f t="shared" si="25"/>
        <v>-3.7423192566449653E-3</v>
      </c>
    </row>
    <row r="725" spans="1:5" x14ac:dyDescent="0.45">
      <c r="A725" s="2">
        <v>41600</v>
      </c>
      <c r="B725" s="3">
        <v>20217.39</v>
      </c>
      <c r="C725" s="3">
        <v>93.85</v>
      </c>
      <c r="D725" s="3">
        <f t="shared" si="24"/>
        <v>-5.7656497447030339E-4</v>
      </c>
      <c r="E725" s="3">
        <f t="shared" si="25"/>
        <v>5.3418930447861048E-3</v>
      </c>
    </row>
    <row r="726" spans="1:5" x14ac:dyDescent="0.45">
      <c r="A726" s="2">
        <v>41603</v>
      </c>
      <c r="B726" s="3">
        <v>20605.080000000002</v>
      </c>
      <c r="C726" s="3">
        <v>94.15</v>
      </c>
      <c r="D726" s="3">
        <f t="shared" si="24"/>
        <v>1.8994522193946629E-2</v>
      </c>
      <c r="E726" s="3">
        <f t="shared" si="25"/>
        <v>3.1914920706436526E-3</v>
      </c>
    </row>
    <row r="727" spans="1:5" x14ac:dyDescent="0.45">
      <c r="A727" s="2">
        <v>41604</v>
      </c>
      <c r="B727" s="3">
        <v>20425.02</v>
      </c>
      <c r="C727" s="3">
        <v>93.95</v>
      </c>
      <c r="D727" s="3">
        <f t="shared" si="24"/>
        <v>-8.7770273982684267E-3</v>
      </c>
      <c r="E727" s="3">
        <f t="shared" si="25"/>
        <v>-2.1265292436870712E-3</v>
      </c>
    </row>
    <row r="728" spans="1:5" x14ac:dyDescent="0.45">
      <c r="A728" s="2">
        <v>41605</v>
      </c>
      <c r="B728" s="3">
        <v>20420.259999999998</v>
      </c>
      <c r="C728" s="3">
        <v>92.15</v>
      </c>
      <c r="D728" s="3">
        <f t="shared" si="24"/>
        <v>-2.3307466721004584E-4</v>
      </c>
      <c r="E728" s="3">
        <f t="shared" si="25"/>
        <v>-1.9345041743642023E-2</v>
      </c>
    </row>
    <row r="729" spans="1:5" x14ac:dyDescent="0.45">
      <c r="A729" s="2">
        <v>41606</v>
      </c>
      <c r="B729" s="3">
        <v>20534.91</v>
      </c>
      <c r="C729" s="3">
        <v>94.4</v>
      </c>
      <c r="D729" s="3">
        <f t="shared" si="24"/>
        <v>5.5988193672343372E-3</v>
      </c>
      <c r="E729" s="3">
        <f t="shared" si="25"/>
        <v>2.4123389035622746E-2</v>
      </c>
    </row>
    <row r="730" spans="1:5" x14ac:dyDescent="0.45">
      <c r="A730" s="2">
        <v>41607</v>
      </c>
      <c r="B730" s="3">
        <v>20791.93</v>
      </c>
      <c r="C730" s="3">
        <v>95.05</v>
      </c>
      <c r="D730" s="3">
        <f t="shared" si="24"/>
        <v>1.243856601625162E-2</v>
      </c>
      <c r="E730" s="3">
        <f t="shared" si="25"/>
        <v>6.861995782983063E-3</v>
      </c>
    </row>
    <row r="731" spans="1:5" x14ac:dyDescent="0.45">
      <c r="A731" s="2">
        <v>41610</v>
      </c>
      <c r="B731" s="3">
        <v>20898.009999999998</v>
      </c>
      <c r="C731" s="3">
        <v>93.4</v>
      </c>
      <c r="D731" s="3">
        <f t="shared" si="24"/>
        <v>5.0890084724651606E-3</v>
      </c>
      <c r="E731" s="3">
        <f t="shared" si="25"/>
        <v>-1.7511723699641164E-2</v>
      </c>
    </row>
    <row r="732" spans="1:5" x14ac:dyDescent="0.45">
      <c r="A732" s="2">
        <v>41611</v>
      </c>
      <c r="B732" s="3">
        <v>20854.919999999998</v>
      </c>
      <c r="C732" s="3">
        <v>93.75</v>
      </c>
      <c r="D732" s="3">
        <f t="shared" si="24"/>
        <v>-2.0640474954929907E-3</v>
      </c>
      <c r="E732" s="3">
        <f t="shared" si="25"/>
        <v>3.7403196157231771E-3</v>
      </c>
    </row>
    <row r="733" spans="1:5" x14ac:dyDescent="0.45">
      <c r="A733" s="2">
        <v>41612</v>
      </c>
      <c r="B733" s="3">
        <v>20708.71</v>
      </c>
      <c r="C733" s="3">
        <v>95.55</v>
      </c>
      <c r="D733" s="3">
        <f t="shared" si="24"/>
        <v>-7.0355069129303836E-3</v>
      </c>
      <c r="E733" s="3">
        <f t="shared" si="25"/>
        <v>1.9018005835761735E-2</v>
      </c>
    </row>
    <row r="734" spans="1:5" x14ac:dyDescent="0.45">
      <c r="A734" s="2">
        <v>41613</v>
      </c>
      <c r="B734" s="3">
        <v>20957.810000000001</v>
      </c>
      <c r="C734" s="3">
        <v>96.15</v>
      </c>
      <c r="D734" s="3">
        <f t="shared" si="24"/>
        <v>1.1956984543035461E-2</v>
      </c>
      <c r="E734" s="3">
        <f t="shared" si="25"/>
        <v>6.2598013485067345E-3</v>
      </c>
    </row>
    <row r="735" spans="1:5" x14ac:dyDescent="0.45">
      <c r="A735" s="2">
        <v>41614</v>
      </c>
      <c r="B735" s="3">
        <v>20996.53</v>
      </c>
      <c r="C735" s="3">
        <v>98.9</v>
      </c>
      <c r="D735" s="3">
        <f t="shared" si="24"/>
        <v>1.8458167137595316E-3</v>
      </c>
      <c r="E735" s="3">
        <f t="shared" si="25"/>
        <v>2.8199766593877722E-2</v>
      </c>
    </row>
    <row r="736" spans="1:5" x14ac:dyDescent="0.45">
      <c r="A736" s="2">
        <v>41617</v>
      </c>
      <c r="B736" s="3">
        <v>21326.42</v>
      </c>
      <c r="C736" s="3">
        <v>101.35</v>
      </c>
      <c r="D736" s="3">
        <f t="shared" si="24"/>
        <v>1.5589493697096715E-2</v>
      </c>
      <c r="E736" s="3">
        <f t="shared" si="25"/>
        <v>2.4470634269342598E-2</v>
      </c>
    </row>
    <row r="737" spans="1:5" x14ac:dyDescent="0.45">
      <c r="A737" s="2">
        <v>41618</v>
      </c>
      <c r="B737" s="3">
        <v>21255.26</v>
      </c>
      <c r="C737" s="3">
        <v>98.3</v>
      </c>
      <c r="D737" s="3">
        <f t="shared" si="24"/>
        <v>-3.3422855201233172E-3</v>
      </c>
      <c r="E737" s="3">
        <f t="shared" si="25"/>
        <v>-3.0555845744888094E-2</v>
      </c>
    </row>
    <row r="738" spans="1:5" x14ac:dyDescent="0.45">
      <c r="A738" s="2">
        <v>41619</v>
      </c>
      <c r="B738" s="3">
        <v>21171.41</v>
      </c>
      <c r="C738" s="3">
        <v>97.95</v>
      </c>
      <c r="D738" s="3">
        <f t="shared" si="24"/>
        <v>-3.9527075385341597E-3</v>
      </c>
      <c r="E738" s="3">
        <f t="shared" si="25"/>
        <v>-3.566882762571008E-3</v>
      </c>
    </row>
    <row r="739" spans="1:5" x14ac:dyDescent="0.45">
      <c r="A739" s="2">
        <v>41620</v>
      </c>
      <c r="B739" s="3">
        <v>20925.61</v>
      </c>
      <c r="C739" s="3">
        <v>97.9</v>
      </c>
      <c r="D739" s="3">
        <f t="shared" si="24"/>
        <v>-1.1677918930292908E-2</v>
      </c>
      <c r="E739" s="3">
        <f t="shared" si="25"/>
        <v>-5.1059485408502651E-4</v>
      </c>
    </row>
    <row r="740" spans="1:5" x14ac:dyDescent="0.45">
      <c r="A740" s="2">
        <v>41621</v>
      </c>
      <c r="B740" s="3">
        <v>20715.580000000002</v>
      </c>
      <c r="C740" s="3">
        <v>97.45</v>
      </c>
      <c r="D740" s="3">
        <f t="shared" si="24"/>
        <v>-1.0087693511097425E-2</v>
      </c>
      <c r="E740" s="3">
        <f t="shared" si="25"/>
        <v>-4.6071235828948611E-3</v>
      </c>
    </row>
    <row r="741" spans="1:5" x14ac:dyDescent="0.45">
      <c r="A741" s="2">
        <v>41624</v>
      </c>
      <c r="B741" s="3">
        <v>20659.52</v>
      </c>
      <c r="C741" s="3">
        <v>98.9</v>
      </c>
      <c r="D741" s="3">
        <f t="shared" si="24"/>
        <v>-2.7098440513852753E-3</v>
      </c>
      <c r="E741" s="3">
        <f t="shared" si="25"/>
        <v>1.4769812675096736E-2</v>
      </c>
    </row>
    <row r="742" spans="1:5" x14ac:dyDescent="0.45">
      <c r="A742" s="2">
        <v>41625</v>
      </c>
      <c r="B742" s="3">
        <v>20612.14</v>
      </c>
      <c r="C742" s="3">
        <v>98.85</v>
      </c>
      <c r="D742" s="3">
        <f t="shared" si="24"/>
        <v>-2.2960075177122885E-3</v>
      </c>
      <c r="E742" s="3">
        <f t="shared" si="25"/>
        <v>-5.0568901204060574E-4</v>
      </c>
    </row>
    <row r="743" spans="1:5" x14ac:dyDescent="0.45">
      <c r="A743" s="2">
        <v>41626</v>
      </c>
      <c r="B743" s="3">
        <v>20859.86</v>
      </c>
      <c r="C743" s="3">
        <v>100.1</v>
      </c>
      <c r="D743" s="3">
        <f t="shared" si="24"/>
        <v>1.1946515537890874E-2</v>
      </c>
      <c r="E743" s="3">
        <f t="shared" si="25"/>
        <v>1.2566136704548897E-2</v>
      </c>
    </row>
    <row r="744" spans="1:5" x14ac:dyDescent="0.45">
      <c r="A744" s="2">
        <v>41627</v>
      </c>
      <c r="B744" s="3">
        <v>20708.62</v>
      </c>
      <c r="C744" s="3">
        <v>99.25</v>
      </c>
      <c r="D744" s="3">
        <f t="shared" si="24"/>
        <v>-7.2766994294898935E-3</v>
      </c>
      <c r="E744" s="3">
        <f t="shared" si="25"/>
        <v>-8.5277667538750969E-3</v>
      </c>
    </row>
    <row r="745" spans="1:5" x14ac:dyDescent="0.45">
      <c r="A745" s="2">
        <v>41628</v>
      </c>
      <c r="B745" s="3">
        <v>21079.72</v>
      </c>
      <c r="C745" s="3">
        <v>99.35</v>
      </c>
      <c r="D745" s="3">
        <f t="shared" si="24"/>
        <v>1.7761402141278575E-2</v>
      </c>
      <c r="E745" s="3">
        <f t="shared" si="25"/>
        <v>1.0070494305260034E-3</v>
      </c>
    </row>
    <row r="746" spans="1:5" x14ac:dyDescent="0.45">
      <c r="A746" s="2">
        <v>41631</v>
      </c>
      <c r="B746" s="3">
        <v>21101.03</v>
      </c>
      <c r="C746" s="3">
        <v>99.55</v>
      </c>
      <c r="D746" s="3">
        <f t="shared" si="24"/>
        <v>1.0104136039785991E-3</v>
      </c>
      <c r="E746" s="3">
        <f t="shared" si="25"/>
        <v>2.0110615123794372E-3</v>
      </c>
    </row>
    <row r="747" spans="1:5" x14ac:dyDescent="0.45">
      <c r="A747" s="2">
        <v>41632</v>
      </c>
      <c r="B747" s="3">
        <v>21032.71</v>
      </c>
      <c r="C747" s="3">
        <v>98.55</v>
      </c>
      <c r="D747" s="3">
        <f t="shared" si="24"/>
        <v>-3.2430095157660673E-3</v>
      </c>
      <c r="E747" s="3">
        <f t="shared" si="25"/>
        <v>-1.0095996911476113E-2</v>
      </c>
    </row>
    <row r="748" spans="1:5" x14ac:dyDescent="0.45">
      <c r="A748" s="2">
        <v>41634</v>
      </c>
      <c r="B748" s="3">
        <v>21074.59</v>
      </c>
      <c r="C748" s="3">
        <v>98.9</v>
      </c>
      <c r="D748" s="3">
        <f t="shared" si="24"/>
        <v>1.9892044281966427E-3</v>
      </c>
      <c r="E748" s="3">
        <f t="shared" si="25"/>
        <v>3.5452050299372754E-3</v>
      </c>
    </row>
    <row r="749" spans="1:5" x14ac:dyDescent="0.45">
      <c r="A749" s="2">
        <v>41635</v>
      </c>
      <c r="B749" s="3">
        <v>21193.58</v>
      </c>
      <c r="C749" s="3">
        <v>99.8</v>
      </c>
      <c r="D749" s="3">
        <f t="shared" si="24"/>
        <v>5.6302562580602027E-3</v>
      </c>
      <c r="E749" s="3">
        <f t="shared" si="25"/>
        <v>9.0589446887517529E-3</v>
      </c>
    </row>
    <row r="750" spans="1:5" x14ac:dyDescent="0.45">
      <c r="A750" s="2">
        <v>41638</v>
      </c>
      <c r="B750" s="3">
        <v>21143.01</v>
      </c>
      <c r="C750" s="3">
        <v>99</v>
      </c>
      <c r="D750" s="3">
        <f t="shared" si="24"/>
        <v>-2.388951214569732E-3</v>
      </c>
      <c r="E750" s="3">
        <f t="shared" si="25"/>
        <v>-8.0483331828283718E-3</v>
      </c>
    </row>
    <row r="751" spans="1:5" x14ac:dyDescent="0.45">
      <c r="A751" s="2">
        <v>41639</v>
      </c>
      <c r="B751" s="3">
        <v>21170.68</v>
      </c>
      <c r="C751" s="3">
        <v>99.6</v>
      </c>
      <c r="D751" s="3">
        <f t="shared" si="24"/>
        <v>1.3078511443493923E-3</v>
      </c>
      <c r="E751" s="3">
        <f t="shared" si="25"/>
        <v>6.0423144559626617E-3</v>
      </c>
    </row>
    <row r="752" spans="1:5" x14ac:dyDescent="0.45">
      <c r="A752" s="2">
        <v>41640</v>
      </c>
      <c r="B752" s="3">
        <v>21140.48</v>
      </c>
      <c r="C752" s="3">
        <v>99.3</v>
      </c>
      <c r="D752" s="3">
        <f t="shared" si="24"/>
        <v>-1.4275196013768048E-3</v>
      </c>
      <c r="E752" s="3">
        <f t="shared" si="25"/>
        <v>-3.0165935394255677E-3</v>
      </c>
    </row>
    <row r="753" spans="1:5" x14ac:dyDescent="0.45">
      <c r="A753" s="2">
        <v>41641</v>
      </c>
      <c r="B753" s="3">
        <v>20888.330000000002</v>
      </c>
      <c r="C753" s="3">
        <v>101.95</v>
      </c>
      <c r="D753" s="3">
        <f t="shared" si="24"/>
        <v>-1.1999056138718552E-2</v>
      </c>
      <c r="E753" s="3">
        <f t="shared" si="25"/>
        <v>2.6336925969337364E-2</v>
      </c>
    </row>
    <row r="754" spans="1:5" x14ac:dyDescent="0.45">
      <c r="A754" s="2">
        <v>41642</v>
      </c>
      <c r="B754" s="3">
        <v>20851.330000000002</v>
      </c>
      <c r="C754" s="3">
        <v>100.35</v>
      </c>
      <c r="D754" s="3">
        <f t="shared" si="24"/>
        <v>-1.7728946374453425E-3</v>
      </c>
      <c r="E754" s="3">
        <f t="shared" si="25"/>
        <v>-1.581842177811707E-2</v>
      </c>
    </row>
    <row r="755" spans="1:5" x14ac:dyDescent="0.45">
      <c r="A755" s="2">
        <v>41645</v>
      </c>
      <c r="B755" s="3">
        <v>20787.3</v>
      </c>
      <c r="C755" s="3">
        <v>99.65</v>
      </c>
      <c r="D755" s="3">
        <f t="shared" si="24"/>
        <v>-3.0755118730098376E-3</v>
      </c>
      <c r="E755" s="3">
        <f t="shared" si="25"/>
        <v>-7.0000285835433431E-3</v>
      </c>
    </row>
    <row r="756" spans="1:5" x14ac:dyDescent="0.45">
      <c r="A756" s="2">
        <v>41646</v>
      </c>
      <c r="B756" s="3">
        <v>20693.240000000002</v>
      </c>
      <c r="C756" s="3">
        <v>98.65</v>
      </c>
      <c r="D756" s="3">
        <f t="shared" si="24"/>
        <v>-4.5351464187920474E-3</v>
      </c>
      <c r="E756" s="3">
        <f t="shared" si="25"/>
        <v>-1.0085814190179357E-2</v>
      </c>
    </row>
    <row r="757" spans="1:5" x14ac:dyDescent="0.45">
      <c r="A757" s="2">
        <v>41647</v>
      </c>
      <c r="B757" s="3">
        <v>20729.38</v>
      </c>
      <c r="C757" s="3">
        <v>98.6</v>
      </c>
      <c r="D757" s="3">
        <f t="shared" si="24"/>
        <v>1.7449407676278226E-3</v>
      </c>
      <c r="E757" s="3">
        <f t="shared" si="25"/>
        <v>-5.0697086003468348E-4</v>
      </c>
    </row>
    <row r="758" spans="1:5" x14ac:dyDescent="0.45">
      <c r="A758" s="2">
        <v>41648</v>
      </c>
      <c r="B758" s="3">
        <v>20713.37</v>
      </c>
      <c r="C758" s="3">
        <v>98.9</v>
      </c>
      <c r="D758" s="3">
        <f t="shared" si="24"/>
        <v>-7.7263216347593969E-4</v>
      </c>
      <c r="E758" s="3">
        <f t="shared" si="25"/>
        <v>3.0379770200768012E-3</v>
      </c>
    </row>
    <row r="759" spans="1:5" x14ac:dyDescent="0.45">
      <c r="A759" s="2">
        <v>41649</v>
      </c>
      <c r="B759" s="3">
        <v>20758.490000000002</v>
      </c>
      <c r="C759" s="3">
        <v>97.2</v>
      </c>
      <c r="D759" s="3">
        <f t="shared" si="24"/>
        <v>2.1759341299103902E-3</v>
      </c>
      <c r="E759" s="3">
        <f t="shared" si="25"/>
        <v>-1.733852716227308E-2</v>
      </c>
    </row>
    <row r="760" spans="1:5" x14ac:dyDescent="0.45">
      <c r="A760" s="2">
        <v>41652</v>
      </c>
      <c r="B760" s="3">
        <v>21134.21</v>
      </c>
      <c r="C760" s="3">
        <v>98</v>
      </c>
      <c r="D760" s="3">
        <f t="shared" si="24"/>
        <v>1.7937734943065321E-2</v>
      </c>
      <c r="E760" s="3">
        <f t="shared" si="25"/>
        <v>8.1967672041784907E-3</v>
      </c>
    </row>
    <row r="761" spans="1:5" x14ac:dyDescent="0.45">
      <c r="A761" s="2">
        <v>41653</v>
      </c>
      <c r="B761" s="3">
        <v>21032.880000000001</v>
      </c>
      <c r="C761" s="3">
        <v>97.3</v>
      </c>
      <c r="D761" s="3">
        <f t="shared" si="24"/>
        <v>-4.8061270080775884E-3</v>
      </c>
      <c r="E761" s="3">
        <f t="shared" si="25"/>
        <v>-7.168489478612516E-3</v>
      </c>
    </row>
    <row r="762" spans="1:5" x14ac:dyDescent="0.45">
      <c r="A762" s="2">
        <v>41654</v>
      </c>
      <c r="B762" s="3">
        <v>21289.49</v>
      </c>
      <c r="C762" s="3">
        <v>97.45</v>
      </c>
      <c r="D762" s="3">
        <f t="shared" si="24"/>
        <v>1.2126596153603323E-2</v>
      </c>
      <c r="E762" s="3">
        <f t="shared" si="25"/>
        <v>1.5404367616105247E-3</v>
      </c>
    </row>
    <row r="763" spans="1:5" x14ac:dyDescent="0.45">
      <c r="A763" s="2">
        <v>41655</v>
      </c>
      <c r="B763" s="3">
        <v>21265.18</v>
      </c>
      <c r="C763" s="3">
        <v>98.3</v>
      </c>
      <c r="D763" s="3">
        <f t="shared" si="24"/>
        <v>-1.142530427070622E-3</v>
      </c>
      <c r="E763" s="3">
        <f t="shared" si="25"/>
        <v>8.6846011995509401E-3</v>
      </c>
    </row>
    <row r="764" spans="1:5" x14ac:dyDescent="0.45">
      <c r="A764" s="2">
        <v>41656</v>
      </c>
      <c r="B764" s="3">
        <v>21063.62</v>
      </c>
      <c r="C764" s="3">
        <v>97.15</v>
      </c>
      <c r="D764" s="3">
        <f t="shared" si="24"/>
        <v>-9.5236115099661678E-3</v>
      </c>
      <c r="E764" s="3">
        <f t="shared" si="25"/>
        <v>-1.1767851329671635E-2</v>
      </c>
    </row>
    <row r="765" spans="1:5" x14ac:dyDescent="0.45">
      <c r="A765" s="2">
        <v>41659</v>
      </c>
      <c r="B765" s="3">
        <v>21205.05</v>
      </c>
      <c r="C765" s="3">
        <v>98.3</v>
      </c>
      <c r="D765" s="3">
        <f t="shared" si="24"/>
        <v>6.6919790852031707E-3</v>
      </c>
      <c r="E765" s="3">
        <f t="shared" si="25"/>
        <v>1.1767851329671756E-2</v>
      </c>
    </row>
    <row r="766" spans="1:5" x14ac:dyDescent="0.45">
      <c r="A766" s="2">
        <v>41660</v>
      </c>
      <c r="B766" s="3">
        <v>21251.119999999999</v>
      </c>
      <c r="C766" s="3">
        <v>97.8</v>
      </c>
      <c r="D766" s="3">
        <f t="shared" si="24"/>
        <v>2.1702390056489228E-3</v>
      </c>
      <c r="E766" s="3">
        <f t="shared" si="25"/>
        <v>-5.099450112349249E-3</v>
      </c>
    </row>
    <row r="767" spans="1:5" x14ac:dyDescent="0.45">
      <c r="A767" s="2">
        <v>41661</v>
      </c>
      <c r="B767" s="3">
        <v>21337.67</v>
      </c>
      <c r="C767" s="3">
        <v>98.1</v>
      </c>
      <c r="D767" s="3">
        <f t="shared" si="24"/>
        <v>4.0644554188558881E-3</v>
      </c>
      <c r="E767" s="3">
        <f t="shared" si="25"/>
        <v>3.0627895305457308E-3</v>
      </c>
    </row>
    <row r="768" spans="1:5" x14ac:dyDescent="0.45">
      <c r="A768" s="2">
        <v>41662</v>
      </c>
      <c r="B768" s="3">
        <v>21373.66</v>
      </c>
      <c r="C768" s="3">
        <v>98</v>
      </c>
      <c r="D768" s="3">
        <f t="shared" si="24"/>
        <v>1.6852675165121651E-3</v>
      </c>
      <c r="E768" s="3">
        <f t="shared" si="25"/>
        <v>-1.0198879007454116E-3</v>
      </c>
    </row>
    <row r="769" spans="1:5" x14ac:dyDescent="0.45">
      <c r="A769" s="2">
        <v>41663</v>
      </c>
      <c r="B769" s="3">
        <v>21133.56</v>
      </c>
      <c r="C769" s="3">
        <v>97.95</v>
      </c>
      <c r="D769" s="3">
        <f t="shared" si="24"/>
        <v>-1.1297024529637822E-2</v>
      </c>
      <c r="E769" s="3">
        <f t="shared" si="25"/>
        <v>-5.1033428002211084E-4</v>
      </c>
    </row>
    <row r="770" spans="1:5" x14ac:dyDescent="0.45">
      <c r="A770" s="2">
        <v>41666</v>
      </c>
      <c r="B770" s="3">
        <v>20707.45</v>
      </c>
      <c r="C770" s="3">
        <v>96.6</v>
      </c>
      <c r="D770" s="3">
        <f t="shared" si="24"/>
        <v>-2.0368759366323645E-2</v>
      </c>
      <c r="E770" s="3">
        <f t="shared" si="25"/>
        <v>-1.3878403172077516E-2</v>
      </c>
    </row>
    <row r="771" spans="1:5" x14ac:dyDescent="0.45">
      <c r="A771" s="2">
        <v>41667</v>
      </c>
      <c r="B771" s="3">
        <v>20683.509999999998</v>
      </c>
      <c r="C771" s="3">
        <v>96.6</v>
      </c>
      <c r="D771" s="3">
        <f t="shared" si="24"/>
        <v>-1.1567744584598026E-3</v>
      </c>
      <c r="E771" s="3">
        <f t="shared" si="25"/>
        <v>0</v>
      </c>
    </row>
    <row r="772" spans="1:5" x14ac:dyDescent="0.45">
      <c r="A772" s="2">
        <v>41668</v>
      </c>
      <c r="B772" s="3">
        <v>20647.3</v>
      </c>
      <c r="C772" s="3">
        <v>95.65</v>
      </c>
      <c r="D772" s="3">
        <f t="shared" si="24"/>
        <v>-1.75220419171007E-3</v>
      </c>
      <c r="E772" s="3">
        <f t="shared" si="25"/>
        <v>-9.8830453322103461E-3</v>
      </c>
    </row>
    <row r="773" spans="1:5" x14ac:dyDescent="0.45">
      <c r="A773" s="2">
        <v>41669</v>
      </c>
      <c r="B773" s="3">
        <v>20498.25</v>
      </c>
      <c r="C773" s="3">
        <v>95.65</v>
      </c>
      <c r="D773" s="3">
        <f t="shared" si="24"/>
        <v>-7.2450436062771757E-3</v>
      </c>
      <c r="E773" s="3">
        <f t="shared" si="25"/>
        <v>0</v>
      </c>
    </row>
    <row r="774" spans="1:5" x14ac:dyDescent="0.45">
      <c r="A774" s="2">
        <v>41670</v>
      </c>
      <c r="B774" s="3">
        <v>20513.849999999999</v>
      </c>
      <c r="C774" s="3">
        <v>95.5</v>
      </c>
      <c r="D774" s="3">
        <f t="shared" ref="D774:D837" si="26">LN(B774/B773)</f>
        <v>7.6075113209824797E-4</v>
      </c>
      <c r="E774" s="3">
        <f t="shared" ref="E774:E837" si="27">LN(C774/C773)</f>
        <v>-1.5694483995773671E-3</v>
      </c>
    </row>
    <row r="775" spans="1:5" x14ac:dyDescent="0.45">
      <c r="A775" s="2">
        <v>41673</v>
      </c>
      <c r="B775" s="3">
        <v>20209.259999999998</v>
      </c>
      <c r="C775" s="3">
        <v>95.1</v>
      </c>
      <c r="D775" s="3">
        <f t="shared" si="26"/>
        <v>-1.4959352570628828E-2</v>
      </c>
      <c r="E775" s="3">
        <f t="shared" si="27"/>
        <v>-4.1972779353400356E-3</v>
      </c>
    </row>
    <row r="776" spans="1:5" x14ac:dyDescent="0.45">
      <c r="A776" s="2">
        <v>41674</v>
      </c>
      <c r="B776" s="3">
        <v>20211.93</v>
      </c>
      <c r="C776" s="3">
        <v>95.35</v>
      </c>
      <c r="D776" s="3">
        <f t="shared" si="26"/>
        <v>1.3210892622821438E-4</v>
      </c>
      <c r="E776" s="3">
        <f t="shared" si="27"/>
        <v>2.6253624950834348E-3</v>
      </c>
    </row>
    <row r="777" spans="1:5" x14ac:dyDescent="0.45">
      <c r="A777" s="2">
        <v>41675</v>
      </c>
      <c r="B777" s="3">
        <v>20261.03</v>
      </c>
      <c r="C777" s="3">
        <v>96.55</v>
      </c>
      <c r="D777" s="3">
        <f t="shared" si="26"/>
        <v>2.4263124855510992E-3</v>
      </c>
      <c r="E777" s="3">
        <f t="shared" si="27"/>
        <v>1.2506676828095382E-2</v>
      </c>
    </row>
    <row r="778" spans="1:5" x14ac:dyDescent="0.45">
      <c r="A778" s="2">
        <v>41676</v>
      </c>
      <c r="B778" s="3">
        <v>20310.740000000002</v>
      </c>
      <c r="C778" s="3">
        <v>96</v>
      </c>
      <c r="D778" s="3">
        <f t="shared" si="26"/>
        <v>2.4504735620343959E-3</v>
      </c>
      <c r="E778" s="3">
        <f t="shared" si="27"/>
        <v>-5.712817406687166E-3</v>
      </c>
    </row>
    <row r="779" spans="1:5" x14ac:dyDescent="0.45">
      <c r="A779" s="2">
        <v>41677</v>
      </c>
      <c r="B779" s="3">
        <v>20376.560000000001</v>
      </c>
      <c r="C779" s="3">
        <v>97.45</v>
      </c>
      <c r="D779" s="3">
        <f t="shared" si="26"/>
        <v>3.2354104310836486E-3</v>
      </c>
      <c r="E779" s="3">
        <f t="shared" si="27"/>
        <v>1.4991234485733609E-2</v>
      </c>
    </row>
    <row r="780" spans="1:5" x14ac:dyDescent="0.45">
      <c r="A780" s="2">
        <v>41680</v>
      </c>
      <c r="B780" s="3">
        <v>20334.27</v>
      </c>
      <c r="C780" s="3">
        <v>96.95</v>
      </c>
      <c r="D780" s="3">
        <f t="shared" si="26"/>
        <v>-2.0775805952129387E-3</v>
      </c>
      <c r="E780" s="3">
        <f t="shared" si="27"/>
        <v>-5.1440442649089797E-3</v>
      </c>
    </row>
    <row r="781" spans="1:5" x14ac:dyDescent="0.45">
      <c r="A781" s="2">
        <v>41681</v>
      </c>
      <c r="B781" s="3">
        <v>20363.37</v>
      </c>
      <c r="C781" s="3">
        <v>95.85</v>
      </c>
      <c r="D781" s="3">
        <f t="shared" si="26"/>
        <v>1.4300585959916528E-3</v>
      </c>
      <c r="E781" s="3">
        <f t="shared" si="27"/>
        <v>-1.1410912197007392E-2</v>
      </c>
    </row>
    <row r="782" spans="1:5" x14ac:dyDescent="0.45">
      <c r="A782" s="2">
        <v>41682</v>
      </c>
      <c r="B782" s="3">
        <v>20448.490000000002</v>
      </c>
      <c r="C782" s="3">
        <v>95.7</v>
      </c>
      <c r="D782" s="3">
        <f t="shared" si="26"/>
        <v>4.171342517820328E-3</v>
      </c>
      <c r="E782" s="3">
        <f t="shared" si="27"/>
        <v>-1.5661710327448349E-3</v>
      </c>
    </row>
    <row r="783" spans="1:5" x14ac:dyDescent="0.45">
      <c r="A783" s="2">
        <v>41683</v>
      </c>
      <c r="B783" s="3">
        <v>20193.349999999999</v>
      </c>
      <c r="C783" s="3">
        <v>95.05</v>
      </c>
      <c r="D783" s="3">
        <f t="shared" si="26"/>
        <v>-1.2555698846254586E-2</v>
      </c>
      <c r="E783" s="3">
        <f t="shared" si="27"/>
        <v>-6.8152295244704279E-3</v>
      </c>
    </row>
    <row r="784" spans="1:5" x14ac:dyDescent="0.45">
      <c r="A784" s="2">
        <v>41684</v>
      </c>
      <c r="B784" s="3">
        <v>20366.82</v>
      </c>
      <c r="C784" s="3">
        <v>95.15</v>
      </c>
      <c r="D784" s="3">
        <f t="shared" si="26"/>
        <v>8.5537638371276249E-3</v>
      </c>
      <c r="E784" s="3">
        <f t="shared" si="27"/>
        <v>1.0515248077204197E-3</v>
      </c>
    </row>
    <row r="785" spans="1:5" x14ac:dyDescent="0.45">
      <c r="A785" s="2">
        <v>41687</v>
      </c>
      <c r="B785" s="3">
        <v>20464.060000000001</v>
      </c>
      <c r="C785" s="3">
        <v>95.5</v>
      </c>
      <c r="D785" s="3">
        <f t="shared" si="26"/>
        <v>4.7630706876255662E-3</v>
      </c>
      <c r="E785" s="3">
        <f t="shared" si="27"/>
        <v>3.6716537445259986E-3</v>
      </c>
    </row>
    <row r="786" spans="1:5" x14ac:dyDescent="0.45">
      <c r="A786" s="2">
        <v>41688</v>
      </c>
      <c r="B786" s="3">
        <v>20634.21</v>
      </c>
      <c r="C786" s="3">
        <v>95.7</v>
      </c>
      <c r="D786" s="3">
        <f t="shared" si="26"/>
        <v>8.2802011932429226E-3</v>
      </c>
      <c r="E786" s="3">
        <f t="shared" si="27"/>
        <v>2.0920509722239509E-3</v>
      </c>
    </row>
    <row r="787" spans="1:5" x14ac:dyDescent="0.45">
      <c r="A787" s="2">
        <v>41689</v>
      </c>
      <c r="B787" s="3">
        <v>20722.97</v>
      </c>
      <c r="C787" s="3">
        <v>94.85</v>
      </c>
      <c r="D787" s="3">
        <f t="shared" si="26"/>
        <v>4.2923688839197616E-3</v>
      </c>
      <c r="E787" s="3">
        <f t="shared" si="27"/>
        <v>-8.9216020778854314E-3</v>
      </c>
    </row>
    <row r="788" spans="1:5" x14ac:dyDescent="0.45">
      <c r="A788" s="2">
        <v>41690</v>
      </c>
      <c r="B788" s="3">
        <v>20536.64</v>
      </c>
      <c r="C788" s="3">
        <v>95.05</v>
      </c>
      <c r="D788" s="3">
        <f t="shared" si="26"/>
        <v>-9.0321390204373929E-3</v>
      </c>
      <c r="E788" s="3">
        <f t="shared" si="27"/>
        <v>2.1063725534149593E-3</v>
      </c>
    </row>
    <row r="789" spans="1:5" x14ac:dyDescent="0.45">
      <c r="A789" s="2">
        <v>41691</v>
      </c>
      <c r="B789" s="3">
        <v>20700.75</v>
      </c>
      <c r="C789" s="3">
        <v>95.15</v>
      </c>
      <c r="D789" s="3">
        <f t="shared" si="26"/>
        <v>7.9593236320006124E-3</v>
      </c>
      <c r="E789" s="3">
        <f t="shared" si="27"/>
        <v>1.0515248077204197E-3</v>
      </c>
    </row>
    <row r="790" spans="1:5" x14ac:dyDescent="0.45">
      <c r="A790" s="2">
        <v>41694</v>
      </c>
      <c r="B790" s="3">
        <v>20811.439999999999</v>
      </c>
      <c r="C790" s="3">
        <v>94.75</v>
      </c>
      <c r="D790" s="3">
        <f t="shared" si="26"/>
        <v>5.3329040136852824E-3</v>
      </c>
      <c r="E790" s="3">
        <f t="shared" si="27"/>
        <v>-4.2127497796227865E-3</v>
      </c>
    </row>
    <row r="791" spans="1:5" x14ac:dyDescent="0.45">
      <c r="A791" s="2">
        <v>41695</v>
      </c>
      <c r="B791" s="3">
        <v>20852.47</v>
      </c>
      <c r="C791" s="3">
        <v>95.35</v>
      </c>
      <c r="D791" s="3">
        <f t="shared" si="26"/>
        <v>1.9695709434696175E-3</v>
      </c>
      <c r="E791" s="3">
        <f t="shared" si="27"/>
        <v>6.3124880838923885E-3</v>
      </c>
    </row>
    <row r="792" spans="1:5" x14ac:dyDescent="0.45">
      <c r="A792" s="2">
        <v>41696</v>
      </c>
      <c r="B792" s="3">
        <v>20986.99</v>
      </c>
      <c r="C792" s="3">
        <v>95.3</v>
      </c>
      <c r="D792" s="3">
        <f t="shared" si="26"/>
        <v>6.4303154735499968E-3</v>
      </c>
      <c r="E792" s="3">
        <f t="shared" si="27"/>
        <v>-5.2452138627165411E-4</v>
      </c>
    </row>
    <row r="793" spans="1:5" x14ac:dyDescent="0.45">
      <c r="A793" s="2">
        <v>41698</v>
      </c>
      <c r="B793" s="3">
        <v>21120.12</v>
      </c>
      <c r="C793" s="3">
        <v>94.6</v>
      </c>
      <c r="D793" s="3">
        <f t="shared" si="26"/>
        <v>6.3234187103736409E-3</v>
      </c>
      <c r="E793" s="3">
        <f t="shared" si="27"/>
        <v>-7.372334602323837E-3</v>
      </c>
    </row>
    <row r="794" spans="1:5" x14ac:dyDescent="0.45">
      <c r="A794" s="2">
        <v>41701</v>
      </c>
      <c r="B794" s="3">
        <v>20946.650000000001</v>
      </c>
      <c r="C794" s="3">
        <v>94.5</v>
      </c>
      <c r="D794" s="3">
        <f t="shared" si="26"/>
        <v>-8.2474115926535491E-3</v>
      </c>
      <c r="E794" s="3">
        <f t="shared" si="27"/>
        <v>-1.057641558135424E-3</v>
      </c>
    </row>
    <row r="795" spans="1:5" x14ac:dyDescent="0.45">
      <c r="A795" s="2">
        <v>41702</v>
      </c>
      <c r="B795" s="3">
        <v>21209.73</v>
      </c>
      <c r="C795" s="3">
        <v>96</v>
      </c>
      <c r="D795" s="3">
        <f t="shared" si="26"/>
        <v>1.2481309603705465E-2</v>
      </c>
      <c r="E795" s="3">
        <f t="shared" si="27"/>
        <v>1.5748356968139112E-2</v>
      </c>
    </row>
    <row r="796" spans="1:5" x14ac:dyDescent="0.45">
      <c r="A796" s="2">
        <v>41703</v>
      </c>
      <c r="B796" s="3">
        <v>21276.86</v>
      </c>
      <c r="C796" s="3">
        <v>96</v>
      </c>
      <c r="D796" s="3">
        <f t="shared" si="26"/>
        <v>3.1600585437980048E-3</v>
      </c>
      <c r="E796" s="3">
        <f t="shared" si="27"/>
        <v>0</v>
      </c>
    </row>
    <row r="797" spans="1:5" x14ac:dyDescent="0.45">
      <c r="A797" s="2">
        <v>41704</v>
      </c>
      <c r="B797" s="3">
        <v>21513.87</v>
      </c>
      <c r="C797" s="3">
        <v>97.6</v>
      </c>
      <c r="D797" s="3">
        <f t="shared" si="26"/>
        <v>1.1077746219679547E-2</v>
      </c>
      <c r="E797" s="3">
        <f t="shared" si="27"/>
        <v>1.6529301951210506E-2</v>
      </c>
    </row>
    <row r="798" spans="1:5" x14ac:dyDescent="0.45">
      <c r="A798" s="2">
        <v>41705</v>
      </c>
      <c r="B798" s="3">
        <v>21919.79</v>
      </c>
      <c r="C798" s="3">
        <v>98.7</v>
      </c>
      <c r="D798" s="3">
        <f t="shared" si="26"/>
        <v>1.8692038327322177E-2</v>
      </c>
      <c r="E798" s="3">
        <f t="shared" si="27"/>
        <v>1.1207453020389288E-2</v>
      </c>
    </row>
    <row r="799" spans="1:5" x14ac:dyDescent="0.45">
      <c r="A799" s="2">
        <v>41708</v>
      </c>
      <c r="B799" s="3">
        <v>21934.83</v>
      </c>
      <c r="C799" s="3">
        <v>98.85</v>
      </c>
      <c r="D799" s="3">
        <f t="shared" si="26"/>
        <v>6.8590267523231869E-4</v>
      </c>
      <c r="E799" s="3">
        <f t="shared" si="27"/>
        <v>1.518603177189838E-3</v>
      </c>
    </row>
    <row r="800" spans="1:5" x14ac:dyDescent="0.45">
      <c r="A800" s="2">
        <v>41709</v>
      </c>
      <c r="B800" s="3">
        <v>21826.42</v>
      </c>
      <c r="C800" s="3">
        <v>98.8</v>
      </c>
      <c r="D800" s="3">
        <f t="shared" si="26"/>
        <v>-4.9546218068789076E-3</v>
      </c>
      <c r="E800" s="3">
        <f t="shared" si="27"/>
        <v>-5.0594486280371165E-4</v>
      </c>
    </row>
    <row r="801" spans="1:5" x14ac:dyDescent="0.45">
      <c r="A801" s="2">
        <v>41710</v>
      </c>
      <c r="B801" s="3">
        <v>21856.22</v>
      </c>
      <c r="C801" s="3">
        <v>98.45</v>
      </c>
      <c r="D801" s="3">
        <f t="shared" si="26"/>
        <v>1.3643866132108436E-3</v>
      </c>
      <c r="E801" s="3">
        <f t="shared" si="27"/>
        <v>-3.5487996686875481E-3</v>
      </c>
    </row>
    <row r="802" spans="1:5" x14ac:dyDescent="0.45">
      <c r="A802" s="2">
        <v>41711</v>
      </c>
      <c r="B802" s="3">
        <v>21774.61</v>
      </c>
      <c r="C802" s="3">
        <v>98.75</v>
      </c>
      <c r="D802" s="3">
        <f t="shared" si="26"/>
        <v>-3.7409370931054992E-3</v>
      </c>
      <c r="E802" s="3">
        <f t="shared" si="27"/>
        <v>3.0425986960967303E-3</v>
      </c>
    </row>
    <row r="803" spans="1:5" x14ac:dyDescent="0.45">
      <c r="A803" s="2">
        <v>41712</v>
      </c>
      <c r="B803" s="3">
        <v>21809.8</v>
      </c>
      <c r="C803" s="3">
        <v>98.4</v>
      </c>
      <c r="D803" s="3">
        <f t="shared" si="26"/>
        <v>1.6147979356245102E-3</v>
      </c>
      <c r="E803" s="3">
        <f t="shared" si="27"/>
        <v>-3.5505997230234404E-3</v>
      </c>
    </row>
    <row r="804" spans="1:5" x14ac:dyDescent="0.45">
      <c r="A804" s="2">
        <v>41716</v>
      </c>
      <c r="B804" s="3">
        <v>21832.61</v>
      </c>
      <c r="C804" s="3">
        <v>101.3</v>
      </c>
      <c r="D804" s="3">
        <f t="shared" si="26"/>
        <v>1.0453135872653737E-3</v>
      </c>
      <c r="E804" s="3">
        <f t="shared" si="27"/>
        <v>2.9045607196429804E-2</v>
      </c>
    </row>
    <row r="805" spans="1:5" x14ac:dyDescent="0.45">
      <c r="A805" s="2">
        <v>41717</v>
      </c>
      <c r="B805" s="3">
        <v>21832.86</v>
      </c>
      <c r="C805" s="3">
        <v>102.2</v>
      </c>
      <c r="D805" s="3">
        <f t="shared" si="26"/>
        <v>1.1450695481013087E-5</v>
      </c>
      <c r="E805" s="3">
        <f t="shared" si="27"/>
        <v>8.8452665149664888E-3</v>
      </c>
    </row>
    <row r="806" spans="1:5" x14ac:dyDescent="0.45">
      <c r="A806" s="2">
        <v>41718</v>
      </c>
      <c r="B806" s="3">
        <v>21740.09</v>
      </c>
      <c r="C806" s="3">
        <v>99.35</v>
      </c>
      <c r="D806" s="3">
        <f t="shared" si="26"/>
        <v>-4.2581528298813462E-3</v>
      </c>
      <c r="E806" s="3">
        <f t="shared" si="27"/>
        <v>-2.8282708771778305E-2</v>
      </c>
    </row>
    <row r="807" spans="1:5" x14ac:dyDescent="0.45">
      <c r="A807" s="2">
        <v>41719</v>
      </c>
      <c r="B807" s="3">
        <v>21753.75</v>
      </c>
      <c r="C807" s="3">
        <v>100.8</v>
      </c>
      <c r="D807" s="3">
        <f t="shared" si="26"/>
        <v>6.2813494734569964E-4</v>
      </c>
      <c r="E807" s="3">
        <f t="shared" si="27"/>
        <v>1.4489386639442403E-2</v>
      </c>
    </row>
    <row r="808" spans="1:5" x14ac:dyDescent="0.45">
      <c r="A808" s="2">
        <v>41720</v>
      </c>
      <c r="B808" s="3">
        <v>21755.32</v>
      </c>
      <c r="C808" s="3">
        <v>101.15</v>
      </c>
      <c r="D808" s="3">
        <f t="shared" si="26"/>
        <v>7.2168860455216414E-5</v>
      </c>
      <c r="E808" s="3">
        <f t="shared" si="27"/>
        <v>3.4662079764863291E-3</v>
      </c>
    </row>
    <row r="809" spans="1:5" x14ac:dyDescent="0.45">
      <c r="A809" s="2">
        <v>41722</v>
      </c>
      <c r="B809" s="3">
        <v>22055.48</v>
      </c>
      <c r="C809" s="3">
        <v>103.15</v>
      </c>
      <c r="D809" s="3">
        <f t="shared" si="26"/>
        <v>1.3702771765760881E-2</v>
      </c>
      <c r="E809" s="3">
        <f t="shared" si="27"/>
        <v>1.957967590350625E-2</v>
      </c>
    </row>
    <row r="810" spans="1:5" x14ac:dyDescent="0.45">
      <c r="A810" s="2">
        <v>41723</v>
      </c>
      <c r="B810" s="3">
        <v>22055.21</v>
      </c>
      <c r="C810" s="3">
        <v>105.25</v>
      </c>
      <c r="D810" s="3">
        <f t="shared" si="26"/>
        <v>-1.2241930470955449E-5</v>
      </c>
      <c r="E810" s="3">
        <f t="shared" si="27"/>
        <v>2.0154233045230022E-2</v>
      </c>
    </row>
    <row r="811" spans="1:5" x14ac:dyDescent="0.45">
      <c r="A811" s="2">
        <v>41724</v>
      </c>
      <c r="B811" s="3">
        <v>22095.3</v>
      </c>
      <c r="C811" s="3">
        <v>104.05</v>
      </c>
      <c r="D811" s="3">
        <f t="shared" si="26"/>
        <v>1.8160610610535837E-3</v>
      </c>
      <c r="E811" s="3">
        <f t="shared" si="27"/>
        <v>-1.1466919722847451E-2</v>
      </c>
    </row>
    <row r="812" spans="1:5" x14ac:dyDescent="0.45">
      <c r="A812" s="2">
        <v>41725</v>
      </c>
      <c r="B812" s="3">
        <v>22214.37</v>
      </c>
      <c r="C812" s="3">
        <v>105.5</v>
      </c>
      <c r="D812" s="3">
        <f t="shared" si="26"/>
        <v>5.3744605459507154E-3</v>
      </c>
      <c r="E812" s="3">
        <f t="shared" si="27"/>
        <v>1.3839400076477822E-2</v>
      </c>
    </row>
    <row r="813" spans="1:5" x14ac:dyDescent="0.45">
      <c r="A813" s="2">
        <v>41726</v>
      </c>
      <c r="B813" s="3">
        <v>22339.97</v>
      </c>
      <c r="C813" s="3">
        <v>107.05</v>
      </c>
      <c r="D813" s="3">
        <f t="shared" si="26"/>
        <v>5.6380739884353001E-3</v>
      </c>
      <c r="E813" s="3">
        <f t="shared" si="27"/>
        <v>1.4585062119570493E-2</v>
      </c>
    </row>
    <row r="814" spans="1:5" x14ac:dyDescent="0.45">
      <c r="A814" s="2">
        <v>41729</v>
      </c>
      <c r="B814" s="3">
        <v>22386.27</v>
      </c>
      <c r="C814" s="3">
        <v>105.05</v>
      </c>
      <c r="D814" s="3">
        <f t="shared" si="26"/>
        <v>2.0703737465318198E-3</v>
      </c>
      <c r="E814" s="3">
        <f t="shared" si="27"/>
        <v>-1.885958774468242E-2</v>
      </c>
    </row>
    <row r="815" spans="1:5" x14ac:dyDescent="0.45">
      <c r="A815" s="2">
        <v>41730</v>
      </c>
      <c r="B815" s="3">
        <v>22446.44</v>
      </c>
      <c r="C815" s="3">
        <v>107.95</v>
      </c>
      <c r="D815" s="3">
        <f t="shared" si="26"/>
        <v>2.6842024997721604E-3</v>
      </c>
      <c r="E815" s="3">
        <f t="shared" si="27"/>
        <v>2.7231729669807091E-2</v>
      </c>
    </row>
    <row r="816" spans="1:5" x14ac:dyDescent="0.45">
      <c r="A816" s="2">
        <v>41731</v>
      </c>
      <c r="B816" s="3">
        <v>22551.49</v>
      </c>
      <c r="C816" s="3">
        <v>108.35</v>
      </c>
      <c r="D816" s="3">
        <f t="shared" si="26"/>
        <v>4.6691121500963117E-3</v>
      </c>
      <c r="E816" s="3">
        <f t="shared" si="27"/>
        <v>3.6985710215515868E-3</v>
      </c>
    </row>
    <row r="817" spans="1:5" x14ac:dyDescent="0.45">
      <c r="A817" s="2">
        <v>41732</v>
      </c>
      <c r="B817" s="3">
        <v>22509.07</v>
      </c>
      <c r="C817" s="3">
        <v>108.8</v>
      </c>
      <c r="D817" s="3">
        <f t="shared" si="26"/>
        <v>-1.8828000598017354E-3</v>
      </c>
      <c r="E817" s="3">
        <f t="shared" si="27"/>
        <v>4.1446064394742785E-3</v>
      </c>
    </row>
    <row r="818" spans="1:5" x14ac:dyDescent="0.45">
      <c r="A818" s="2">
        <v>41733</v>
      </c>
      <c r="B818" s="3">
        <v>22359.5</v>
      </c>
      <c r="C818" s="3">
        <v>106.55</v>
      </c>
      <c r="D818" s="3">
        <f t="shared" si="26"/>
        <v>-6.6670524167211686E-3</v>
      </c>
      <c r="E818" s="3">
        <f t="shared" si="27"/>
        <v>-2.0896975877216062E-2</v>
      </c>
    </row>
    <row r="819" spans="1:5" x14ac:dyDescent="0.45">
      <c r="A819" s="2">
        <v>41736</v>
      </c>
      <c r="B819" s="3">
        <v>22343.45</v>
      </c>
      <c r="C819" s="3">
        <v>106.75</v>
      </c>
      <c r="D819" s="3">
        <f t="shared" si="26"/>
        <v>-7.1807344659145734E-4</v>
      </c>
      <c r="E819" s="3">
        <f t="shared" si="27"/>
        <v>1.875293564107794E-3</v>
      </c>
    </row>
    <row r="820" spans="1:5" x14ac:dyDescent="0.45">
      <c r="A820" s="2">
        <v>41738</v>
      </c>
      <c r="B820" s="3">
        <v>22702.34</v>
      </c>
      <c r="C820" s="3">
        <v>106.75</v>
      </c>
      <c r="D820" s="3">
        <f t="shared" si="26"/>
        <v>1.593478964432055E-2</v>
      </c>
      <c r="E820" s="3">
        <f t="shared" si="27"/>
        <v>0</v>
      </c>
    </row>
    <row r="821" spans="1:5" x14ac:dyDescent="0.45">
      <c r="A821" s="2">
        <v>41739</v>
      </c>
      <c r="B821" s="3">
        <v>22715.33</v>
      </c>
      <c r="C821" s="3">
        <v>107.75</v>
      </c>
      <c r="D821" s="3">
        <f t="shared" si="26"/>
        <v>5.7202407583681488E-4</v>
      </c>
      <c r="E821" s="3">
        <f t="shared" si="27"/>
        <v>9.3240768751232436E-3</v>
      </c>
    </row>
    <row r="822" spans="1:5" x14ac:dyDescent="0.45">
      <c r="A822" s="2">
        <v>41740</v>
      </c>
      <c r="B822" s="3">
        <v>22628.959999999999</v>
      </c>
      <c r="C822" s="3">
        <v>107.55</v>
      </c>
      <c r="D822" s="3">
        <f t="shared" si="26"/>
        <v>-3.8095250561232699E-3</v>
      </c>
      <c r="E822" s="3">
        <f t="shared" si="27"/>
        <v>-1.8578732701181903E-3</v>
      </c>
    </row>
    <row r="823" spans="1:5" x14ac:dyDescent="0.45">
      <c r="A823" s="2">
        <v>41744</v>
      </c>
      <c r="B823" s="3">
        <v>22484.93</v>
      </c>
      <c r="C823" s="3">
        <v>107.9</v>
      </c>
      <c r="D823" s="3">
        <f t="shared" si="26"/>
        <v>-6.3851948634956607E-3</v>
      </c>
      <c r="E823" s="3">
        <f t="shared" si="27"/>
        <v>3.2490165503500567E-3</v>
      </c>
    </row>
    <row r="824" spans="1:5" x14ac:dyDescent="0.45">
      <c r="A824" s="2">
        <v>41745</v>
      </c>
      <c r="B824" s="3">
        <v>22277.23</v>
      </c>
      <c r="C824" s="3">
        <v>107.5</v>
      </c>
      <c r="D824" s="3">
        <f t="shared" si="26"/>
        <v>-9.2802264518326346E-3</v>
      </c>
      <c r="E824" s="3">
        <f t="shared" si="27"/>
        <v>-3.714024696371593E-3</v>
      </c>
    </row>
    <row r="825" spans="1:5" x14ac:dyDescent="0.45">
      <c r="A825" s="2">
        <v>41746</v>
      </c>
      <c r="B825" s="3">
        <v>22628.84</v>
      </c>
      <c r="C825" s="3">
        <v>107.15</v>
      </c>
      <c r="D825" s="3">
        <f t="shared" si="26"/>
        <v>1.5660118362025115E-2</v>
      </c>
      <c r="E825" s="3">
        <f t="shared" si="27"/>
        <v>-3.2611256481313764E-3</v>
      </c>
    </row>
    <row r="826" spans="1:5" x14ac:dyDescent="0.45">
      <c r="A826" s="2">
        <v>41750</v>
      </c>
      <c r="B826" s="3">
        <v>22764.83</v>
      </c>
      <c r="C826" s="3">
        <v>105.9</v>
      </c>
      <c r="D826" s="3">
        <f t="shared" si="26"/>
        <v>5.9916022136364501E-3</v>
      </c>
      <c r="E826" s="3">
        <f t="shared" si="27"/>
        <v>-1.1734469312225245E-2</v>
      </c>
    </row>
    <row r="827" spans="1:5" x14ac:dyDescent="0.45">
      <c r="A827" s="2">
        <v>41751</v>
      </c>
      <c r="B827" s="3">
        <v>22758.37</v>
      </c>
      <c r="C827" s="3">
        <v>105.95</v>
      </c>
      <c r="D827" s="3">
        <f t="shared" si="26"/>
        <v>-2.8381133327025907E-4</v>
      </c>
      <c r="E827" s="3">
        <f t="shared" si="27"/>
        <v>4.7203210694718076E-4</v>
      </c>
    </row>
    <row r="828" spans="1:5" x14ac:dyDescent="0.45">
      <c r="A828" s="2">
        <v>41752</v>
      </c>
      <c r="B828" s="3">
        <v>22876.54</v>
      </c>
      <c r="C828" s="3">
        <v>105.3</v>
      </c>
      <c r="D828" s="3">
        <f t="shared" si="26"/>
        <v>5.1789414780903844E-3</v>
      </c>
      <c r="E828" s="3">
        <f t="shared" si="27"/>
        <v>-6.1538655743783354E-3</v>
      </c>
    </row>
    <row r="829" spans="1:5" x14ac:dyDescent="0.45">
      <c r="A829" s="2">
        <v>41754</v>
      </c>
      <c r="B829" s="3">
        <v>22688.07</v>
      </c>
      <c r="C829" s="3">
        <v>105.45</v>
      </c>
      <c r="D829" s="3">
        <f t="shared" si="26"/>
        <v>-8.2726956234952069E-3</v>
      </c>
      <c r="E829" s="3">
        <f t="shared" si="27"/>
        <v>1.4234877848539275E-3</v>
      </c>
    </row>
    <row r="830" spans="1:5" x14ac:dyDescent="0.45">
      <c r="A830" s="2">
        <v>41757</v>
      </c>
      <c r="B830" s="3">
        <v>22631.61</v>
      </c>
      <c r="C830" s="3">
        <v>106.15</v>
      </c>
      <c r="D830" s="3">
        <f t="shared" si="26"/>
        <v>-2.4916340631605063E-3</v>
      </c>
      <c r="E830" s="3">
        <f t="shared" si="27"/>
        <v>6.6162812244814906E-3</v>
      </c>
    </row>
    <row r="831" spans="1:5" x14ac:dyDescent="0.45">
      <c r="A831" s="2">
        <v>41758</v>
      </c>
      <c r="B831" s="3">
        <v>22466.19</v>
      </c>
      <c r="C831" s="3">
        <v>105.3</v>
      </c>
      <c r="D831" s="3">
        <f t="shared" si="26"/>
        <v>-7.3360892053842457E-3</v>
      </c>
      <c r="E831" s="3">
        <f t="shared" si="27"/>
        <v>-8.0397690093353541E-3</v>
      </c>
    </row>
    <row r="832" spans="1:5" x14ac:dyDescent="0.45">
      <c r="A832" s="2">
        <v>41759</v>
      </c>
      <c r="B832" s="3">
        <v>22417.8</v>
      </c>
      <c r="C832" s="3">
        <v>105.75</v>
      </c>
      <c r="D832" s="3">
        <f t="shared" si="26"/>
        <v>-2.1562262512021214E-3</v>
      </c>
      <c r="E832" s="3">
        <f t="shared" si="27"/>
        <v>4.264398786457518E-3</v>
      </c>
    </row>
    <row r="833" spans="1:5" x14ac:dyDescent="0.45">
      <c r="A833" s="2">
        <v>41761</v>
      </c>
      <c r="B833" s="3">
        <v>22403.89</v>
      </c>
      <c r="C833" s="3">
        <v>104.35</v>
      </c>
      <c r="D833" s="3">
        <f t="shared" si="26"/>
        <v>-6.2068165865965881E-4</v>
      </c>
      <c r="E833" s="3">
        <f t="shared" si="27"/>
        <v>-1.3327184403177615E-2</v>
      </c>
    </row>
    <row r="834" spans="1:5" x14ac:dyDescent="0.45">
      <c r="A834" s="2">
        <v>41764</v>
      </c>
      <c r="B834" s="3">
        <v>22445.119999999999</v>
      </c>
      <c r="C834" s="3">
        <v>104.8</v>
      </c>
      <c r="D834" s="3">
        <f t="shared" si="26"/>
        <v>1.8386141239166009E-3</v>
      </c>
      <c r="E834" s="3">
        <f t="shared" si="27"/>
        <v>4.3031383637321093E-3</v>
      </c>
    </row>
    <row r="835" spans="1:5" x14ac:dyDescent="0.45">
      <c r="A835" s="2">
        <v>41765</v>
      </c>
      <c r="B835" s="3">
        <v>22508.42</v>
      </c>
      <c r="C835" s="3">
        <v>102.45</v>
      </c>
      <c r="D835" s="3">
        <f t="shared" si="26"/>
        <v>2.8162428070046203E-3</v>
      </c>
      <c r="E835" s="3">
        <f t="shared" si="27"/>
        <v>-2.2678897202032988E-2</v>
      </c>
    </row>
    <row r="836" spans="1:5" x14ac:dyDescent="0.45">
      <c r="A836" s="2">
        <v>41766</v>
      </c>
      <c r="B836" s="3">
        <v>22323.9</v>
      </c>
      <c r="C836" s="3">
        <v>102.6</v>
      </c>
      <c r="D836" s="3">
        <f t="shared" si="26"/>
        <v>-8.2316079967340063E-3</v>
      </c>
      <c r="E836" s="3">
        <f t="shared" si="27"/>
        <v>1.4630580517603152E-3</v>
      </c>
    </row>
    <row r="837" spans="1:5" x14ac:dyDescent="0.45">
      <c r="A837" s="2">
        <v>41767</v>
      </c>
      <c r="B837" s="3">
        <v>22344.04</v>
      </c>
      <c r="C837" s="3">
        <v>103.65</v>
      </c>
      <c r="D837" s="3">
        <f t="shared" si="26"/>
        <v>9.0176539884267363E-4</v>
      </c>
      <c r="E837" s="3">
        <f t="shared" si="27"/>
        <v>1.0181906145119502E-2</v>
      </c>
    </row>
    <row r="838" spans="1:5" x14ac:dyDescent="0.45">
      <c r="A838" s="2">
        <v>41768</v>
      </c>
      <c r="B838" s="3">
        <v>22994.23</v>
      </c>
      <c r="C838" s="3">
        <v>106.5</v>
      </c>
      <c r="D838" s="3">
        <f t="shared" ref="D838:D901" si="28">LN(B838/B837)</f>
        <v>2.8683696059865555E-2</v>
      </c>
      <c r="E838" s="3">
        <f t="shared" ref="E838:E901" si="29">LN(C838/C837)</f>
        <v>2.7125146267691164E-2</v>
      </c>
    </row>
    <row r="839" spans="1:5" x14ac:dyDescent="0.45">
      <c r="A839" s="2">
        <v>41771</v>
      </c>
      <c r="B839" s="3">
        <v>23551</v>
      </c>
      <c r="C839" s="3">
        <v>111.45</v>
      </c>
      <c r="D839" s="3">
        <f t="shared" si="28"/>
        <v>2.3924967515017263E-2</v>
      </c>
      <c r="E839" s="3">
        <f t="shared" si="29"/>
        <v>4.5431074682398001E-2</v>
      </c>
    </row>
    <row r="840" spans="1:5" x14ac:dyDescent="0.45">
      <c r="A840" s="2">
        <v>41772</v>
      </c>
      <c r="B840" s="3">
        <v>23871.23</v>
      </c>
      <c r="C840" s="3">
        <v>112.8</v>
      </c>
      <c r="D840" s="3">
        <f t="shared" si="28"/>
        <v>1.3505685733288347E-2</v>
      </c>
      <c r="E840" s="3">
        <f t="shared" si="29"/>
        <v>1.2040279232080531E-2</v>
      </c>
    </row>
    <row r="841" spans="1:5" x14ac:dyDescent="0.45">
      <c r="A841" s="2">
        <v>41773</v>
      </c>
      <c r="B841" s="3">
        <v>23815.119999999999</v>
      </c>
      <c r="C841" s="3">
        <v>112</v>
      </c>
      <c r="D841" s="3">
        <f t="shared" si="28"/>
        <v>-2.3532950580093838E-3</v>
      </c>
      <c r="E841" s="3">
        <f t="shared" si="29"/>
        <v>-7.1174677688639896E-3</v>
      </c>
    </row>
    <row r="842" spans="1:5" x14ac:dyDescent="0.45">
      <c r="A842" s="2">
        <v>41774</v>
      </c>
      <c r="B842" s="3">
        <v>23905.599999999999</v>
      </c>
      <c r="C842" s="3">
        <v>114.15</v>
      </c>
      <c r="D842" s="3">
        <f t="shared" si="28"/>
        <v>3.7920680334879663E-3</v>
      </c>
      <c r="E842" s="3">
        <f t="shared" si="29"/>
        <v>1.9014501680709978E-2</v>
      </c>
    </row>
    <row r="843" spans="1:5" x14ac:dyDescent="0.45">
      <c r="A843" s="2">
        <v>41775</v>
      </c>
      <c r="B843" s="3">
        <v>24121.74</v>
      </c>
      <c r="C843" s="3">
        <v>119.35</v>
      </c>
      <c r="D843" s="3">
        <f t="shared" si="28"/>
        <v>9.0007674458697229E-3</v>
      </c>
      <c r="E843" s="3">
        <f t="shared" si="29"/>
        <v>4.45469798090345E-2</v>
      </c>
    </row>
    <row r="844" spans="1:5" x14ac:dyDescent="0.45">
      <c r="A844" s="2">
        <v>41778</v>
      </c>
      <c r="B844" s="3">
        <v>24363.05</v>
      </c>
      <c r="C844" s="3">
        <v>122.5</v>
      </c>
      <c r="D844" s="3">
        <f t="shared" si="28"/>
        <v>9.9541316981351709E-3</v>
      </c>
      <c r="E844" s="3">
        <f t="shared" si="29"/>
        <v>2.605067719994255E-2</v>
      </c>
    </row>
    <row r="845" spans="1:5" x14ac:dyDescent="0.45">
      <c r="A845" s="2">
        <v>41779</v>
      </c>
      <c r="B845" s="3">
        <v>24376.880000000001</v>
      </c>
      <c r="C845" s="3">
        <v>124.75</v>
      </c>
      <c r="D845" s="3">
        <f t="shared" si="28"/>
        <v>5.6750185612391448E-4</v>
      </c>
      <c r="E845" s="3">
        <f t="shared" si="29"/>
        <v>1.820070464684637E-2</v>
      </c>
    </row>
    <row r="846" spans="1:5" x14ac:dyDescent="0.45">
      <c r="A846" s="2">
        <v>41780</v>
      </c>
      <c r="B846" s="3">
        <v>24298.02</v>
      </c>
      <c r="C846" s="3">
        <v>124.25</v>
      </c>
      <c r="D846" s="3">
        <f t="shared" si="28"/>
        <v>-3.2402765695869608E-3</v>
      </c>
      <c r="E846" s="3">
        <f t="shared" si="29"/>
        <v>-4.0160696548899432E-3</v>
      </c>
    </row>
    <row r="847" spans="1:5" x14ac:dyDescent="0.45">
      <c r="A847" s="2">
        <v>41781</v>
      </c>
      <c r="B847" s="3">
        <v>24374.400000000001</v>
      </c>
      <c r="C847" s="3">
        <v>125.5</v>
      </c>
      <c r="D847" s="3">
        <f t="shared" si="28"/>
        <v>3.1385356511068616E-3</v>
      </c>
      <c r="E847" s="3">
        <f t="shared" si="29"/>
        <v>1.0010093595100425E-2</v>
      </c>
    </row>
    <row r="848" spans="1:5" x14ac:dyDescent="0.45">
      <c r="A848" s="2">
        <v>41782</v>
      </c>
      <c r="B848" s="3">
        <v>24693.35</v>
      </c>
      <c r="C848" s="3">
        <v>130.65</v>
      </c>
      <c r="D848" s="3">
        <f t="shared" si="28"/>
        <v>1.300057541925871E-2</v>
      </c>
      <c r="E848" s="3">
        <f t="shared" si="29"/>
        <v>4.0216233394782967E-2</v>
      </c>
    </row>
    <row r="849" spans="1:5" x14ac:dyDescent="0.45">
      <c r="A849" s="2">
        <v>41785</v>
      </c>
      <c r="B849" s="3">
        <v>24716.880000000001</v>
      </c>
      <c r="C849" s="3">
        <v>128</v>
      </c>
      <c r="D849" s="3">
        <f t="shared" si="28"/>
        <v>9.5243441606063879E-4</v>
      </c>
      <c r="E849" s="3">
        <f t="shared" si="29"/>
        <v>-2.0491728047004415E-2</v>
      </c>
    </row>
    <row r="850" spans="1:5" x14ac:dyDescent="0.45">
      <c r="A850" s="2">
        <v>41786</v>
      </c>
      <c r="B850" s="3">
        <v>24549.51</v>
      </c>
      <c r="C850" s="3">
        <v>126.8</v>
      </c>
      <c r="D850" s="3">
        <f t="shared" si="28"/>
        <v>-6.7945162571130552E-3</v>
      </c>
      <c r="E850" s="3">
        <f t="shared" si="29"/>
        <v>-9.4192219164916397E-3</v>
      </c>
    </row>
    <row r="851" spans="1:5" x14ac:dyDescent="0.45">
      <c r="A851" s="2">
        <v>41787</v>
      </c>
      <c r="B851" s="3">
        <v>24556.09</v>
      </c>
      <c r="C851" s="3">
        <v>124.95</v>
      </c>
      <c r="D851" s="3">
        <f t="shared" si="28"/>
        <v>2.6799387602979586E-4</v>
      </c>
      <c r="E851" s="3">
        <f t="shared" si="29"/>
        <v>-1.4697384722164069E-2</v>
      </c>
    </row>
    <row r="852" spans="1:5" x14ac:dyDescent="0.45">
      <c r="A852" s="2">
        <v>41788</v>
      </c>
      <c r="B852" s="3">
        <v>24234.15</v>
      </c>
      <c r="C852" s="3">
        <v>124.9</v>
      </c>
      <c r="D852" s="3">
        <f t="shared" si="28"/>
        <v>-1.3197093209489284E-2</v>
      </c>
      <c r="E852" s="3">
        <f t="shared" si="29"/>
        <v>-4.0024014942933198E-4</v>
      </c>
    </row>
    <row r="853" spans="1:5" x14ac:dyDescent="0.45">
      <c r="A853" s="2">
        <v>41789</v>
      </c>
      <c r="B853" s="3">
        <v>24217.34</v>
      </c>
      <c r="C853" s="3">
        <v>121.75</v>
      </c>
      <c r="D853" s="3">
        <f t="shared" si="28"/>
        <v>-6.9388993710945031E-4</v>
      </c>
      <c r="E853" s="3">
        <f t="shared" si="29"/>
        <v>-2.5543655168832856E-2</v>
      </c>
    </row>
    <row r="854" spans="1:5" x14ac:dyDescent="0.45">
      <c r="A854" s="2">
        <v>41792</v>
      </c>
      <c r="B854" s="3">
        <v>24684.85</v>
      </c>
      <c r="C854" s="3">
        <v>125.2</v>
      </c>
      <c r="D854" s="3">
        <f t="shared" si="28"/>
        <v>1.9120789623679097E-2</v>
      </c>
      <c r="E854" s="3">
        <f t="shared" si="29"/>
        <v>2.7942696703298988E-2</v>
      </c>
    </row>
    <row r="855" spans="1:5" x14ac:dyDescent="0.45">
      <c r="A855" s="2">
        <v>41793</v>
      </c>
      <c r="B855" s="3">
        <v>24858.59</v>
      </c>
      <c r="C855" s="3">
        <v>125.45</v>
      </c>
      <c r="D855" s="3">
        <f t="shared" si="28"/>
        <v>7.0136717277472886E-3</v>
      </c>
      <c r="E855" s="3">
        <f t="shared" si="29"/>
        <v>1.9948141464331548E-3</v>
      </c>
    </row>
    <row r="856" spans="1:5" x14ac:dyDescent="0.45">
      <c r="A856" s="2">
        <v>41794</v>
      </c>
      <c r="B856" s="3">
        <v>24805.83</v>
      </c>
      <c r="C856" s="3">
        <v>124.15</v>
      </c>
      <c r="D856" s="3">
        <f t="shared" si="28"/>
        <v>-2.124660666422916E-3</v>
      </c>
      <c r="E856" s="3">
        <f t="shared" si="29"/>
        <v>-1.0416760858255604E-2</v>
      </c>
    </row>
    <row r="857" spans="1:5" x14ac:dyDescent="0.45">
      <c r="A857" s="2">
        <v>41795</v>
      </c>
      <c r="B857" s="3">
        <v>25019.51</v>
      </c>
      <c r="C857" s="3">
        <v>126.75</v>
      </c>
      <c r="D857" s="3">
        <f t="shared" si="28"/>
        <v>8.5772143254828574E-3</v>
      </c>
      <c r="E857" s="3">
        <f t="shared" si="29"/>
        <v>2.0726130517116952E-2</v>
      </c>
    </row>
    <row r="858" spans="1:5" x14ac:dyDescent="0.45">
      <c r="A858" s="2">
        <v>41796</v>
      </c>
      <c r="B858" s="3">
        <v>25396.46</v>
      </c>
      <c r="C858" s="3">
        <v>127.8</v>
      </c>
      <c r="D858" s="3">
        <f t="shared" si="28"/>
        <v>1.4953873718383312E-2</v>
      </c>
      <c r="E858" s="3">
        <f t="shared" si="29"/>
        <v>8.2498994721418393E-3</v>
      </c>
    </row>
    <row r="859" spans="1:5" x14ac:dyDescent="0.45">
      <c r="A859" s="2">
        <v>41799</v>
      </c>
      <c r="B859" s="3">
        <v>25580.21</v>
      </c>
      <c r="C859" s="3">
        <v>137.55000000000001</v>
      </c>
      <c r="D859" s="3">
        <f t="shared" si="28"/>
        <v>7.209211422861829E-3</v>
      </c>
      <c r="E859" s="3">
        <f t="shared" si="29"/>
        <v>7.3520945427149265E-2</v>
      </c>
    </row>
    <row r="860" spans="1:5" x14ac:dyDescent="0.45">
      <c r="A860" s="2">
        <v>41800</v>
      </c>
      <c r="B860" s="3">
        <v>25583.69</v>
      </c>
      <c r="C860" s="3">
        <v>136.4</v>
      </c>
      <c r="D860" s="3">
        <f t="shared" si="28"/>
        <v>1.3603341439441131E-4</v>
      </c>
      <c r="E860" s="3">
        <f t="shared" si="29"/>
        <v>-8.3957419612218261E-3</v>
      </c>
    </row>
    <row r="861" spans="1:5" x14ac:dyDescent="0.45">
      <c r="A861" s="2">
        <v>41801</v>
      </c>
      <c r="B861" s="3">
        <v>25473.89</v>
      </c>
      <c r="C861" s="3">
        <v>133.55000000000001</v>
      </c>
      <c r="D861" s="3">
        <f t="shared" si="28"/>
        <v>-4.3010330401381403E-3</v>
      </c>
      <c r="E861" s="3">
        <f t="shared" si="29"/>
        <v>-2.1115805853391831E-2</v>
      </c>
    </row>
    <row r="862" spans="1:5" x14ac:dyDescent="0.45">
      <c r="A862" s="2">
        <v>41802</v>
      </c>
      <c r="B862" s="3">
        <v>25576.21</v>
      </c>
      <c r="C862" s="3">
        <v>136.44999999999999</v>
      </c>
      <c r="D862" s="3">
        <f t="shared" si="28"/>
        <v>4.0086165165209003E-3</v>
      </c>
      <c r="E862" s="3">
        <f t="shared" si="29"/>
        <v>2.1482307598377465E-2</v>
      </c>
    </row>
    <row r="863" spans="1:5" x14ac:dyDescent="0.45">
      <c r="A863" s="2">
        <v>41803</v>
      </c>
      <c r="B863" s="3">
        <v>25228.17</v>
      </c>
      <c r="C863" s="3">
        <v>133.1</v>
      </c>
      <c r="D863" s="3">
        <f t="shared" si="28"/>
        <v>-1.3701395223302716E-2</v>
      </c>
      <c r="E863" s="3">
        <f t="shared" si="29"/>
        <v>-2.4857521753281452E-2</v>
      </c>
    </row>
    <row r="864" spans="1:5" x14ac:dyDescent="0.45">
      <c r="A864" s="2">
        <v>41806</v>
      </c>
      <c r="B864" s="3">
        <v>25190.48</v>
      </c>
      <c r="C864" s="3">
        <v>131.85</v>
      </c>
      <c r="D864" s="3">
        <f t="shared" si="28"/>
        <v>-1.4950819595768649E-3</v>
      </c>
      <c r="E864" s="3">
        <f t="shared" si="29"/>
        <v>-9.4358126017702413E-3</v>
      </c>
    </row>
    <row r="865" spans="1:5" x14ac:dyDescent="0.45">
      <c r="A865" s="2">
        <v>41807</v>
      </c>
      <c r="B865" s="3">
        <v>25521.19</v>
      </c>
      <c r="C865" s="3">
        <v>133.5</v>
      </c>
      <c r="D865" s="3">
        <f t="shared" si="28"/>
        <v>1.304294211988543E-2</v>
      </c>
      <c r="E865" s="3">
        <f t="shared" si="29"/>
        <v>1.2436565041008563E-2</v>
      </c>
    </row>
    <row r="866" spans="1:5" x14ac:dyDescent="0.45">
      <c r="A866" s="2">
        <v>41808</v>
      </c>
      <c r="B866" s="3">
        <v>25246.25</v>
      </c>
      <c r="C866" s="3">
        <v>133.69999999999999</v>
      </c>
      <c r="D866" s="3">
        <f t="shared" si="28"/>
        <v>-1.0831457643022832E-2</v>
      </c>
      <c r="E866" s="3">
        <f t="shared" si="29"/>
        <v>1.4970062675931887E-3</v>
      </c>
    </row>
    <row r="867" spans="1:5" x14ac:dyDescent="0.45">
      <c r="A867" s="2">
        <v>41809</v>
      </c>
      <c r="B867" s="3">
        <v>25201.8</v>
      </c>
      <c r="C867" s="3">
        <v>131.15</v>
      </c>
      <c r="D867" s="3">
        <f t="shared" si="28"/>
        <v>-1.7622093025538763E-3</v>
      </c>
      <c r="E867" s="3">
        <f t="shared" si="29"/>
        <v>-1.9256777795014727E-2</v>
      </c>
    </row>
    <row r="868" spans="1:5" x14ac:dyDescent="0.45">
      <c r="A868" s="2">
        <v>41810</v>
      </c>
      <c r="B868" s="3">
        <v>25105.51</v>
      </c>
      <c r="C868" s="3">
        <v>132.05000000000001</v>
      </c>
      <c r="D868" s="3">
        <f t="shared" si="28"/>
        <v>-3.8280765792278494E-3</v>
      </c>
      <c r="E868" s="3">
        <f t="shared" si="29"/>
        <v>6.8389324302585682E-3</v>
      </c>
    </row>
    <row r="869" spans="1:5" x14ac:dyDescent="0.45">
      <c r="A869" s="2">
        <v>41813</v>
      </c>
      <c r="B869" s="3">
        <v>25031.32</v>
      </c>
      <c r="C869" s="3">
        <v>131.65</v>
      </c>
      <c r="D869" s="3">
        <f t="shared" si="28"/>
        <v>-2.9595031895874248E-3</v>
      </c>
      <c r="E869" s="3">
        <f t="shared" si="29"/>
        <v>-3.0337528008228956E-3</v>
      </c>
    </row>
    <row r="870" spans="1:5" x14ac:dyDescent="0.45">
      <c r="A870" s="2">
        <v>41814</v>
      </c>
      <c r="B870" s="3">
        <v>25368.9</v>
      </c>
      <c r="C870" s="3">
        <v>132.4</v>
      </c>
      <c r="D870" s="3">
        <f t="shared" si="28"/>
        <v>1.3396173604899069E-2</v>
      </c>
      <c r="E870" s="3">
        <f t="shared" si="29"/>
        <v>5.6807575605894722E-3</v>
      </c>
    </row>
    <row r="871" spans="1:5" x14ac:dyDescent="0.45">
      <c r="A871" s="2">
        <v>41815</v>
      </c>
      <c r="B871" s="3">
        <v>25313.74</v>
      </c>
      <c r="C871" s="3">
        <v>132.30000000000001</v>
      </c>
      <c r="D871" s="3">
        <f t="shared" si="28"/>
        <v>-2.1766830527680499E-3</v>
      </c>
      <c r="E871" s="3">
        <f t="shared" si="29"/>
        <v>-7.5557238199774565E-4</v>
      </c>
    </row>
    <row r="872" spans="1:5" x14ac:dyDescent="0.45">
      <c r="A872" s="2">
        <v>41816</v>
      </c>
      <c r="B872" s="3">
        <v>25062.67</v>
      </c>
      <c r="C872" s="3">
        <v>132.5</v>
      </c>
      <c r="D872" s="3">
        <f t="shared" si="28"/>
        <v>-9.9678432350458618E-3</v>
      </c>
      <c r="E872" s="3">
        <f t="shared" si="29"/>
        <v>1.5105743053668514E-3</v>
      </c>
    </row>
    <row r="873" spans="1:5" x14ac:dyDescent="0.45">
      <c r="A873" s="2">
        <v>41817</v>
      </c>
      <c r="B873" s="3">
        <v>25099.919999999998</v>
      </c>
      <c r="C873" s="3">
        <v>136.65</v>
      </c>
      <c r="D873" s="3">
        <f t="shared" si="28"/>
        <v>1.4851707954856939E-3</v>
      </c>
      <c r="E873" s="3">
        <f t="shared" si="29"/>
        <v>3.0840266947800135E-2</v>
      </c>
    </row>
    <row r="874" spans="1:5" x14ac:dyDescent="0.45">
      <c r="A874" s="2">
        <v>41820</v>
      </c>
      <c r="B874" s="3">
        <v>25413.78</v>
      </c>
      <c r="C874" s="3">
        <v>139.15</v>
      </c>
      <c r="D874" s="3">
        <f t="shared" si="28"/>
        <v>1.2426887717267594E-2</v>
      </c>
      <c r="E874" s="3">
        <f t="shared" si="29"/>
        <v>1.8129575597822783E-2</v>
      </c>
    </row>
    <row r="875" spans="1:5" x14ac:dyDescent="0.45">
      <c r="A875" s="2">
        <v>41821</v>
      </c>
      <c r="B875" s="3">
        <v>25516.35</v>
      </c>
      <c r="C875" s="3">
        <v>139.65</v>
      </c>
      <c r="D875" s="3">
        <f t="shared" si="28"/>
        <v>4.0278765702267639E-3</v>
      </c>
      <c r="E875" s="3">
        <f t="shared" si="29"/>
        <v>3.5868044192859418E-3</v>
      </c>
    </row>
    <row r="876" spans="1:5" x14ac:dyDescent="0.45">
      <c r="A876" s="2">
        <v>41822</v>
      </c>
      <c r="B876" s="3">
        <v>25841.21</v>
      </c>
      <c r="C876" s="3">
        <v>140.80000000000001</v>
      </c>
      <c r="D876" s="3">
        <f t="shared" si="28"/>
        <v>1.2651081274298663E-2</v>
      </c>
      <c r="E876" s="3">
        <f t="shared" si="29"/>
        <v>8.2011513327563592E-3</v>
      </c>
    </row>
    <row r="877" spans="1:5" x14ac:dyDescent="0.45">
      <c r="A877" s="2">
        <v>41823</v>
      </c>
      <c r="B877" s="3">
        <v>25823.75</v>
      </c>
      <c r="C877" s="3">
        <v>140.25</v>
      </c>
      <c r="D877" s="3">
        <f t="shared" si="28"/>
        <v>-6.7589331975440395E-4</v>
      </c>
      <c r="E877" s="3">
        <f t="shared" si="29"/>
        <v>-3.9138993211364406E-3</v>
      </c>
    </row>
    <row r="878" spans="1:5" x14ac:dyDescent="0.45">
      <c r="A878" s="2">
        <v>41824</v>
      </c>
      <c r="B878" s="3">
        <v>25962.06</v>
      </c>
      <c r="C878" s="3">
        <v>144</v>
      </c>
      <c r="D878" s="3">
        <f t="shared" si="28"/>
        <v>5.341630414456163E-3</v>
      </c>
      <c r="E878" s="3">
        <f t="shared" si="29"/>
        <v>2.6386755173195029E-2</v>
      </c>
    </row>
    <row r="879" spans="1:5" x14ac:dyDescent="0.45">
      <c r="A879" s="2">
        <v>41827</v>
      </c>
      <c r="B879" s="3">
        <v>26100.080000000002</v>
      </c>
      <c r="C879" s="3">
        <v>145.6</v>
      </c>
      <c r="D879" s="3">
        <f t="shared" si="28"/>
        <v>5.3021379198922598E-3</v>
      </c>
      <c r="E879" s="3">
        <f t="shared" si="29"/>
        <v>1.1049836186584935E-2</v>
      </c>
    </row>
    <row r="880" spans="1:5" x14ac:dyDescent="0.45">
      <c r="A880" s="2">
        <v>41828</v>
      </c>
      <c r="B880" s="3">
        <v>25582.11</v>
      </c>
      <c r="C880" s="3">
        <v>137.55000000000001</v>
      </c>
      <c r="D880" s="3">
        <f t="shared" si="28"/>
        <v>-2.0045100391727008E-2</v>
      </c>
      <c r="E880" s="3">
        <f t="shared" si="29"/>
        <v>-5.687564839200196E-2</v>
      </c>
    </row>
    <row r="881" spans="1:5" x14ac:dyDescent="0.45">
      <c r="A881" s="2">
        <v>41829</v>
      </c>
      <c r="B881" s="3">
        <v>25444.81</v>
      </c>
      <c r="C881" s="3">
        <v>136.30000000000001</v>
      </c>
      <c r="D881" s="3">
        <f t="shared" si="28"/>
        <v>-5.3814861392772395E-3</v>
      </c>
      <c r="E881" s="3">
        <f t="shared" si="29"/>
        <v>-9.1291486680966111E-3</v>
      </c>
    </row>
    <row r="882" spans="1:5" x14ac:dyDescent="0.45">
      <c r="A882" s="2">
        <v>41830</v>
      </c>
      <c r="B882" s="3">
        <v>25372.75</v>
      </c>
      <c r="C882" s="3">
        <v>137.94999999999999</v>
      </c>
      <c r="D882" s="3">
        <f t="shared" si="28"/>
        <v>-2.8360294472456961E-3</v>
      </c>
      <c r="E882" s="3">
        <f t="shared" si="29"/>
        <v>1.203296196080793E-2</v>
      </c>
    </row>
    <row r="883" spans="1:5" x14ac:dyDescent="0.45">
      <c r="A883" s="2">
        <v>41831</v>
      </c>
      <c r="B883" s="3">
        <v>25024.35</v>
      </c>
      <c r="C883" s="3">
        <v>132.65</v>
      </c>
      <c r="D883" s="3">
        <f t="shared" si="28"/>
        <v>-1.3826412641820635E-2</v>
      </c>
      <c r="E883" s="3">
        <f t="shared" si="29"/>
        <v>-3.9177220079546257E-2</v>
      </c>
    </row>
    <row r="884" spans="1:5" x14ac:dyDescent="0.45">
      <c r="A884" s="2">
        <v>41834</v>
      </c>
      <c r="B884" s="3">
        <v>25006.98</v>
      </c>
      <c r="C884" s="3">
        <v>134.15</v>
      </c>
      <c r="D884" s="3">
        <f t="shared" si="28"/>
        <v>-6.9436493884537888E-4</v>
      </c>
      <c r="E884" s="3">
        <f t="shared" si="29"/>
        <v>1.1244496287884487E-2</v>
      </c>
    </row>
    <row r="885" spans="1:5" x14ac:dyDescent="0.45">
      <c r="A885" s="2">
        <v>41835</v>
      </c>
      <c r="B885" s="3">
        <v>25228.65</v>
      </c>
      <c r="C885" s="3">
        <v>135.25</v>
      </c>
      <c r="D885" s="3">
        <f t="shared" si="28"/>
        <v>8.8252675933487082E-3</v>
      </c>
      <c r="E885" s="3">
        <f t="shared" si="29"/>
        <v>8.1663408549576214E-3</v>
      </c>
    </row>
    <row r="886" spans="1:5" x14ac:dyDescent="0.45">
      <c r="A886" s="2">
        <v>41836</v>
      </c>
      <c r="B886" s="3">
        <v>25549.72</v>
      </c>
      <c r="C886" s="3">
        <v>136.5</v>
      </c>
      <c r="D886" s="3">
        <f t="shared" si="28"/>
        <v>1.2646104193072069E-2</v>
      </c>
      <c r="E886" s="3">
        <f t="shared" si="29"/>
        <v>9.1996968984234158E-3</v>
      </c>
    </row>
    <row r="887" spans="1:5" x14ac:dyDescent="0.45">
      <c r="A887" s="2">
        <v>41837</v>
      </c>
      <c r="B887" s="3">
        <v>25561.16</v>
      </c>
      <c r="C887" s="3">
        <v>138.75</v>
      </c>
      <c r="D887" s="3">
        <f t="shared" si="28"/>
        <v>4.476542055640955E-4</v>
      </c>
      <c r="E887" s="3">
        <f t="shared" si="29"/>
        <v>1.6349138001529411E-2</v>
      </c>
    </row>
    <row r="888" spans="1:5" x14ac:dyDescent="0.45">
      <c r="A888" s="2">
        <v>41838</v>
      </c>
      <c r="B888" s="3">
        <v>25641.56</v>
      </c>
      <c r="C888" s="3">
        <v>137.15</v>
      </c>
      <c r="D888" s="3">
        <f t="shared" si="28"/>
        <v>3.1404607442220294E-3</v>
      </c>
      <c r="E888" s="3">
        <f t="shared" si="29"/>
        <v>-1.1598535242931647E-2</v>
      </c>
    </row>
    <row r="889" spans="1:5" x14ac:dyDescent="0.45">
      <c r="A889" s="2">
        <v>41841</v>
      </c>
      <c r="B889" s="3">
        <v>25715.17</v>
      </c>
      <c r="C889" s="3">
        <v>136.44999999999999</v>
      </c>
      <c r="D889" s="3">
        <f t="shared" si="28"/>
        <v>2.8666174971606435E-3</v>
      </c>
      <c r="E889" s="3">
        <f t="shared" si="29"/>
        <v>-5.1169702292648651E-3</v>
      </c>
    </row>
    <row r="890" spans="1:5" x14ac:dyDescent="0.45">
      <c r="A890" s="2">
        <v>41842</v>
      </c>
      <c r="B890" s="3">
        <v>26025.8</v>
      </c>
      <c r="C890" s="3">
        <v>135.75</v>
      </c>
      <c r="D890" s="3">
        <f t="shared" si="28"/>
        <v>1.2007263569467798E-2</v>
      </c>
      <c r="E890" s="3">
        <f t="shared" si="29"/>
        <v>-5.1432883403026127E-3</v>
      </c>
    </row>
    <row r="891" spans="1:5" x14ac:dyDescent="0.45">
      <c r="A891" s="2">
        <v>41843</v>
      </c>
      <c r="B891" s="3">
        <v>26147.33</v>
      </c>
      <c r="C891" s="3">
        <v>136.05000000000001</v>
      </c>
      <c r="D891" s="3">
        <f t="shared" si="28"/>
        <v>4.6587283455928712E-3</v>
      </c>
      <c r="E891" s="3">
        <f t="shared" si="29"/>
        <v>2.2075064152105202E-3</v>
      </c>
    </row>
    <row r="892" spans="1:5" x14ac:dyDescent="0.45">
      <c r="A892" s="2">
        <v>41844</v>
      </c>
      <c r="B892" s="3">
        <v>26271.85</v>
      </c>
      <c r="C892" s="3">
        <v>134.65</v>
      </c>
      <c r="D892" s="3">
        <f t="shared" si="28"/>
        <v>4.7509417055472472E-3</v>
      </c>
      <c r="E892" s="3">
        <f t="shared" si="29"/>
        <v>-1.0343645971647462E-2</v>
      </c>
    </row>
    <row r="893" spans="1:5" x14ac:dyDescent="0.45">
      <c r="A893" s="2">
        <v>41845</v>
      </c>
      <c r="B893" s="3">
        <v>26126.75</v>
      </c>
      <c r="C893" s="3">
        <v>134.6</v>
      </c>
      <c r="D893" s="3">
        <f t="shared" si="28"/>
        <v>-5.5383300656394801E-3</v>
      </c>
      <c r="E893" s="3">
        <f t="shared" si="29"/>
        <v>-3.7140204698062307E-4</v>
      </c>
    </row>
    <row r="894" spans="1:5" x14ac:dyDescent="0.45">
      <c r="A894" s="2">
        <v>41848</v>
      </c>
      <c r="B894" s="3">
        <v>25991.23</v>
      </c>
      <c r="C894" s="3">
        <v>132.94999999999999</v>
      </c>
      <c r="D894" s="3">
        <f t="shared" si="28"/>
        <v>-5.2005202593309856E-3</v>
      </c>
      <c r="E894" s="3">
        <f t="shared" si="29"/>
        <v>-1.2334299521598679E-2</v>
      </c>
    </row>
    <row r="895" spans="1:5" x14ac:dyDescent="0.45">
      <c r="A895" s="2">
        <v>41850</v>
      </c>
      <c r="B895" s="3">
        <v>26087.42</v>
      </c>
      <c r="C895" s="3">
        <v>134.75</v>
      </c>
      <c r="D895" s="3">
        <f t="shared" si="28"/>
        <v>3.6940323676991128E-3</v>
      </c>
      <c r="E895" s="3">
        <f t="shared" si="29"/>
        <v>1.3448092100077894E-2</v>
      </c>
    </row>
    <row r="896" spans="1:5" x14ac:dyDescent="0.45">
      <c r="A896" s="2">
        <v>41851</v>
      </c>
      <c r="B896" s="3">
        <v>25894.97</v>
      </c>
      <c r="C896" s="3">
        <v>132.75</v>
      </c>
      <c r="D896" s="3">
        <f t="shared" si="28"/>
        <v>-7.4044644454659041E-3</v>
      </c>
      <c r="E896" s="3">
        <f t="shared" si="29"/>
        <v>-1.4953549667058358E-2</v>
      </c>
    </row>
    <row r="897" spans="1:5" x14ac:dyDescent="0.45">
      <c r="A897" s="2">
        <v>41852</v>
      </c>
      <c r="B897" s="3">
        <v>25480.84</v>
      </c>
      <c r="C897" s="3">
        <v>129.75</v>
      </c>
      <c r="D897" s="3">
        <f t="shared" si="28"/>
        <v>-1.6121944156843065E-2</v>
      </c>
      <c r="E897" s="3">
        <f t="shared" si="29"/>
        <v>-2.2858138076050208E-2</v>
      </c>
    </row>
    <row r="898" spans="1:5" x14ac:dyDescent="0.45">
      <c r="A898" s="2">
        <v>41855</v>
      </c>
      <c r="B898" s="3">
        <v>25723.16</v>
      </c>
      <c r="C898" s="3">
        <v>132.05000000000001</v>
      </c>
      <c r="D898" s="3">
        <f t="shared" si="28"/>
        <v>9.4649562153372637E-3</v>
      </c>
      <c r="E898" s="3">
        <f t="shared" si="29"/>
        <v>1.7571116697143233E-2</v>
      </c>
    </row>
    <row r="899" spans="1:5" x14ac:dyDescent="0.45">
      <c r="A899" s="2">
        <v>41856</v>
      </c>
      <c r="B899" s="3">
        <v>25908.01</v>
      </c>
      <c r="C899" s="3">
        <v>132.25</v>
      </c>
      <c r="D899" s="3">
        <f t="shared" si="28"/>
        <v>7.1604338928940138E-3</v>
      </c>
      <c r="E899" s="3">
        <f t="shared" si="29"/>
        <v>1.5134319952674129E-3</v>
      </c>
    </row>
    <row r="900" spans="1:5" x14ac:dyDescent="0.45">
      <c r="A900" s="2">
        <v>41857</v>
      </c>
      <c r="B900" s="3">
        <v>25665.27</v>
      </c>
      <c r="C900" s="3">
        <v>133.65</v>
      </c>
      <c r="D900" s="3">
        <f t="shared" si="28"/>
        <v>-9.4134711811831567E-3</v>
      </c>
      <c r="E900" s="3">
        <f t="shared" si="29"/>
        <v>1.0530371846519213E-2</v>
      </c>
    </row>
    <row r="901" spans="1:5" x14ac:dyDescent="0.45">
      <c r="A901" s="2">
        <v>41858</v>
      </c>
      <c r="B901" s="3">
        <v>25589.01</v>
      </c>
      <c r="C901" s="3">
        <v>134.44999999999999</v>
      </c>
      <c r="D901" s="3">
        <f t="shared" si="28"/>
        <v>-2.975753684344766E-3</v>
      </c>
      <c r="E901" s="3">
        <f t="shared" si="29"/>
        <v>5.9679401299456416E-3</v>
      </c>
    </row>
    <row r="902" spans="1:5" x14ac:dyDescent="0.45">
      <c r="A902" s="2">
        <v>41859</v>
      </c>
      <c r="B902" s="3">
        <v>25329.14</v>
      </c>
      <c r="C902" s="3">
        <v>132.05000000000001</v>
      </c>
      <c r="D902" s="3">
        <f t="shared" ref="D902:D965" si="30">LN(B902/B901)</f>
        <v>-1.0207450834792854E-2</v>
      </c>
      <c r="E902" s="3">
        <f t="shared" ref="E902:E965" si="31">LN(C902/C901)</f>
        <v>-1.8011743971732289E-2</v>
      </c>
    </row>
    <row r="903" spans="1:5" x14ac:dyDescent="0.45">
      <c r="A903" s="2">
        <v>41862</v>
      </c>
      <c r="B903" s="3">
        <v>25519.24</v>
      </c>
      <c r="C903" s="3">
        <v>131.25</v>
      </c>
      <c r="D903" s="3">
        <f t="shared" si="30"/>
        <v>7.4771658674366876E-3</v>
      </c>
      <c r="E903" s="3">
        <f t="shared" si="31"/>
        <v>-6.0767372714081473E-3</v>
      </c>
    </row>
    <row r="904" spans="1:5" x14ac:dyDescent="0.45">
      <c r="A904" s="2">
        <v>41863</v>
      </c>
      <c r="B904" s="3">
        <v>25880.77</v>
      </c>
      <c r="C904" s="3">
        <v>132</v>
      </c>
      <c r="D904" s="3">
        <f t="shared" si="30"/>
        <v>1.4067544426012258E-2</v>
      </c>
      <c r="E904" s="3">
        <f t="shared" si="31"/>
        <v>5.6980211146377959E-3</v>
      </c>
    </row>
    <row r="905" spans="1:5" x14ac:dyDescent="0.45">
      <c r="A905" s="2">
        <v>41864</v>
      </c>
      <c r="B905" s="3">
        <v>25918.95</v>
      </c>
      <c r="C905" s="3">
        <v>131.69999999999999</v>
      </c>
      <c r="D905" s="3">
        <f t="shared" si="30"/>
        <v>1.474139509404324E-3</v>
      </c>
      <c r="E905" s="3">
        <f t="shared" si="31"/>
        <v>-2.2753138371355394E-3</v>
      </c>
    </row>
    <row r="906" spans="1:5" x14ac:dyDescent="0.45">
      <c r="A906" s="2">
        <v>41865</v>
      </c>
      <c r="B906" s="3">
        <v>26103.23</v>
      </c>
      <c r="C906" s="3">
        <v>133.05000000000001</v>
      </c>
      <c r="D906" s="3">
        <f t="shared" si="30"/>
        <v>7.0847000566349192E-3</v>
      </c>
      <c r="E906" s="3">
        <f t="shared" si="31"/>
        <v>1.0198388674462986E-2</v>
      </c>
    </row>
    <row r="907" spans="1:5" x14ac:dyDescent="0.45">
      <c r="A907" s="2">
        <v>41869</v>
      </c>
      <c r="B907" s="3">
        <v>26390.959999999999</v>
      </c>
      <c r="C907" s="3">
        <v>134.4</v>
      </c>
      <c r="D907" s="3">
        <f t="shared" si="30"/>
        <v>1.0962465808350742E-2</v>
      </c>
      <c r="E907" s="3">
        <f t="shared" si="31"/>
        <v>1.0095430665350935E-2</v>
      </c>
    </row>
    <row r="908" spans="1:5" x14ac:dyDescent="0.45">
      <c r="A908" s="2">
        <v>41870</v>
      </c>
      <c r="B908" s="3">
        <v>26420.67</v>
      </c>
      <c r="C908" s="3">
        <v>136.55000000000001</v>
      </c>
      <c r="D908" s="3">
        <f t="shared" si="30"/>
        <v>1.1251310794311248E-3</v>
      </c>
      <c r="E908" s="3">
        <f t="shared" si="31"/>
        <v>1.5870419830664981E-2</v>
      </c>
    </row>
    <row r="909" spans="1:5" x14ac:dyDescent="0.45">
      <c r="A909" s="2">
        <v>41871</v>
      </c>
      <c r="B909" s="3">
        <v>26314.29</v>
      </c>
      <c r="C909" s="3">
        <v>137.15</v>
      </c>
      <c r="D909" s="3">
        <f t="shared" si="30"/>
        <v>-4.0345207163798589E-3</v>
      </c>
      <c r="E909" s="3">
        <f t="shared" si="31"/>
        <v>4.3843694638982227E-3</v>
      </c>
    </row>
    <row r="910" spans="1:5" x14ac:dyDescent="0.45">
      <c r="A910" s="2">
        <v>41872</v>
      </c>
      <c r="B910" s="3">
        <v>26360.11</v>
      </c>
      <c r="C910" s="3">
        <v>136.05000000000001</v>
      </c>
      <c r="D910" s="3">
        <f t="shared" si="30"/>
        <v>1.7397449826479431E-3</v>
      </c>
      <c r="E910" s="3">
        <f t="shared" si="31"/>
        <v>-8.0527521543569264E-3</v>
      </c>
    </row>
    <row r="911" spans="1:5" x14ac:dyDescent="0.45">
      <c r="A911" s="2">
        <v>41873</v>
      </c>
      <c r="B911" s="3">
        <v>26419.55</v>
      </c>
      <c r="C911" s="3">
        <v>134.15</v>
      </c>
      <c r="D911" s="3">
        <f t="shared" si="30"/>
        <v>2.2523837830485862E-3</v>
      </c>
      <c r="E911" s="3">
        <f t="shared" si="31"/>
        <v>-1.4063888357622156E-2</v>
      </c>
    </row>
    <row r="912" spans="1:5" x14ac:dyDescent="0.45">
      <c r="A912" s="2">
        <v>41876</v>
      </c>
      <c r="B912" s="3">
        <v>26437.02</v>
      </c>
      <c r="C912" s="3">
        <v>132.44999999999999</v>
      </c>
      <c r="D912" s="3">
        <f t="shared" si="30"/>
        <v>6.6103421527926817E-4</v>
      </c>
      <c r="E912" s="3">
        <f t="shared" si="31"/>
        <v>-1.2753361153554568E-2</v>
      </c>
    </row>
    <row r="913" spans="1:5" x14ac:dyDescent="0.45">
      <c r="A913" s="2">
        <v>41877</v>
      </c>
      <c r="B913" s="3">
        <v>26442.81</v>
      </c>
      <c r="C913" s="3">
        <v>131.05000000000001</v>
      </c>
      <c r="D913" s="3">
        <f t="shared" si="30"/>
        <v>2.1898708914683843E-4</v>
      </c>
      <c r="E913" s="3">
        <f t="shared" si="31"/>
        <v>-1.062628594866318E-2</v>
      </c>
    </row>
    <row r="914" spans="1:5" x14ac:dyDescent="0.45">
      <c r="A914" s="2">
        <v>41878</v>
      </c>
      <c r="B914" s="3">
        <v>26560.15</v>
      </c>
      <c r="C914" s="3">
        <v>129.5</v>
      </c>
      <c r="D914" s="3">
        <f t="shared" si="30"/>
        <v>4.4276844801949908E-3</v>
      </c>
      <c r="E914" s="3">
        <f t="shared" si="31"/>
        <v>-1.1898048629823047E-2</v>
      </c>
    </row>
    <row r="915" spans="1:5" x14ac:dyDescent="0.45">
      <c r="A915" s="2">
        <v>41879</v>
      </c>
      <c r="B915" s="3">
        <v>26638.11</v>
      </c>
      <c r="C915" s="3">
        <v>129.30000000000001</v>
      </c>
      <c r="D915" s="3">
        <f t="shared" si="30"/>
        <v>2.9309250268128627E-3</v>
      </c>
      <c r="E915" s="3">
        <f t="shared" si="31"/>
        <v>-1.5455953617805973E-3</v>
      </c>
    </row>
    <row r="916" spans="1:5" x14ac:dyDescent="0.45">
      <c r="A916" s="2">
        <v>41883</v>
      </c>
      <c r="B916" s="3">
        <v>26867.55</v>
      </c>
      <c r="C916" s="3">
        <v>132.30000000000001</v>
      </c>
      <c r="D916" s="3">
        <f t="shared" si="30"/>
        <v>8.5763415064406753E-3</v>
      </c>
      <c r="E916" s="3">
        <f t="shared" si="31"/>
        <v>2.2936785343098232E-2</v>
      </c>
    </row>
    <row r="917" spans="1:5" x14ac:dyDescent="0.45">
      <c r="A917" s="2">
        <v>41884</v>
      </c>
      <c r="B917" s="3">
        <v>27019.39</v>
      </c>
      <c r="C917" s="3">
        <v>132.25</v>
      </c>
      <c r="D917" s="3">
        <f t="shared" si="30"/>
        <v>5.6355176915874163E-3</v>
      </c>
      <c r="E917" s="3">
        <f t="shared" si="31"/>
        <v>-3.7800038250133673E-4</v>
      </c>
    </row>
    <row r="918" spans="1:5" x14ac:dyDescent="0.45">
      <c r="A918" s="2">
        <v>41885</v>
      </c>
      <c r="B918" s="3">
        <v>27139.94</v>
      </c>
      <c r="C918" s="3">
        <v>132.35</v>
      </c>
      <c r="D918" s="3">
        <f t="shared" si="30"/>
        <v>4.4516872377641029E-3</v>
      </c>
      <c r="E918" s="3">
        <f t="shared" si="31"/>
        <v>7.5585793470143092E-4</v>
      </c>
    </row>
    <row r="919" spans="1:5" x14ac:dyDescent="0.45">
      <c r="A919" s="2">
        <v>41886</v>
      </c>
      <c r="B919" s="3">
        <v>27085.93</v>
      </c>
      <c r="C919" s="3">
        <v>134.15</v>
      </c>
      <c r="D919" s="3">
        <f t="shared" si="30"/>
        <v>-1.9920387763363275E-3</v>
      </c>
      <c r="E919" s="3">
        <f t="shared" si="31"/>
        <v>1.3508648198523045E-2</v>
      </c>
    </row>
    <row r="920" spans="1:5" x14ac:dyDescent="0.45">
      <c r="A920" s="2">
        <v>41887</v>
      </c>
      <c r="B920" s="3">
        <v>27026.7</v>
      </c>
      <c r="C920" s="3">
        <v>134.55000000000001</v>
      </c>
      <c r="D920" s="3">
        <f t="shared" si="30"/>
        <v>-2.1891386042086785E-3</v>
      </c>
      <c r="E920" s="3">
        <f t="shared" si="31"/>
        <v>2.9773003012817018E-3</v>
      </c>
    </row>
    <row r="921" spans="1:5" x14ac:dyDescent="0.45">
      <c r="A921" s="2">
        <v>41890</v>
      </c>
      <c r="B921" s="3">
        <v>27319.85</v>
      </c>
      <c r="C921" s="3">
        <v>133.25</v>
      </c>
      <c r="D921" s="3">
        <f t="shared" si="30"/>
        <v>1.0788277939646852E-2</v>
      </c>
      <c r="E921" s="3">
        <f t="shared" si="31"/>
        <v>-9.7088141269609379E-3</v>
      </c>
    </row>
    <row r="922" spans="1:5" x14ac:dyDescent="0.45">
      <c r="A922" s="2">
        <v>41891</v>
      </c>
      <c r="B922" s="3">
        <v>27265.32</v>
      </c>
      <c r="C922" s="3">
        <v>134.05000000000001</v>
      </c>
      <c r="D922" s="3">
        <f t="shared" si="30"/>
        <v>-1.9979792364831295E-3</v>
      </c>
      <c r="E922" s="3">
        <f t="shared" si="31"/>
        <v>5.9858016360145047E-3</v>
      </c>
    </row>
    <row r="923" spans="1:5" x14ac:dyDescent="0.45">
      <c r="A923" s="2">
        <v>41892</v>
      </c>
      <c r="B923" s="3">
        <v>27057.41</v>
      </c>
      <c r="C923" s="3">
        <v>135.85</v>
      </c>
      <c r="D923" s="3">
        <f t="shared" si="30"/>
        <v>-7.6546600358919368E-3</v>
      </c>
      <c r="E923" s="3">
        <f t="shared" si="31"/>
        <v>1.3338471190388293E-2</v>
      </c>
    </row>
    <row r="924" spans="1:5" x14ac:dyDescent="0.45">
      <c r="A924" s="2">
        <v>41893</v>
      </c>
      <c r="B924" s="3">
        <v>26995.87</v>
      </c>
      <c r="C924" s="3">
        <v>137.55000000000001</v>
      </c>
      <c r="D924" s="3">
        <f t="shared" si="30"/>
        <v>-2.2770135906400018E-3</v>
      </c>
      <c r="E924" s="3">
        <f t="shared" si="31"/>
        <v>1.2436151498227016E-2</v>
      </c>
    </row>
    <row r="925" spans="1:5" x14ac:dyDescent="0.45">
      <c r="A925" s="2">
        <v>41894</v>
      </c>
      <c r="B925" s="3">
        <v>27061.040000000001</v>
      </c>
      <c r="C925" s="3">
        <v>135.1</v>
      </c>
      <c r="D925" s="3">
        <f t="shared" si="30"/>
        <v>2.4111637743739049E-3</v>
      </c>
      <c r="E925" s="3">
        <f t="shared" si="31"/>
        <v>-1.7972242404430482E-2</v>
      </c>
    </row>
    <row r="926" spans="1:5" x14ac:dyDescent="0.45">
      <c r="A926" s="2">
        <v>41897</v>
      </c>
      <c r="B926" s="3">
        <v>26816.560000000001</v>
      </c>
      <c r="C926" s="3">
        <v>136.75</v>
      </c>
      <c r="D926" s="3">
        <f t="shared" si="30"/>
        <v>-9.0754479791954959E-3</v>
      </c>
      <c r="E926" s="3">
        <f t="shared" si="31"/>
        <v>1.2139196335937488E-2</v>
      </c>
    </row>
    <row r="927" spans="1:5" x14ac:dyDescent="0.45">
      <c r="A927" s="2">
        <v>41898</v>
      </c>
      <c r="B927" s="3">
        <v>26492.51</v>
      </c>
      <c r="C927" s="3">
        <v>135.6</v>
      </c>
      <c r="D927" s="3">
        <f t="shared" si="30"/>
        <v>-1.2157555604414163E-2</v>
      </c>
      <c r="E927" s="3">
        <f t="shared" si="31"/>
        <v>-8.4450657957954624E-3</v>
      </c>
    </row>
    <row r="928" spans="1:5" x14ac:dyDescent="0.45">
      <c r="A928" s="2">
        <v>41899</v>
      </c>
      <c r="B928" s="3">
        <v>26631.29</v>
      </c>
      <c r="C928" s="3">
        <v>135.85</v>
      </c>
      <c r="D928" s="3">
        <f t="shared" si="30"/>
        <v>5.2247887276910161E-3</v>
      </c>
      <c r="E928" s="3">
        <f t="shared" si="31"/>
        <v>1.8419603660614532E-3</v>
      </c>
    </row>
    <row r="929" spans="1:5" x14ac:dyDescent="0.45">
      <c r="A929" s="2">
        <v>41900</v>
      </c>
      <c r="B929" s="3">
        <v>27112.21</v>
      </c>
      <c r="C929" s="3">
        <v>136.6</v>
      </c>
      <c r="D929" s="3">
        <f t="shared" si="30"/>
        <v>1.7897339662642515E-2</v>
      </c>
      <c r="E929" s="3">
        <f t="shared" si="31"/>
        <v>5.5056112643328435E-3</v>
      </c>
    </row>
    <row r="930" spans="1:5" x14ac:dyDescent="0.45">
      <c r="A930" s="2">
        <v>41901</v>
      </c>
      <c r="B930" s="3">
        <v>27090.42</v>
      </c>
      <c r="C930" s="3">
        <v>136.6</v>
      </c>
      <c r="D930" s="3">
        <f t="shared" si="30"/>
        <v>-8.0402006964761148E-4</v>
      </c>
      <c r="E930" s="3">
        <f t="shared" si="31"/>
        <v>0</v>
      </c>
    </row>
    <row r="931" spans="1:5" x14ac:dyDescent="0.45">
      <c r="A931" s="2">
        <v>41904</v>
      </c>
      <c r="B931" s="3">
        <v>27206.74</v>
      </c>
      <c r="C931" s="3">
        <v>136.85</v>
      </c>
      <c r="D931" s="3">
        <f t="shared" si="30"/>
        <v>4.2845768709182143E-3</v>
      </c>
      <c r="E931" s="3">
        <f t="shared" si="31"/>
        <v>1.8284883499982902E-3</v>
      </c>
    </row>
    <row r="932" spans="1:5" x14ac:dyDescent="0.45">
      <c r="A932" s="2">
        <v>41905</v>
      </c>
      <c r="B932" s="3">
        <v>26775.69</v>
      </c>
      <c r="C932" s="3">
        <v>136.55000000000001</v>
      </c>
      <c r="D932" s="3">
        <f t="shared" si="30"/>
        <v>-1.5970350413820087E-2</v>
      </c>
      <c r="E932" s="3">
        <f t="shared" si="31"/>
        <v>-2.1945875669739149E-3</v>
      </c>
    </row>
    <row r="933" spans="1:5" x14ac:dyDescent="0.45">
      <c r="A933" s="2">
        <v>41906</v>
      </c>
      <c r="B933" s="3">
        <v>26744.69</v>
      </c>
      <c r="C933" s="3">
        <v>135.75</v>
      </c>
      <c r="D933" s="3">
        <f t="shared" si="30"/>
        <v>-1.1584373454289825E-3</v>
      </c>
      <c r="E933" s="3">
        <f t="shared" si="31"/>
        <v>-5.8758891056693062E-3</v>
      </c>
    </row>
    <row r="934" spans="1:5" x14ac:dyDescent="0.45">
      <c r="A934" s="2">
        <v>41907</v>
      </c>
      <c r="B934" s="3">
        <v>26468.36</v>
      </c>
      <c r="C934" s="3">
        <v>136</v>
      </c>
      <c r="D934" s="3">
        <f t="shared" si="30"/>
        <v>-1.0385891577234456E-2</v>
      </c>
      <c r="E934" s="3">
        <f t="shared" si="31"/>
        <v>1.8399269220072951E-3</v>
      </c>
    </row>
    <row r="935" spans="1:5" x14ac:dyDescent="0.45">
      <c r="A935" s="2">
        <v>41908</v>
      </c>
      <c r="B935" s="3">
        <v>26626.32</v>
      </c>
      <c r="C935" s="3">
        <v>136.94999999999999</v>
      </c>
      <c r="D935" s="3">
        <f t="shared" si="30"/>
        <v>5.9501428782323144E-3</v>
      </c>
      <c r="E935" s="3">
        <f t="shared" si="31"/>
        <v>6.9610099730350221E-3</v>
      </c>
    </row>
    <row r="936" spans="1:5" x14ac:dyDescent="0.45">
      <c r="A936" s="2">
        <v>41911</v>
      </c>
      <c r="B936" s="3">
        <v>26597.11</v>
      </c>
      <c r="C936" s="3">
        <v>139.15</v>
      </c>
      <c r="D936" s="3">
        <f t="shared" si="30"/>
        <v>-1.0976369968151419E-3</v>
      </c>
      <c r="E936" s="3">
        <f t="shared" si="31"/>
        <v>1.5936592262812816E-2</v>
      </c>
    </row>
    <row r="937" spans="1:5" x14ac:dyDescent="0.45">
      <c r="A937" s="2">
        <v>41912</v>
      </c>
      <c r="B937" s="3">
        <v>26630.51</v>
      </c>
      <c r="C937" s="3">
        <v>135.30000000000001</v>
      </c>
      <c r="D937" s="3">
        <f t="shared" si="30"/>
        <v>1.2549877068985314E-3</v>
      </c>
      <c r="E937" s="3">
        <f t="shared" si="31"/>
        <v>-2.8057952795157381E-2</v>
      </c>
    </row>
    <row r="938" spans="1:5" x14ac:dyDescent="0.45">
      <c r="A938" s="2">
        <v>41913</v>
      </c>
      <c r="B938" s="3">
        <v>26567.99</v>
      </c>
      <c r="C938" s="3">
        <v>135.85</v>
      </c>
      <c r="D938" s="3">
        <f t="shared" si="30"/>
        <v>-2.3504432938174689E-3</v>
      </c>
      <c r="E938" s="3">
        <f t="shared" si="31"/>
        <v>4.0568006956142478E-3</v>
      </c>
    </row>
    <row r="939" spans="1:5" x14ac:dyDescent="0.45">
      <c r="A939" s="2">
        <v>41919</v>
      </c>
      <c r="B939" s="3">
        <v>26271.97</v>
      </c>
      <c r="C939" s="3">
        <v>137.5</v>
      </c>
      <c r="D939" s="3">
        <f t="shared" si="30"/>
        <v>-1.1204516312477908E-2</v>
      </c>
      <c r="E939" s="3">
        <f t="shared" si="31"/>
        <v>1.207258123426924E-2</v>
      </c>
    </row>
    <row r="940" spans="1:5" x14ac:dyDescent="0.45">
      <c r="A940" s="2">
        <v>41920</v>
      </c>
      <c r="B940" s="3">
        <v>26246.79</v>
      </c>
      <c r="C940" s="3">
        <v>137.65</v>
      </c>
      <c r="D940" s="3">
        <f t="shared" si="30"/>
        <v>-9.5889552340453334E-4</v>
      </c>
      <c r="E940" s="3">
        <f t="shared" si="31"/>
        <v>1.0903144819902771E-3</v>
      </c>
    </row>
    <row r="941" spans="1:5" x14ac:dyDescent="0.45">
      <c r="A941" s="2">
        <v>41921</v>
      </c>
      <c r="B941" s="3">
        <v>26637.279999999999</v>
      </c>
      <c r="C941" s="3">
        <v>137.94999999999999</v>
      </c>
      <c r="D941" s="3">
        <f t="shared" si="30"/>
        <v>1.4768042511472264E-2</v>
      </c>
      <c r="E941" s="3">
        <f t="shared" si="31"/>
        <v>2.1770690746787322E-3</v>
      </c>
    </row>
    <row r="942" spans="1:5" x14ac:dyDescent="0.45">
      <c r="A942" s="2">
        <v>41922</v>
      </c>
      <c r="B942" s="3">
        <v>26297.38</v>
      </c>
      <c r="C942" s="3">
        <v>135.9</v>
      </c>
      <c r="D942" s="3">
        <f t="shared" si="30"/>
        <v>-1.2842423907835012E-2</v>
      </c>
      <c r="E942" s="3">
        <f t="shared" si="31"/>
        <v>-1.4971979506196923E-2</v>
      </c>
    </row>
    <row r="943" spans="1:5" x14ac:dyDescent="0.45">
      <c r="A943" s="2">
        <v>41925</v>
      </c>
      <c r="B943" s="3">
        <v>26384.07</v>
      </c>
      <c r="C943" s="3">
        <v>135</v>
      </c>
      <c r="D943" s="3">
        <f t="shared" si="30"/>
        <v>3.2911044873516321E-3</v>
      </c>
      <c r="E943" s="3">
        <f t="shared" si="31"/>
        <v>-6.6445427186686131E-3</v>
      </c>
    </row>
    <row r="944" spans="1:5" x14ac:dyDescent="0.45">
      <c r="A944" s="2">
        <v>41926</v>
      </c>
      <c r="B944" s="3">
        <v>26349.33</v>
      </c>
      <c r="C944" s="3">
        <v>135.85</v>
      </c>
      <c r="D944" s="3">
        <f t="shared" si="30"/>
        <v>-1.3175712176989025E-3</v>
      </c>
      <c r="E944" s="3">
        <f t="shared" si="31"/>
        <v>6.276557433927246E-3</v>
      </c>
    </row>
    <row r="945" spans="1:5" x14ac:dyDescent="0.45">
      <c r="A945" s="2">
        <v>41928</v>
      </c>
      <c r="B945" s="3">
        <v>25999.34</v>
      </c>
      <c r="C945" s="3">
        <v>133.80000000000001</v>
      </c>
      <c r="D945" s="3">
        <f t="shared" si="30"/>
        <v>-1.3371694635227034E-2</v>
      </c>
      <c r="E945" s="3">
        <f t="shared" si="31"/>
        <v>-1.5205188178228508E-2</v>
      </c>
    </row>
    <row r="946" spans="1:5" x14ac:dyDescent="0.45">
      <c r="A946" s="2">
        <v>41929</v>
      </c>
      <c r="B946" s="3">
        <v>26108.53</v>
      </c>
      <c r="C946" s="3">
        <v>134.05000000000001</v>
      </c>
      <c r="D946" s="3">
        <f t="shared" si="30"/>
        <v>4.1909277741186846E-3</v>
      </c>
      <c r="E946" s="3">
        <f t="shared" si="31"/>
        <v>1.8667169878403239E-3</v>
      </c>
    </row>
    <row r="947" spans="1:5" x14ac:dyDescent="0.45">
      <c r="A947" s="2">
        <v>41932</v>
      </c>
      <c r="B947" s="3">
        <v>26429.85</v>
      </c>
      <c r="C947" s="3">
        <v>135.05000000000001</v>
      </c>
      <c r="D947" s="3">
        <f t="shared" si="30"/>
        <v>1.2231972373172558E-2</v>
      </c>
      <c r="E947" s="3">
        <f t="shared" si="31"/>
        <v>7.4322155566563155E-3</v>
      </c>
    </row>
    <row r="948" spans="1:5" x14ac:dyDescent="0.45">
      <c r="A948" s="2">
        <v>41933</v>
      </c>
      <c r="B948" s="3">
        <v>26575.65</v>
      </c>
      <c r="C948" s="3">
        <v>139.85</v>
      </c>
      <c r="D948" s="3">
        <f t="shared" si="30"/>
        <v>5.5013297757804504E-3</v>
      </c>
      <c r="E948" s="3">
        <f t="shared" si="31"/>
        <v>3.4925339409344086E-2</v>
      </c>
    </row>
    <row r="949" spans="1:5" x14ac:dyDescent="0.45">
      <c r="A949" s="2">
        <v>41934</v>
      </c>
      <c r="B949" s="3">
        <v>26787.23</v>
      </c>
      <c r="C949" s="3">
        <v>139.5</v>
      </c>
      <c r="D949" s="3">
        <f t="shared" si="30"/>
        <v>7.9298984138796106E-3</v>
      </c>
      <c r="E949" s="3">
        <f t="shared" si="31"/>
        <v>-2.50581838654838E-3</v>
      </c>
    </row>
    <row r="950" spans="1:5" x14ac:dyDescent="0.45">
      <c r="A950" s="2">
        <v>41935</v>
      </c>
      <c r="B950" s="3">
        <v>26851.05</v>
      </c>
      <c r="C950" s="3">
        <v>139.80000000000001</v>
      </c>
      <c r="D950" s="3">
        <f t="shared" si="30"/>
        <v>2.3796449146458363E-3</v>
      </c>
      <c r="E950" s="3">
        <f t="shared" si="31"/>
        <v>2.148228538289605E-3</v>
      </c>
    </row>
    <row r="951" spans="1:5" x14ac:dyDescent="0.45">
      <c r="A951" s="2">
        <v>41939</v>
      </c>
      <c r="B951" s="3">
        <v>26752.9</v>
      </c>
      <c r="C951" s="3">
        <v>141.9</v>
      </c>
      <c r="D951" s="3">
        <f t="shared" si="30"/>
        <v>-3.6620476546018813E-3</v>
      </c>
      <c r="E951" s="3">
        <f t="shared" si="31"/>
        <v>1.4909754366287064E-2</v>
      </c>
    </row>
    <row r="952" spans="1:5" x14ac:dyDescent="0.45">
      <c r="A952" s="2">
        <v>41940</v>
      </c>
      <c r="B952" s="3">
        <v>26880.82</v>
      </c>
      <c r="C952" s="3">
        <v>142.25</v>
      </c>
      <c r="D952" s="3">
        <f t="shared" si="30"/>
        <v>4.7701424611349191E-3</v>
      </c>
      <c r="E952" s="3">
        <f t="shared" si="31"/>
        <v>2.4634888404433922E-3</v>
      </c>
    </row>
    <row r="953" spans="1:5" x14ac:dyDescent="0.45">
      <c r="A953" s="2">
        <v>41941</v>
      </c>
      <c r="B953" s="3">
        <v>27098.17</v>
      </c>
      <c r="C953" s="3">
        <v>142.6</v>
      </c>
      <c r="D953" s="3">
        <f t="shared" si="30"/>
        <v>8.0531767882496309E-3</v>
      </c>
      <c r="E953" s="3">
        <f t="shared" si="31"/>
        <v>2.4574349737552202E-3</v>
      </c>
    </row>
    <row r="954" spans="1:5" x14ac:dyDescent="0.45">
      <c r="A954" s="2">
        <v>41942</v>
      </c>
      <c r="B954" s="3">
        <v>27346.33</v>
      </c>
      <c r="C954" s="3">
        <v>144.19999999999999</v>
      </c>
      <c r="D954" s="3">
        <f t="shared" si="30"/>
        <v>9.1161354622342414E-3</v>
      </c>
      <c r="E954" s="3">
        <f t="shared" si="31"/>
        <v>1.115771687065314E-2</v>
      </c>
    </row>
    <row r="955" spans="1:5" x14ac:dyDescent="0.45">
      <c r="A955" s="2">
        <v>41943</v>
      </c>
      <c r="B955" s="3">
        <v>27865.83</v>
      </c>
      <c r="C955" s="3">
        <v>145.30000000000001</v>
      </c>
      <c r="D955" s="3">
        <f t="shared" si="30"/>
        <v>1.881887365585783E-2</v>
      </c>
      <c r="E955" s="3">
        <f t="shared" si="31"/>
        <v>7.5993457253887356E-3</v>
      </c>
    </row>
    <row r="956" spans="1:5" x14ac:dyDescent="0.45">
      <c r="A956" s="2">
        <v>41946</v>
      </c>
      <c r="B956" s="3">
        <v>27860.38</v>
      </c>
      <c r="C956" s="3">
        <v>144.80000000000001</v>
      </c>
      <c r="D956" s="3">
        <f t="shared" si="30"/>
        <v>-1.9559916302850115E-4</v>
      </c>
      <c r="E956" s="3">
        <f t="shared" si="31"/>
        <v>-3.4470906246211806E-3</v>
      </c>
    </row>
    <row r="957" spans="1:5" x14ac:dyDescent="0.45">
      <c r="A957" s="2">
        <v>41948</v>
      </c>
      <c r="B957" s="3">
        <v>27915.88</v>
      </c>
      <c r="C957" s="3">
        <v>142.55000000000001</v>
      </c>
      <c r="D957" s="3">
        <f t="shared" si="30"/>
        <v>1.9900946502043539E-3</v>
      </c>
      <c r="E957" s="3">
        <f t="shared" si="31"/>
        <v>-1.5660664592934945E-2</v>
      </c>
    </row>
    <row r="958" spans="1:5" x14ac:dyDescent="0.45">
      <c r="A958" s="2">
        <v>41950</v>
      </c>
      <c r="B958" s="3">
        <v>27868.63</v>
      </c>
      <c r="C958" s="3">
        <v>144.9</v>
      </c>
      <c r="D958" s="3">
        <f t="shared" si="30"/>
        <v>-1.6940190493542064E-3</v>
      </c>
      <c r="E958" s="3">
        <f t="shared" si="31"/>
        <v>1.6351033967955605E-2</v>
      </c>
    </row>
    <row r="959" spans="1:5" x14ac:dyDescent="0.45">
      <c r="A959" s="2">
        <v>41953</v>
      </c>
      <c r="B959" s="3">
        <v>27874.73</v>
      </c>
      <c r="C959" s="3">
        <v>148.19999999999999</v>
      </c>
      <c r="D959" s="3">
        <f t="shared" si="30"/>
        <v>2.1886014852173593E-4</v>
      </c>
      <c r="E959" s="3">
        <f t="shared" si="31"/>
        <v>2.2518863535349608E-2</v>
      </c>
    </row>
    <row r="960" spans="1:5" x14ac:dyDescent="0.45">
      <c r="A960" s="2">
        <v>41954</v>
      </c>
      <c r="B960" s="3">
        <v>27910.06</v>
      </c>
      <c r="C960" s="3">
        <v>147.44999999999999</v>
      </c>
      <c r="D960" s="3">
        <f t="shared" si="30"/>
        <v>1.2666536783111785E-3</v>
      </c>
      <c r="E960" s="3">
        <f t="shared" si="31"/>
        <v>-5.0735776007012267E-3</v>
      </c>
    </row>
    <row r="961" spans="1:5" x14ac:dyDescent="0.45">
      <c r="A961" s="2">
        <v>41955</v>
      </c>
      <c r="B961" s="3">
        <v>28008.9</v>
      </c>
      <c r="C961" s="3">
        <v>142.9</v>
      </c>
      <c r="D961" s="3">
        <f t="shared" si="30"/>
        <v>3.535119499152957E-3</v>
      </c>
      <c r="E961" s="3">
        <f t="shared" si="31"/>
        <v>-3.1344050325463432E-2</v>
      </c>
    </row>
    <row r="962" spans="1:5" x14ac:dyDescent="0.45">
      <c r="A962" s="2">
        <v>41956</v>
      </c>
      <c r="B962" s="3">
        <v>27940.639999999999</v>
      </c>
      <c r="C962" s="3">
        <v>144.5</v>
      </c>
      <c r="D962" s="3">
        <f t="shared" si="30"/>
        <v>-2.4400570180789197E-3</v>
      </c>
      <c r="E962" s="3">
        <f t="shared" si="31"/>
        <v>1.113442261666501E-2</v>
      </c>
    </row>
    <row r="963" spans="1:5" x14ac:dyDescent="0.45">
      <c r="A963" s="2">
        <v>41957</v>
      </c>
      <c r="B963" s="3">
        <v>28046.66</v>
      </c>
      <c r="C963" s="3">
        <v>143.69999999999999</v>
      </c>
      <c r="D963" s="3">
        <f t="shared" si="30"/>
        <v>3.7872920010611406E-3</v>
      </c>
      <c r="E963" s="3">
        <f t="shared" si="31"/>
        <v>-5.5517144675076941E-3</v>
      </c>
    </row>
    <row r="964" spans="1:5" x14ac:dyDescent="0.45">
      <c r="A964" s="2">
        <v>41960</v>
      </c>
      <c r="B964" s="3">
        <v>28177.88</v>
      </c>
      <c r="C964" s="3">
        <v>146.75</v>
      </c>
      <c r="D964" s="3">
        <f t="shared" si="30"/>
        <v>4.6677211853596284E-3</v>
      </c>
      <c r="E964" s="3">
        <f t="shared" si="31"/>
        <v>2.1002665623226564E-2</v>
      </c>
    </row>
    <row r="965" spans="1:5" x14ac:dyDescent="0.45">
      <c r="A965" s="2">
        <v>41961</v>
      </c>
      <c r="B965" s="3">
        <v>28163.29</v>
      </c>
      <c r="C965" s="3">
        <v>148.30000000000001</v>
      </c>
      <c r="D965" s="3">
        <f t="shared" si="30"/>
        <v>-5.1791612869002011E-4</v>
      </c>
      <c r="E965" s="3">
        <f t="shared" si="31"/>
        <v>1.0506790435680655E-2</v>
      </c>
    </row>
    <row r="966" spans="1:5" x14ac:dyDescent="0.45">
      <c r="A966" s="2">
        <v>41962</v>
      </c>
      <c r="B966" s="3">
        <v>28032.85</v>
      </c>
      <c r="C966" s="3">
        <v>146.35</v>
      </c>
      <c r="D966" s="3">
        <f t="shared" ref="D966:D1029" si="32">LN(B966/B965)</f>
        <v>-4.6423200689855969E-3</v>
      </c>
      <c r="E966" s="3">
        <f t="shared" ref="E966:E1029" si="33">LN(C966/C965)</f>
        <v>-1.3236236005991664E-2</v>
      </c>
    </row>
    <row r="967" spans="1:5" x14ac:dyDescent="0.45">
      <c r="A967" s="2">
        <v>41963</v>
      </c>
      <c r="B967" s="3">
        <v>28067.56</v>
      </c>
      <c r="C967" s="3">
        <v>146</v>
      </c>
      <c r="D967" s="3">
        <f t="shared" si="32"/>
        <v>1.2374242694145068E-3</v>
      </c>
      <c r="E967" s="3">
        <f t="shared" si="33"/>
        <v>-2.3943914295584223E-3</v>
      </c>
    </row>
    <row r="968" spans="1:5" x14ac:dyDescent="0.45">
      <c r="A968" s="2">
        <v>41964</v>
      </c>
      <c r="B968" s="3">
        <v>28334.63</v>
      </c>
      <c r="C968" s="3">
        <v>146.4</v>
      </c>
      <c r="D968" s="3">
        <f t="shared" si="32"/>
        <v>9.4702704286544169E-3</v>
      </c>
      <c r="E968" s="3">
        <f t="shared" si="33"/>
        <v>2.7359798188748455E-3</v>
      </c>
    </row>
    <row r="969" spans="1:5" x14ac:dyDescent="0.45">
      <c r="A969" s="2">
        <v>41967</v>
      </c>
      <c r="B969" s="3">
        <v>28499.54</v>
      </c>
      <c r="C969" s="3">
        <v>142.15</v>
      </c>
      <c r="D969" s="3">
        <f t="shared" si="32"/>
        <v>5.8032153125538314E-3</v>
      </c>
      <c r="E969" s="3">
        <f t="shared" si="33"/>
        <v>-2.9459763430202443E-2</v>
      </c>
    </row>
    <row r="970" spans="1:5" x14ac:dyDescent="0.45">
      <c r="A970" s="2">
        <v>41968</v>
      </c>
      <c r="B970" s="3">
        <v>28338.05</v>
      </c>
      <c r="C970" s="3">
        <v>139.19999999999999</v>
      </c>
      <c r="D970" s="3">
        <f t="shared" si="32"/>
        <v>-5.6825222377196172E-3</v>
      </c>
      <c r="E970" s="3">
        <f t="shared" si="33"/>
        <v>-2.0971090196689589E-2</v>
      </c>
    </row>
    <row r="971" spans="1:5" x14ac:dyDescent="0.45">
      <c r="A971" s="2">
        <v>41969</v>
      </c>
      <c r="B971" s="3">
        <v>28386.19</v>
      </c>
      <c r="C971" s="3">
        <v>139.05000000000001</v>
      </c>
      <c r="D971" s="3">
        <f t="shared" si="32"/>
        <v>1.6973347393421543E-3</v>
      </c>
      <c r="E971" s="3">
        <f t="shared" si="33"/>
        <v>-1.0781672203452213E-3</v>
      </c>
    </row>
    <row r="972" spans="1:5" x14ac:dyDescent="0.45">
      <c r="A972" s="2">
        <v>41970</v>
      </c>
      <c r="B972" s="3">
        <v>28438.91</v>
      </c>
      <c r="C972" s="3">
        <v>140.55000000000001</v>
      </c>
      <c r="D972" s="3">
        <f t="shared" si="32"/>
        <v>1.8555186044907105E-3</v>
      </c>
      <c r="E972" s="3">
        <f t="shared" si="33"/>
        <v>1.0729716672567054E-2</v>
      </c>
    </row>
    <row r="973" spans="1:5" x14ac:dyDescent="0.45">
      <c r="A973" s="2">
        <v>41971</v>
      </c>
      <c r="B973" s="3">
        <v>28693.99</v>
      </c>
      <c r="C973" s="3">
        <v>142.15</v>
      </c>
      <c r="D973" s="3">
        <f t="shared" si="32"/>
        <v>8.9294152716395819E-3</v>
      </c>
      <c r="E973" s="3">
        <f t="shared" si="33"/>
        <v>1.1319540744467921E-2</v>
      </c>
    </row>
    <row r="974" spans="1:5" x14ac:dyDescent="0.45">
      <c r="A974" s="2">
        <v>41974</v>
      </c>
      <c r="B974" s="3">
        <v>28559.62</v>
      </c>
      <c r="C974" s="3">
        <v>138.35</v>
      </c>
      <c r="D974" s="3">
        <f t="shared" si="32"/>
        <v>-4.693861110485433E-3</v>
      </c>
      <c r="E974" s="3">
        <f t="shared" si="33"/>
        <v>-2.7096131864073985E-2</v>
      </c>
    </row>
    <row r="975" spans="1:5" x14ac:dyDescent="0.45">
      <c r="A975" s="2">
        <v>41975</v>
      </c>
      <c r="B975" s="3">
        <v>28444.01</v>
      </c>
      <c r="C975" s="3">
        <v>137.9</v>
      </c>
      <c r="D975" s="3">
        <f t="shared" si="32"/>
        <v>-4.0562384715352668E-3</v>
      </c>
      <c r="E975" s="3">
        <f t="shared" si="33"/>
        <v>-3.2579214336786997E-3</v>
      </c>
    </row>
    <row r="976" spans="1:5" x14ac:dyDescent="0.45">
      <c r="A976" s="2">
        <v>41976</v>
      </c>
      <c r="B976" s="3">
        <v>28442.71</v>
      </c>
      <c r="C976" s="3">
        <v>137.15</v>
      </c>
      <c r="D976" s="3">
        <f t="shared" si="32"/>
        <v>-4.5704867506010605E-5</v>
      </c>
      <c r="E976" s="3">
        <f t="shared" si="33"/>
        <v>-5.4535674156438816E-3</v>
      </c>
    </row>
    <row r="977" spans="1:5" x14ac:dyDescent="0.45">
      <c r="A977" s="2">
        <v>41977</v>
      </c>
      <c r="B977" s="3">
        <v>28562.82</v>
      </c>
      <c r="C977" s="3">
        <v>136.55000000000001</v>
      </c>
      <c r="D977" s="3">
        <f t="shared" si="32"/>
        <v>4.2139833710619443E-3</v>
      </c>
      <c r="E977" s="3">
        <f t="shared" si="33"/>
        <v>-4.3843694638982175E-3</v>
      </c>
    </row>
    <row r="978" spans="1:5" x14ac:dyDescent="0.45">
      <c r="A978" s="2">
        <v>41978</v>
      </c>
      <c r="B978" s="3">
        <v>28458.1</v>
      </c>
      <c r="C978" s="3">
        <v>136.35</v>
      </c>
      <c r="D978" s="3">
        <f t="shared" si="32"/>
        <v>-3.6730420250500242E-3</v>
      </c>
      <c r="E978" s="3">
        <f t="shared" si="33"/>
        <v>-1.4657386281165942E-3</v>
      </c>
    </row>
    <row r="979" spans="1:5" x14ac:dyDescent="0.45">
      <c r="A979" s="2">
        <v>41981</v>
      </c>
      <c r="B979" s="3">
        <v>28119.4</v>
      </c>
      <c r="C979" s="3">
        <v>136.15</v>
      </c>
      <c r="D979" s="3">
        <f t="shared" si="32"/>
        <v>-1.1973100479484499E-2</v>
      </c>
      <c r="E979" s="3">
        <f t="shared" si="33"/>
        <v>-1.4678901718288213E-3</v>
      </c>
    </row>
    <row r="980" spans="1:5" x14ac:dyDescent="0.45">
      <c r="A980" s="2">
        <v>41982</v>
      </c>
      <c r="B980" s="3">
        <v>27797.01</v>
      </c>
      <c r="C980" s="3">
        <v>134.9</v>
      </c>
      <c r="D980" s="3">
        <f t="shared" si="32"/>
        <v>-1.1531268632809018E-2</v>
      </c>
      <c r="E980" s="3">
        <f t="shared" si="33"/>
        <v>-9.2234559060583553E-3</v>
      </c>
    </row>
    <row r="981" spans="1:5" x14ac:dyDescent="0.45">
      <c r="A981" s="2">
        <v>41983</v>
      </c>
      <c r="B981" s="3">
        <v>27831.1</v>
      </c>
      <c r="C981" s="3">
        <v>137.15</v>
      </c>
      <c r="D981" s="3">
        <f t="shared" si="32"/>
        <v>1.225639492964218E-3</v>
      </c>
      <c r="E981" s="3">
        <f t="shared" si="33"/>
        <v>1.6541454169902076E-2</v>
      </c>
    </row>
    <row r="982" spans="1:5" x14ac:dyDescent="0.45">
      <c r="A982" s="2">
        <v>41984</v>
      </c>
      <c r="B982" s="3">
        <v>27602.01</v>
      </c>
      <c r="C982" s="3">
        <v>135.6</v>
      </c>
      <c r="D982" s="3">
        <f t="shared" si="32"/>
        <v>-8.2655042900092873E-3</v>
      </c>
      <c r="E982" s="3">
        <f t="shared" si="33"/>
        <v>-1.1365841877317083E-2</v>
      </c>
    </row>
    <row r="983" spans="1:5" x14ac:dyDescent="0.45">
      <c r="A983" s="2">
        <v>41985</v>
      </c>
      <c r="B983" s="3">
        <v>27350.68</v>
      </c>
      <c r="C983" s="3">
        <v>134.80000000000001</v>
      </c>
      <c r="D983" s="3">
        <f t="shared" si="32"/>
        <v>-9.1472047109736644E-3</v>
      </c>
      <c r="E983" s="3">
        <f t="shared" si="33"/>
        <v>-5.9171770280883962E-3</v>
      </c>
    </row>
    <row r="984" spans="1:5" x14ac:dyDescent="0.45">
      <c r="A984" s="2">
        <v>41988</v>
      </c>
      <c r="B984" s="3">
        <v>27319.56</v>
      </c>
      <c r="C984" s="3">
        <v>134.4</v>
      </c>
      <c r="D984" s="3">
        <f t="shared" si="32"/>
        <v>-1.1384622917773491E-3</v>
      </c>
      <c r="E984" s="3">
        <f t="shared" si="33"/>
        <v>-2.9717703891574817E-3</v>
      </c>
    </row>
    <row r="985" spans="1:5" x14ac:dyDescent="0.45">
      <c r="A985" s="2">
        <v>41989</v>
      </c>
      <c r="B985" s="3">
        <v>26781.439999999999</v>
      </c>
      <c r="C985" s="3">
        <v>133.1</v>
      </c>
      <c r="D985" s="3">
        <f t="shared" si="32"/>
        <v>-1.9893818866979184E-2</v>
      </c>
      <c r="E985" s="3">
        <f t="shared" si="33"/>
        <v>-9.7197026879833545E-3</v>
      </c>
    </row>
    <row r="986" spans="1:5" x14ac:dyDescent="0.45">
      <c r="A986" s="2">
        <v>41990</v>
      </c>
      <c r="B986" s="3">
        <v>26710.13</v>
      </c>
      <c r="C986" s="3">
        <v>131.25</v>
      </c>
      <c r="D986" s="3">
        <f t="shared" si="32"/>
        <v>-2.6662160876373712E-3</v>
      </c>
      <c r="E986" s="3">
        <f t="shared" si="33"/>
        <v>-1.3996823929332764E-2</v>
      </c>
    </row>
    <row r="987" spans="1:5" x14ac:dyDescent="0.45">
      <c r="A987" s="2">
        <v>41991</v>
      </c>
      <c r="B987" s="3">
        <v>27126.57</v>
      </c>
      <c r="C987" s="3">
        <v>131.65</v>
      </c>
      <c r="D987" s="3">
        <f t="shared" si="32"/>
        <v>1.5470796168959813E-2</v>
      </c>
      <c r="E987" s="3">
        <f t="shared" si="33"/>
        <v>3.0429844705854216E-3</v>
      </c>
    </row>
    <row r="988" spans="1:5" x14ac:dyDescent="0.45">
      <c r="A988" s="2">
        <v>41992</v>
      </c>
      <c r="B988" s="3">
        <v>27371.84</v>
      </c>
      <c r="C988" s="3">
        <v>135.65</v>
      </c>
      <c r="D988" s="3">
        <f t="shared" si="32"/>
        <v>9.0010573137557243E-3</v>
      </c>
      <c r="E988" s="3">
        <f t="shared" si="33"/>
        <v>2.9931153162622365E-2</v>
      </c>
    </row>
    <row r="989" spans="1:5" x14ac:dyDescent="0.45">
      <c r="A989" s="2">
        <v>41995</v>
      </c>
      <c r="B989" s="3">
        <v>27701.79</v>
      </c>
      <c r="C989" s="3">
        <v>136.5</v>
      </c>
      <c r="D989" s="3">
        <f t="shared" si="32"/>
        <v>1.1982284360360243E-2</v>
      </c>
      <c r="E989" s="3">
        <f t="shared" si="33"/>
        <v>6.2465755200737279E-3</v>
      </c>
    </row>
    <row r="990" spans="1:5" x14ac:dyDescent="0.45">
      <c r="A990" s="2">
        <v>41996</v>
      </c>
      <c r="B990" s="3">
        <v>27506.46</v>
      </c>
      <c r="C990" s="3">
        <v>139.30000000000001</v>
      </c>
      <c r="D990" s="3">
        <f t="shared" si="32"/>
        <v>-7.0761458674637829E-3</v>
      </c>
      <c r="E990" s="3">
        <f t="shared" si="33"/>
        <v>2.0305266160745739E-2</v>
      </c>
    </row>
    <row r="991" spans="1:5" x14ac:dyDescent="0.45">
      <c r="A991" s="2">
        <v>41997</v>
      </c>
      <c r="B991" s="3">
        <v>27208.61</v>
      </c>
      <c r="C991" s="3">
        <v>136.15</v>
      </c>
      <c r="D991" s="3">
        <f t="shared" si="32"/>
        <v>-1.0887418846534744E-2</v>
      </c>
      <c r="E991" s="3">
        <f t="shared" si="33"/>
        <v>-2.2872661665991455E-2</v>
      </c>
    </row>
    <row r="992" spans="1:5" x14ac:dyDescent="0.45">
      <c r="A992" s="2">
        <v>41999</v>
      </c>
      <c r="B992" s="3">
        <v>27241.78</v>
      </c>
      <c r="C992" s="3">
        <v>137.05000000000001</v>
      </c>
      <c r="D992" s="3">
        <f t="shared" si="32"/>
        <v>1.2183568970987547E-3</v>
      </c>
      <c r="E992" s="3">
        <f t="shared" si="33"/>
        <v>6.5886036290262271E-3</v>
      </c>
    </row>
    <row r="993" spans="1:5" x14ac:dyDescent="0.45">
      <c r="A993" s="2">
        <v>42002</v>
      </c>
      <c r="B993" s="3">
        <v>27395.73</v>
      </c>
      <c r="C993" s="3">
        <v>136.9</v>
      </c>
      <c r="D993" s="3">
        <f t="shared" si="32"/>
        <v>5.6353376065643532E-3</v>
      </c>
      <c r="E993" s="3">
        <f t="shared" si="33"/>
        <v>-1.095090454391641E-3</v>
      </c>
    </row>
    <row r="994" spans="1:5" x14ac:dyDescent="0.45">
      <c r="A994" s="2">
        <v>42003</v>
      </c>
      <c r="B994" s="3">
        <v>27403.54</v>
      </c>
      <c r="C994" s="3">
        <v>137.69999999999999</v>
      </c>
      <c r="D994" s="3">
        <f t="shared" si="32"/>
        <v>2.8504029534981667E-4</v>
      </c>
      <c r="E994" s="3">
        <f t="shared" si="33"/>
        <v>5.8266734402057548E-3</v>
      </c>
    </row>
    <row r="995" spans="1:5" x14ac:dyDescent="0.45">
      <c r="A995" s="2">
        <v>42004</v>
      </c>
      <c r="B995" s="3">
        <v>27499.42</v>
      </c>
      <c r="C995" s="3">
        <v>138.05000000000001</v>
      </c>
      <c r="D995" s="3">
        <f t="shared" si="32"/>
        <v>3.4927114119257456E-3</v>
      </c>
      <c r="E995" s="3">
        <f t="shared" si="33"/>
        <v>2.5385326415543643E-3</v>
      </c>
    </row>
    <row r="996" spans="1:5" x14ac:dyDescent="0.45">
      <c r="A996" s="2">
        <v>42005</v>
      </c>
      <c r="B996" s="3">
        <v>27507.54</v>
      </c>
      <c r="C996" s="3">
        <v>137.15</v>
      </c>
      <c r="D996" s="3">
        <f t="shared" si="32"/>
        <v>2.9523536872361921E-4</v>
      </c>
      <c r="E996" s="3">
        <f t="shared" si="33"/>
        <v>-6.540720992551193E-3</v>
      </c>
    </row>
    <row r="997" spans="1:5" x14ac:dyDescent="0.45">
      <c r="A997" s="2">
        <v>42006</v>
      </c>
      <c r="B997" s="3">
        <v>27887.9</v>
      </c>
      <c r="C997" s="3">
        <v>138.69999999999999</v>
      </c>
      <c r="D997" s="3">
        <f t="shared" si="32"/>
        <v>1.3732754089836324E-2</v>
      </c>
      <c r="E997" s="3">
        <f t="shared" si="33"/>
        <v>1.1238109937173486E-2</v>
      </c>
    </row>
    <row r="998" spans="1:5" x14ac:dyDescent="0.45">
      <c r="A998" s="2">
        <v>42009</v>
      </c>
      <c r="B998" s="3">
        <v>27842.32</v>
      </c>
      <c r="C998" s="3">
        <v>139.1</v>
      </c>
      <c r="D998" s="3">
        <f t="shared" si="32"/>
        <v>-1.6357376720552881E-3</v>
      </c>
      <c r="E998" s="3">
        <f t="shared" si="33"/>
        <v>2.8797716086113199E-3</v>
      </c>
    </row>
    <row r="999" spans="1:5" x14ac:dyDescent="0.45">
      <c r="A999" s="2">
        <v>42010</v>
      </c>
      <c r="B999" s="3">
        <v>26987.46</v>
      </c>
      <c r="C999" s="3">
        <v>136.1</v>
      </c>
      <c r="D999" s="3">
        <f t="shared" si="32"/>
        <v>-3.1184851655365754E-2</v>
      </c>
      <c r="E999" s="3">
        <f t="shared" si="33"/>
        <v>-2.1803189271976796E-2</v>
      </c>
    </row>
    <row r="1000" spans="1:5" x14ac:dyDescent="0.45">
      <c r="A1000" s="2">
        <v>42011</v>
      </c>
      <c r="B1000" s="3">
        <v>26908.82</v>
      </c>
      <c r="C1000" s="3">
        <v>137.75</v>
      </c>
      <c r="D1000" s="3">
        <f t="shared" si="32"/>
        <v>-2.9181997647131741E-3</v>
      </c>
      <c r="E1000" s="3">
        <f t="shared" si="33"/>
        <v>1.2050538375603454E-2</v>
      </c>
    </row>
    <row r="1001" spans="1:5" x14ac:dyDescent="0.45">
      <c r="A1001" s="2">
        <v>42012</v>
      </c>
      <c r="B1001" s="3">
        <v>27274.71</v>
      </c>
      <c r="C1001" s="3">
        <v>138.30000000000001</v>
      </c>
      <c r="D1001" s="3">
        <f t="shared" si="32"/>
        <v>1.3505785307869674E-2</v>
      </c>
      <c r="E1001" s="3">
        <f t="shared" si="33"/>
        <v>3.9847906376887007E-3</v>
      </c>
    </row>
    <row r="1002" spans="1:5" x14ac:dyDescent="0.45">
      <c r="A1002" s="2">
        <v>42013</v>
      </c>
      <c r="B1002" s="3">
        <v>27458.38</v>
      </c>
      <c r="C1002" s="3">
        <v>138.19999999999999</v>
      </c>
      <c r="D1002" s="3">
        <f t="shared" si="32"/>
        <v>6.7115044825686899E-3</v>
      </c>
      <c r="E1002" s="3">
        <f t="shared" si="33"/>
        <v>-7.2332733714313899E-4</v>
      </c>
    </row>
    <row r="1003" spans="1:5" x14ac:dyDescent="0.45">
      <c r="A1003" s="2">
        <v>42016</v>
      </c>
      <c r="B1003" s="3">
        <v>27585.27</v>
      </c>
      <c r="C1003" s="3">
        <v>136.44999999999999</v>
      </c>
      <c r="D1003" s="3">
        <f t="shared" si="32"/>
        <v>4.61053090683232E-3</v>
      </c>
      <c r="E1003" s="3">
        <f t="shared" si="33"/>
        <v>-1.2743664179222099E-2</v>
      </c>
    </row>
    <row r="1004" spans="1:5" x14ac:dyDescent="0.45">
      <c r="A1004" s="2">
        <v>42017</v>
      </c>
      <c r="B1004" s="3">
        <v>27425.73</v>
      </c>
      <c r="C1004" s="3">
        <v>135.80000000000001</v>
      </c>
      <c r="D1004" s="3">
        <f t="shared" si="32"/>
        <v>-5.8003107484493948E-3</v>
      </c>
      <c r="E1004" s="3">
        <f t="shared" si="33"/>
        <v>-4.775032029751507E-3</v>
      </c>
    </row>
    <row r="1005" spans="1:5" x14ac:dyDescent="0.45">
      <c r="A1005" s="2">
        <v>42018</v>
      </c>
      <c r="B1005" s="3">
        <v>27346.82</v>
      </c>
      <c r="C1005" s="3">
        <v>136.1</v>
      </c>
      <c r="D1005" s="3">
        <f t="shared" si="32"/>
        <v>-2.8813723149487967E-3</v>
      </c>
      <c r="E1005" s="3">
        <f t="shared" si="33"/>
        <v>2.2066945328244056E-3</v>
      </c>
    </row>
    <row r="1006" spans="1:5" x14ac:dyDescent="0.45">
      <c r="A1006" s="2">
        <v>42019</v>
      </c>
      <c r="B1006" s="3">
        <v>28075.55</v>
      </c>
      <c r="C1006" s="3">
        <v>142.55000000000001</v>
      </c>
      <c r="D1006" s="3">
        <f t="shared" si="32"/>
        <v>2.6298839274204452E-2</v>
      </c>
      <c r="E1006" s="3">
        <f t="shared" si="33"/>
        <v>4.6302905701260645E-2</v>
      </c>
    </row>
    <row r="1007" spans="1:5" x14ac:dyDescent="0.45">
      <c r="A1007" s="2">
        <v>42020</v>
      </c>
      <c r="B1007" s="3">
        <v>28121.89</v>
      </c>
      <c r="C1007" s="3">
        <v>147.35</v>
      </c>
      <c r="D1007" s="3">
        <f t="shared" si="32"/>
        <v>1.6491858171125541E-3</v>
      </c>
      <c r="E1007" s="3">
        <f t="shared" si="33"/>
        <v>3.3117893825022671E-2</v>
      </c>
    </row>
    <row r="1008" spans="1:5" x14ac:dyDescent="0.45">
      <c r="A1008" s="2">
        <v>42023</v>
      </c>
      <c r="B1008" s="3">
        <v>28262.01</v>
      </c>
      <c r="C1008" s="3">
        <v>147.94999999999999</v>
      </c>
      <c r="D1008" s="3">
        <f t="shared" si="32"/>
        <v>4.9702233598591947E-3</v>
      </c>
      <c r="E1008" s="3">
        <f t="shared" si="33"/>
        <v>4.0636696625149099E-3</v>
      </c>
    </row>
    <row r="1009" spans="1:5" x14ac:dyDescent="0.45">
      <c r="A1009" s="2">
        <v>42024</v>
      </c>
      <c r="B1009" s="3">
        <v>28784.67</v>
      </c>
      <c r="C1009" s="3">
        <v>147.6</v>
      </c>
      <c r="D1009" s="3">
        <f t="shared" si="32"/>
        <v>1.8324453765239671E-2</v>
      </c>
      <c r="E1009" s="3">
        <f t="shared" si="33"/>
        <v>-2.3684666798464418E-3</v>
      </c>
    </row>
    <row r="1010" spans="1:5" x14ac:dyDescent="0.45">
      <c r="A1010" s="2">
        <v>42025</v>
      </c>
      <c r="B1010" s="3">
        <v>28888.86</v>
      </c>
      <c r="C1010" s="3">
        <v>146.85</v>
      </c>
      <c r="D1010" s="3">
        <f t="shared" si="32"/>
        <v>3.6130999210763717E-3</v>
      </c>
      <c r="E1010" s="3">
        <f t="shared" si="33"/>
        <v>-5.0942545217430831E-3</v>
      </c>
    </row>
    <row r="1011" spans="1:5" x14ac:dyDescent="0.45">
      <c r="A1011" s="2">
        <v>42026</v>
      </c>
      <c r="B1011" s="3">
        <v>29006.02</v>
      </c>
      <c r="C1011" s="3">
        <v>148.4</v>
      </c>
      <c r="D1011" s="3">
        <f t="shared" si="32"/>
        <v>4.0473409715268702E-3</v>
      </c>
      <c r="E1011" s="3">
        <f t="shared" si="33"/>
        <v>1.0499673088650999E-2</v>
      </c>
    </row>
    <row r="1012" spans="1:5" x14ac:dyDescent="0.45">
      <c r="A1012" s="2">
        <v>42027</v>
      </c>
      <c r="B1012" s="3">
        <v>29278.84</v>
      </c>
      <c r="C1012" s="3">
        <v>149.44999999999999</v>
      </c>
      <c r="D1012" s="3">
        <f t="shared" si="32"/>
        <v>9.3616761716433412E-3</v>
      </c>
      <c r="E1012" s="3">
        <f t="shared" si="33"/>
        <v>7.050557996666762E-3</v>
      </c>
    </row>
    <row r="1013" spans="1:5" x14ac:dyDescent="0.45">
      <c r="A1013" s="2">
        <v>42031</v>
      </c>
      <c r="B1013" s="3">
        <v>29571.040000000001</v>
      </c>
      <c r="C1013" s="3">
        <v>149.85</v>
      </c>
      <c r="D1013" s="3">
        <f t="shared" si="32"/>
        <v>9.9304332051269335E-3</v>
      </c>
      <c r="E1013" s="3">
        <f t="shared" si="33"/>
        <v>2.6729050327253538E-3</v>
      </c>
    </row>
    <row r="1014" spans="1:5" x14ac:dyDescent="0.45">
      <c r="A1014" s="2">
        <v>42032</v>
      </c>
      <c r="B1014" s="3">
        <v>29559.18</v>
      </c>
      <c r="C1014" s="3">
        <v>149.19999999999999</v>
      </c>
      <c r="D1014" s="3">
        <f t="shared" si="32"/>
        <v>-4.0114852131591599E-4</v>
      </c>
      <c r="E1014" s="3">
        <f t="shared" si="33"/>
        <v>-4.347105993011754E-3</v>
      </c>
    </row>
    <row r="1015" spans="1:5" x14ac:dyDescent="0.45">
      <c r="A1015" s="2">
        <v>42033</v>
      </c>
      <c r="B1015" s="3">
        <v>29681.77</v>
      </c>
      <c r="C1015" s="3">
        <v>148.69999999999999</v>
      </c>
      <c r="D1015" s="3">
        <f t="shared" si="32"/>
        <v>4.1386971338258005E-3</v>
      </c>
      <c r="E1015" s="3">
        <f t="shared" si="33"/>
        <v>-3.3568343035510332E-3</v>
      </c>
    </row>
    <row r="1016" spans="1:5" x14ac:dyDescent="0.45">
      <c r="A1016" s="2">
        <v>42034</v>
      </c>
      <c r="B1016" s="3">
        <v>29182.95</v>
      </c>
      <c r="C1016" s="3">
        <v>147.94999999999999</v>
      </c>
      <c r="D1016" s="3">
        <f t="shared" si="32"/>
        <v>-1.6948418013361635E-2</v>
      </c>
      <c r="E1016" s="3">
        <f t="shared" si="33"/>
        <v>-5.0564746198907334E-3</v>
      </c>
    </row>
    <row r="1017" spans="1:5" x14ac:dyDescent="0.45">
      <c r="A1017" s="2">
        <v>42037</v>
      </c>
      <c r="B1017" s="3">
        <v>29122.27</v>
      </c>
      <c r="C1017" s="3">
        <v>147.9</v>
      </c>
      <c r="D1017" s="3">
        <f t="shared" si="32"/>
        <v>-2.0814610392656855E-3</v>
      </c>
      <c r="E1017" s="3">
        <f t="shared" si="33"/>
        <v>-3.3800912946440177E-4</v>
      </c>
    </row>
    <row r="1018" spans="1:5" x14ac:dyDescent="0.45">
      <c r="A1018" s="2">
        <v>42038</v>
      </c>
      <c r="B1018" s="3">
        <v>29000.14</v>
      </c>
      <c r="C1018" s="3">
        <v>147.1</v>
      </c>
      <c r="D1018" s="3">
        <f t="shared" si="32"/>
        <v>-4.202516025960004E-3</v>
      </c>
      <c r="E1018" s="3">
        <f t="shared" si="33"/>
        <v>-5.423742109362392E-3</v>
      </c>
    </row>
    <row r="1019" spans="1:5" x14ac:dyDescent="0.45">
      <c r="A1019" s="2">
        <v>42039</v>
      </c>
      <c r="B1019" s="3">
        <v>28883.11</v>
      </c>
      <c r="C1019" s="3">
        <v>146.1</v>
      </c>
      <c r="D1019" s="3">
        <f t="shared" si="32"/>
        <v>-4.0436623536198868E-3</v>
      </c>
      <c r="E1019" s="3">
        <f t="shared" si="33"/>
        <v>-6.821308850738078E-3</v>
      </c>
    </row>
    <row r="1020" spans="1:5" x14ac:dyDescent="0.45">
      <c r="A1020" s="2">
        <v>42040</v>
      </c>
      <c r="B1020" s="3">
        <v>28850.97</v>
      </c>
      <c r="C1020" s="3">
        <v>143.4</v>
      </c>
      <c r="D1020" s="3">
        <f t="shared" si="32"/>
        <v>-1.1133806348037295E-3</v>
      </c>
      <c r="E1020" s="3">
        <f t="shared" si="33"/>
        <v>-1.8653390591133696E-2</v>
      </c>
    </row>
    <row r="1021" spans="1:5" x14ac:dyDescent="0.45">
      <c r="A1021" s="2">
        <v>42041</v>
      </c>
      <c r="B1021" s="3">
        <v>28717.91</v>
      </c>
      <c r="C1021" s="3">
        <v>143.05000000000001</v>
      </c>
      <c r="D1021" s="3">
        <f t="shared" si="32"/>
        <v>-4.6226446283052745E-3</v>
      </c>
      <c r="E1021" s="3">
        <f t="shared" si="33"/>
        <v>-2.4437086694006544E-3</v>
      </c>
    </row>
    <row r="1022" spans="1:5" x14ac:dyDescent="0.45">
      <c r="A1022" s="2">
        <v>42044</v>
      </c>
      <c r="B1022" s="3">
        <v>28227.39</v>
      </c>
      <c r="C1022" s="3">
        <v>141.4</v>
      </c>
      <c r="D1022" s="3">
        <f t="shared" si="32"/>
        <v>-1.7228186788394641E-2</v>
      </c>
      <c r="E1022" s="3">
        <f t="shared" si="33"/>
        <v>-1.1601466033646902E-2</v>
      </c>
    </row>
    <row r="1023" spans="1:5" x14ac:dyDescent="0.45">
      <c r="A1023" s="2">
        <v>42045</v>
      </c>
      <c r="B1023" s="3">
        <v>28355.62</v>
      </c>
      <c r="C1023" s="3">
        <v>145</v>
      </c>
      <c r="D1023" s="3">
        <f t="shared" si="32"/>
        <v>4.5324637032009485E-3</v>
      </c>
      <c r="E1023" s="3">
        <f t="shared" si="33"/>
        <v>2.514098895810201E-2</v>
      </c>
    </row>
    <row r="1024" spans="1:5" x14ac:dyDescent="0.45">
      <c r="A1024" s="2">
        <v>42046</v>
      </c>
      <c r="B1024" s="3">
        <v>28533.97</v>
      </c>
      <c r="C1024" s="3">
        <v>145.80000000000001</v>
      </c>
      <c r="D1024" s="3">
        <f t="shared" si="32"/>
        <v>6.2700604556603411E-3</v>
      </c>
      <c r="E1024" s="3">
        <f t="shared" si="33"/>
        <v>5.5020771539835596E-3</v>
      </c>
    </row>
    <row r="1025" spans="1:5" x14ac:dyDescent="0.45">
      <c r="A1025" s="2">
        <v>42047</v>
      </c>
      <c r="B1025" s="3">
        <v>28805.1</v>
      </c>
      <c r="C1025" s="3">
        <v>150.35</v>
      </c>
      <c r="D1025" s="3">
        <f t="shared" si="32"/>
        <v>9.4571474830650072E-3</v>
      </c>
      <c r="E1025" s="3">
        <f t="shared" si="33"/>
        <v>3.07300898599801E-2</v>
      </c>
    </row>
    <row r="1026" spans="1:5" x14ac:dyDescent="0.45">
      <c r="A1026" s="2">
        <v>42048</v>
      </c>
      <c r="B1026" s="3">
        <v>29094.93</v>
      </c>
      <c r="C1026" s="3">
        <v>151.19999999999999</v>
      </c>
      <c r="D1026" s="3">
        <f t="shared" si="32"/>
        <v>1.0011477396239527E-2</v>
      </c>
      <c r="E1026" s="3">
        <f t="shared" si="33"/>
        <v>5.6375543108944503E-3</v>
      </c>
    </row>
    <row r="1027" spans="1:5" x14ac:dyDescent="0.45">
      <c r="A1027" s="2">
        <v>42051</v>
      </c>
      <c r="B1027" s="3">
        <v>29135.88</v>
      </c>
      <c r="C1027" s="3">
        <v>152.69999999999999</v>
      </c>
      <c r="D1027" s="3">
        <f t="shared" si="32"/>
        <v>1.4064721665551945E-3</v>
      </c>
      <c r="E1027" s="3">
        <f t="shared" si="33"/>
        <v>9.871748479154091E-3</v>
      </c>
    </row>
    <row r="1028" spans="1:5" x14ac:dyDescent="0.45">
      <c r="A1028" s="2">
        <v>42053</v>
      </c>
      <c r="B1028" s="3">
        <v>29320.26</v>
      </c>
      <c r="C1028" s="3">
        <v>154.69999999999999</v>
      </c>
      <c r="D1028" s="3">
        <f t="shared" si="32"/>
        <v>6.3083402856289892E-3</v>
      </c>
      <c r="E1028" s="3">
        <f t="shared" si="33"/>
        <v>1.3012545354433748E-2</v>
      </c>
    </row>
    <row r="1029" spans="1:5" x14ac:dyDescent="0.45">
      <c r="A1029" s="2">
        <v>42054</v>
      </c>
      <c r="B1029" s="3">
        <v>29462.27</v>
      </c>
      <c r="C1029" s="3">
        <v>154.30000000000001</v>
      </c>
      <c r="D1029" s="3">
        <f t="shared" si="32"/>
        <v>4.8317170517943736E-3</v>
      </c>
      <c r="E1029" s="3">
        <f t="shared" si="33"/>
        <v>-2.5889982099051613E-3</v>
      </c>
    </row>
    <row r="1030" spans="1:5" x14ac:dyDescent="0.45">
      <c r="A1030" s="2">
        <v>42055</v>
      </c>
      <c r="B1030" s="3">
        <v>29231.41</v>
      </c>
      <c r="C1030" s="3">
        <v>153.30000000000001</v>
      </c>
      <c r="D1030" s="3">
        <f t="shared" ref="D1030:D1093" si="34">LN(B1030/B1029)</f>
        <v>-7.866645626785556E-3</v>
      </c>
      <c r="E1030" s="3">
        <f t="shared" ref="E1030:E1093" si="35">LN(C1030/C1029)</f>
        <v>-6.5019734913466841E-3</v>
      </c>
    </row>
    <row r="1031" spans="1:5" x14ac:dyDescent="0.45">
      <c r="A1031" s="2">
        <v>42058</v>
      </c>
      <c r="B1031" s="3">
        <v>28975.11</v>
      </c>
      <c r="C1031" s="3">
        <v>155.80000000000001</v>
      </c>
      <c r="D1031" s="3">
        <f t="shared" si="34"/>
        <v>-8.8066304764679998E-3</v>
      </c>
      <c r="E1031" s="3">
        <f t="shared" si="35"/>
        <v>1.6176347558879502E-2</v>
      </c>
    </row>
    <row r="1032" spans="1:5" x14ac:dyDescent="0.45">
      <c r="A1032" s="2">
        <v>42059</v>
      </c>
      <c r="B1032" s="3">
        <v>29004.66</v>
      </c>
      <c r="C1032" s="3">
        <v>156.69999999999999</v>
      </c>
      <c r="D1032" s="3">
        <f t="shared" si="34"/>
        <v>1.0193211376512145E-3</v>
      </c>
      <c r="E1032" s="3">
        <f t="shared" si="35"/>
        <v>5.7600159253272136E-3</v>
      </c>
    </row>
    <row r="1033" spans="1:5" x14ac:dyDescent="0.45">
      <c r="A1033" s="2">
        <v>42060</v>
      </c>
      <c r="B1033" s="3">
        <v>29007.99</v>
      </c>
      <c r="C1033" s="3">
        <v>154.44999999999999</v>
      </c>
      <c r="D1033" s="3">
        <f t="shared" si="34"/>
        <v>1.1480254750159026E-4</v>
      </c>
      <c r="E1033" s="3">
        <f t="shared" si="35"/>
        <v>-1.4462729997384431E-2</v>
      </c>
    </row>
    <row r="1034" spans="1:5" x14ac:dyDescent="0.45">
      <c r="A1034" s="2">
        <v>42061</v>
      </c>
      <c r="B1034" s="3">
        <v>28746.65</v>
      </c>
      <c r="C1034" s="3">
        <v>152.80000000000001</v>
      </c>
      <c r="D1034" s="3">
        <f t="shared" si="34"/>
        <v>-9.0500705649044846E-3</v>
      </c>
      <c r="E1034" s="3">
        <f t="shared" si="35"/>
        <v>-1.0740542632170436E-2</v>
      </c>
    </row>
    <row r="1035" spans="1:5" x14ac:dyDescent="0.45">
      <c r="A1035" s="2">
        <v>42062</v>
      </c>
      <c r="B1035" s="3">
        <v>29220.12</v>
      </c>
      <c r="C1035" s="3">
        <v>156.85</v>
      </c>
      <c r="D1035" s="3">
        <f t="shared" si="34"/>
        <v>1.6336274375257573E-2</v>
      </c>
      <c r="E1035" s="3">
        <f t="shared" si="35"/>
        <v>2.616005790426686E-2</v>
      </c>
    </row>
    <row r="1036" spans="1:5" x14ac:dyDescent="0.45">
      <c r="A1036" s="2">
        <v>42063</v>
      </c>
      <c r="B1036" s="3">
        <v>29361.5</v>
      </c>
      <c r="C1036" s="3">
        <v>156.85</v>
      </c>
      <c r="D1036" s="3">
        <f t="shared" si="34"/>
        <v>4.826779269224226E-3</v>
      </c>
      <c r="E1036" s="3">
        <f t="shared" si="35"/>
        <v>0</v>
      </c>
    </row>
    <row r="1037" spans="1:5" x14ac:dyDescent="0.45">
      <c r="A1037" s="2">
        <v>42065</v>
      </c>
      <c r="B1037" s="3">
        <v>29459.14</v>
      </c>
      <c r="C1037" s="3">
        <v>156.6</v>
      </c>
      <c r="D1037" s="3">
        <f t="shared" si="34"/>
        <v>3.3199261239452451E-3</v>
      </c>
      <c r="E1037" s="3">
        <f t="shared" si="35"/>
        <v>-1.59515107998445E-3</v>
      </c>
    </row>
    <row r="1038" spans="1:5" x14ac:dyDescent="0.45">
      <c r="A1038" s="2">
        <v>42066</v>
      </c>
      <c r="B1038" s="3">
        <v>29593.73</v>
      </c>
      <c r="C1038" s="3">
        <v>155.44999999999999</v>
      </c>
      <c r="D1038" s="3">
        <f t="shared" si="34"/>
        <v>4.5582960842787687E-3</v>
      </c>
      <c r="E1038" s="3">
        <f t="shared" si="35"/>
        <v>-7.3706470519399343E-3</v>
      </c>
    </row>
    <row r="1039" spans="1:5" x14ac:dyDescent="0.45">
      <c r="A1039" s="2">
        <v>42067</v>
      </c>
      <c r="B1039" s="3">
        <v>29380.73</v>
      </c>
      <c r="C1039" s="3">
        <v>154</v>
      </c>
      <c r="D1039" s="3">
        <f t="shared" si="34"/>
        <v>-7.2234972961144443E-3</v>
      </c>
      <c r="E1039" s="3">
        <f t="shared" si="35"/>
        <v>-9.3715340911335304E-3</v>
      </c>
    </row>
    <row r="1040" spans="1:5" x14ac:dyDescent="0.45">
      <c r="A1040" s="2">
        <v>42068</v>
      </c>
      <c r="B1040" s="3">
        <v>29448.95</v>
      </c>
      <c r="C1040" s="3">
        <v>155</v>
      </c>
      <c r="D1040" s="3">
        <f t="shared" si="34"/>
        <v>2.3192385400994894E-3</v>
      </c>
      <c r="E1040" s="3">
        <f t="shared" si="35"/>
        <v>6.4725145056175196E-3</v>
      </c>
    </row>
    <row r="1041" spans="1:5" x14ac:dyDescent="0.45">
      <c r="A1041" s="2">
        <v>42072</v>
      </c>
      <c r="B1041" s="3">
        <v>28844.78</v>
      </c>
      <c r="C1041" s="3">
        <v>150.1</v>
      </c>
      <c r="D1041" s="3">
        <f t="shared" si="34"/>
        <v>-2.072921510371285E-2</v>
      </c>
      <c r="E1041" s="3">
        <f t="shared" si="35"/>
        <v>-3.2123378279830354E-2</v>
      </c>
    </row>
    <row r="1042" spans="1:5" x14ac:dyDescent="0.45">
      <c r="A1042" s="2">
        <v>42073</v>
      </c>
      <c r="B1042" s="3">
        <v>28709.87</v>
      </c>
      <c r="C1042" s="3">
        <v>148.44999999999999</v>
      </c>
      <c r="D1042" s="3">
        <f t="shared" si="34"/>
        <v>-4.6880746243114649E-3</v>
      </c>
      <c r="E1042" s="3">
        <f t="shared" si="35"/>
        <v>-1.1053537429647544E-2</v>
      </c>
    </row>
    <row r="1043" spans="1:5" x14ac:dyDescent="0.45">
      <c r="A1043" s="2">
        <v>42074</v>
      </c>
      <c r="B1043" s="3">
        <v>28659.17</v>
      </c>
      <c r="C1043" s="3">
        <v>147.9</v>
      </c>
      <c r="D1043" s="3">
        <f t="shared" si="34"/>
        <v>-1.7675043263475376E-3</v>
      </c>
      <c r="E1043" s="3">
        <f t="shared" si="35"/>
        <v>-3.7118314930145923E-3</v>
      </c>
    </row>
    <row r="1044" spans="1:5" x14ac:dyDescent="0.45">
      <c r="A1044" s="2">
        <v>42075</v>
      </c>
      <c r="B1044" s="3">
        <v>28930.41</v>
      </c>
      <c r="C1044" s="3">
        <v>149.55000000000001</v>
      </c>
      <c r="D1044" s="3">
        <f t="shared" si="34"/>
        <v>9.419829269904683E-3</v>
      </c>
      <c r="E1044" s="3">
        <f t="shared" si="35"/>
        <v>1.1094415359202851E-2</v>
      </c>
    </row>
    <row r="1045" spans="1:5" x14ac:dyDescent="0.45">
      <c r="A1045" s="2">
        <v>42076</v>
      </c>
      <c r="B1045" s="3">
        <v>28503.3</v>
      </c>
      <c r="C1045" s="3">
        <v>146.6</v>
      </c>
      <c r="D1045" s="3">
        <f t="shared" si="34"/>
        <v>-1.4873420982061937E-2</v>
      </c>
      <c r="E1045" s="3">
        <f t="shared" si="35"/>
        <v>-1.9922995623406051E-2</v>
      </c>
    </row>
    <row r="1046" spans="1:5" x14ac:dyDescent="0.45">
      <c r="A1046" s="2">
        <v>42079</v>
      </c>
      <c r="B1046" s="3">
        <v>28437.71</v>
      </c>
      <c r="C1046" s="3">
        <v>146.69999999999999</v>
      </c>
      <c r="D1046" s="3">
        <f t="shared" si="34"/>
        <v>-2.3037887459177245E-3</v>
      </c>
      <c r="E1046" s="3">
        <f t="shared" si="35"/>
        <v>6.8189569638482249E-4</v>
      </c>
    </row>
    <row r="1047" spans="1:5" x14ac:dyDescent="0.45">
      <c r="A1047" s="2">
        <v>42080</v>
      </c>
      <c r="B1047" s="3">
        <v>28736.38</v>
      </c>
      <c r="C1047" s="3">
        <v>147.55000000000001</v>
      </c>
      <c r="D1047" s="3">
        <f t="shared" si="34"/>
        <v>1.0447834563802424E-2</v>
      </c>
      <c r="E1047" s="3">
        <f t="shared" si="35"/>
        <v>5.7774162400124496E-3</v>
      </c>
    </row>
    <row r="1048" spans="1:5" x14ac:dyDescent="0.45">
      <c r="A1048" s="2">
        <v>42081</v>
      </c>
      <c r="B1048" s="3">
        <v>28622.12</v>
      </c>
      <c r="C1048" s="3">
        <v>146.55000000000001</v>
      </c>
      <c r="D1048" s="3">
        <f t="shared" si="34"/>
        <v>-3.9840704040599115E-3</v>
      </c>
      <c r="E1048" s="3">
        <f t="shared" si="35"/>
        <v>-6.8004342320470154E-3</v>
      </c>
    </row>
    <row r="1049" spans="1:5" x14ac:dyDescent="0.45">
      <c r="A1049" s="2">
        <v>42082</v>
      </c>
      <c r="B1049" s="3">
        <v>28469.67</v>
      </c>
      <c r="C1049" s="3">
        <v>146.1</v>
      </c>
      <c r="D1049" s="3">
        <f t="shared" si="34"/>
        <v>-5.3405353848393726E-3</v>
      </c>
      <c r="E1049" s="3">
        <f t="shared" si="35"/>
        <v>-3.0753484002477602E-3</v>
      </c>
    </row>
    <row r="1050" spans="1:5" x14ac:dyDescent="0.45">
      <c r="A1050" s="2">
        <v>42083</v>
      </c>
      <c r="B1050" s="3">
        <v>28261.08</v>
      </c>
      <c r="C1050" s="3">
        <v>146.9</v>
      </c>
      <c r="D1050" s="3">
        <f t="shared" si="34"/>
        <v>-7.353716987533971E-3</v>
      </c>
      <c r="E1050" s="3">
        <f t="shared" si="35"/>
        <v>5.4607644231779769E-3</v>
      </c>
    </row>
    <row r="1051" spans="1:5" x14ac:dyDescent="0.45">
      <c r="A1051" s="2">
        <v>42086</v>
      </c>
      <c r="B1051" s="3">
        <v>28192.02</v>
      </c>
      <c r="C1051" s="3">
        <v>149.15</v>
      </c>
      <c r="D1051" s="3">
        <f t="shared" si="34"/>
        <v>-2.4466339120270859E-3</v>
      </c>
      <c r="E1051" s="3">
        <f t="shared" si="35"/>
        <v>1.5200427780925835E-2</v>
      </c>
    </row>
    <row r="1052" spans="1:5" x14ac:dyDescent="0.45">
      <c r="A1052" s="2">
        <v>42087</v>
      </c>
      <c r="B1052" s="3">
        <v>28161.72</v>
      </c>
      <c r="C1052" s="3">
        <v>147.85</v>
      </c>
      <c r="D1052" s="3">
        <f t="shared" si="34"/>
        <v>-1.0753502046130525E-3</v>
      </c>
      <c r="E1052" s="3">
        <f t="shared" si="35"/>
        <v>-8.7542646622713223E-3</v>
      </c>
    </row>
    <row r="1053" spans="1:5" x14ac:dyDescent="0.45">
      <c r="A1053" s="2">
        <v>42088</v>
      </c>
      <c r="B1053" s="3">
        <v>28111.83</v>
      </c>
      <c r="C1053" s="3">
        <v>146.4</v>
      </c>
      <c r="D1053" s="3">
        <f t="shared" si="34"/>
        <v>-1.773124783172909E-3</v>
      </c>
      <c r="E1053" s="3">
        <f t="shared" si="35"/>
        <v>-9.8556447712749573E-3</v>
      </c>
    </row>
    <row r="1054" spans="1:5" x14ac:dyDescent="0.45">
      <c r="A1054" s="2">
        <v>42089</v>
      </c>
      <c r="B1054" s="3">
        <v>27457.58</v>
      </c>
      <c r="C1054" s="3">
        <v>145.05000000000001</v>
      </c>
      <c r="D1054" s="3">
        <f t="shared" si="34"/>
        <v>-2.3548215916988614E-2</v>
      </c>
      <c r="E1054" s="3">
        <f t="shared" si="35"/>
        <v>-9.2640909597981567E-3</v>
      </c>
    </row>
    <row r="1055" spans="1:5" x14ac:dyDescent="0.45">
      <c r="A1055" s="2">
        <v>42090</v>
      </c>
      <c r="B1055" s="3">
        <v>27458.639999999999</v>
      </c>
      <c r="C1055" s="3">
        <v>144.55000000000001</v>
      </c>
      <c r="D1055" s="3">
        <f t="shared" si="34"/>
        <v>3.8604259365567013E-5</v>
      </c>
      <c r="E1055" s="3">
        <f t="shared" si="35"/>
        <v>-3.4530421050579982E-3</v>
      </c>
    </row>
    <row r="1056" spans="1:5" x14ac:dyDescent="0.45">
      <c r="A1056" s="2">
        <v>42093</v>
      </c>
      <c r="B1056" s="3">
        <v>27975.86</v>
      </c>
      <c r="C1056" s="3">
        <v>144.80000000000001</v>
      </c>
      <c r="D1056" s="3">
        <f t="shared" si="34"/>
        <v>1.8661122929941511E-2</v>
      </c>
      <c r="E1056" s="3">
        <f t="shared" si="35"/>
        <v>1.7280114892608467E-3</v>
      </c>
    </row>
    <row r="1057" spans="1:5" x14ac:dyDescent="0.45">
      <c r="A1057" s="2">
        <v>42094</v>
      </c>
      <c r="B1057" s="3">
        <v>27957.49</v>
      </c>
      <c r="C1057" s="3">
        <v>145.19999999999999</v>
      </c>
      <c r="D1057" s="3">
        <f t="shared" si="34"/>
        <v>-6.5685322479295204E-4</v>
      </c>
      <c r="E1057" s="3">
        <f t="shared" si="35"/>
        <v>2.7586224390796607E-3</v>
      </c>
    </row>
    <row r="1058" spans="1:5" x14ac:dyDescent="0.45">
      <c r="A1058" s="2">
        <v>42095</v>
      </c>
      <c r="B1058" s="3">
        <v>28260.14</v>
      </c>
      <c r="C1058" s="3">
        <v>146.35</v>
      </c>
      <c r="D1058" s="3">
        <f t="shared" si="34"/>
        <v>1.0767189008325592E-2</v>
      </c>
      <c r="E1058" s="3">
        <f t="shared" si="35"/>
        <v>7.8889107471991245E-3</v>
      </c>
    </row>
    <row r="1059" spans="1:5" x14ac:dyDescent="0.45">
      <c r="A1059" s="2">
        <v>42100</v>
      </c>
      <c r="B1059" s="3">
        <v>28504.46</v>
      </c>
      <c r="C1059" s="3">
        <v>148</v>
      </c>
      <c r="D1059" s="3">
        <f t="shared" si="34"/>
        <v>8.6082350165050635E-3</v>
      </c>
      <c r="E1059" s="3">
        <f t="shared" si="35"/>
        <v>1.1211260626220233E-2</v>
      </c>
    </row>
    <row r="1060" spans="1:5" x14ac:dyDescent="0.45">
      <c r="A1060" s="2">
        <v>42101</v>
      </c>
      <c r="B1060" s="3">
        <v>28516.59</v>
      </c>
      <c r="C1060" s="3">
        <v>147.80000000000001</v>
      </c>
      <c r="D1060" s="3">
        <f t="shared" si="34"/>
        <v>4.2545692101350239E-4</v>
      </c>
      <c r="E1060" s="3">
        <f t="shared" si="35"/>
        <v>-1.3522652500135386E-3</v>
      </c>
    </row>
    <row r="1061" spans="1:5" x14ac:dyDescent="0.45">
      <c r="A1061" s="2">
        <v>42102</v>
      </c>
      <c r="B1061" s="3">
        <v>28707.75</v>
      </c>
      <c r="C1061" s="3">
        <v>147.30000000000001</v>
      </c>
      <c r="D1061" s="3">
        <f t="shared" si="34"/>
        <v>6.6810979757215274E-3</v>
      </c>
      <c r="E1061" s="3">
        <f t="shared" si="35"/>
        <v>-3.3886850455168184E-3</v>
      </c>
    </row>
    <row r="1062" spans="1:5" x14ac:dyDescent="0.45">
      <c r="A1062" s="2">
        <v>42103</v>
      </c>
      <c r="B1062" s="3">
        <v>28885.21</v>
      </c>
      <c r="C1062" s="3">
        <v>150.75</v>
      </c>
      <c r="D1062" s="3">
        <f t="shared" si="34"/>
        <v>6.1625782603172549E-3</v>
      </c>
      <c r="E1062" s="3">
        <f t="shared" si="35"/>
        <v>2.3151512138710219E-2</v>
      </c>
    </row>
    <row r="1063" spans="1:5" x14ac:dyDescent="0.45">
      <c r="A1063" s="2">
        <v>42104</v>
      </c>
      <c r="B1063" s="3">
        <v>28879.38</v>
      </c>
      <c r="C1063" s="3">
        <v>152.75</v>
      </c>
      <c r="D1063" s="3">
        <f t="shared" si="34"/>
        <v>-2.0185376611499135E-4</v>
      </c>
      <c r="E1063" s="3">
        <f t="shared" si="35"/>
        <v>1.3179762444409821E-2</v>
      </c>
    </row>
    <row r="1064" spans="1:5" x14ac:dyDescent="0.45">
      <c r="A1064" s="2">
        <v>42107</v>
      </c>
      <c r="B1064" s="3">
        <v>29044.44</v>
      </c>
      <c r="C1064" s="3">
        <v>154.25</v>
      </c>
      <c r="D1064" s="3">
        <f t="shared" si="34"/>
        <v>5.6992251815648348E-3</v>
      </c>
      <c r="E1064" s="3">
        <f t="shared" si="35"/>
        <v>9.772064733792522E-3</v>
      </c>
    </row>
    <row r="1065" spans="1:5" x14ac:dyDescent="0.45">
      <c r="A1065" s="2">
        <v>42109</v>
      </c>
      <c r="B1065" s="3">
        <v>28799.69</v>
      </c>
      <c r="C1065" s="3">
        <v>151.55000000000001</v>
      </c>
      <c r="D1065" s="3">
        <f t="shared" si="34"/>
        <v>-8.4624476366219458E-3</v>
      </c>
      <c r="E1065" s="3">
        <f t="shared" si="35"/>
        <v>-1.7659059281684944E-2</v>
      </c>
    </row>
    <row r="1066" spans="1:5" x14ac:dyDescent="0.45">
      <c r="A1066" s="2">
        <v>42110</v>
      </c>
      <c r="B1066" s="3">
        <v>28666.04</v>
      </c>
      <c r="C1066" s="3">
        <v>150.75</v>
      </c>
      <c r="D1066" s="3">
        <f t="shared" si="34"/>
        <v>-4.6514763137419273E-3</v>
      </c>
      <c r="E1066" s="3">
        <f t="shared" si="35"/>
        <v>-5.2927678965173554E-3</v>
      </c>
    </row>
    <row r="1067" spans="1:5" x14ac:dyDescent="0.45">
      <c r="A1067" s="2">
        <v>42111</v>
      </c>
      <c r="B1067" s="3">
        <v>28442.1</v>
      </c>
      <c r="C1067" s="3">
        <v>150.19999999999999</v>
      </c>
      <c r="D1067" s="3">
        <f t="shared" si="34"/>
        <v>-7.842705009864644E-3</v>
      </c>
      <c r="E1067" s="3">
        <f t="shared" si="35"/>
        <v>-3.6550962772605041E-3</v>
      </c>
    </row>
    <row r="1068" spans="1:5" x14ac:dyDescent="0.45">
      <c r="A1068" s="2">
        <v>42114</v>
      </c>
      <c r="B1068" s="3">
        <v>27886.21</v>
      </c>
      <c r="C1068" s="3">
        <v>149.19999999999999</v>
      </c>
      <c r="D1068" s="3">
        <f t="shared" si="34"/>
        <v>-1.9738140466453148E-2</v>
      </c>
      <c r="E1068" s="3">
        <f t="shared" si="35"/>
        <v>-6.6800515603739107E-3</v>
      </c>
    </row>
    <row r="1069" spans="1:5" x14ac:dyDescent="0.45">
      <c r="A1069" s="2">
        <v>42115</v>
      </c>
      <c r="B1069" s="3">
        <v>27676.04</v>
      </c>
      <c r="C1069" s="3">
        <v>148.85</v>
      </c>
      <c r="D1069" s="3">
        <f t="shared" si="34"/>
        <v>-7.5652444739372805E-3</v>
      </c>
      <c r="E1069" s="3">
        <f t="shared" si="35"/>
        <v>-2.3486003078750589E-3</v>
      </c>
    </row>
    <row r="1070" spans="1:5" x14ac:dyDescent="0.45">
      <c r="A1070" s="2">
        <v>42116</v>
      </c>
      <c r="B1070" s="3">
        <v>27890.13</v>
      </c>
      <c r="C1070" s="3">
        <v>146.9</v>
      </c>
      <c r="D1070" s="3">
        <f t="shared" si="34"/>
        <v>7.7058058663289127E-3</v>
      </c>
      <c r="E1070" s="3">
        <f t="shared" si="35"/>
        <v>-1.3187004281953688E-2</v>
      </c>
    </row>
    <row r="1071" spans="1:5" x14ac:dyDescent="0.45">
      <c r="A1071" s="2">
        <v>42117</v>
      </c>
      <c r="B1071" s="3">
        <v>27735.02</v>
      </c>
      <c r="C1071" s="3">
        <v>146.6</v>
      </c>
      <c r="D1071" s="3">
        <f t="shared" si="34"/>
        <v>-5.5769881799640555E-3</v>
      </c>
      <c r="E1071" s="3">
        <f t="shared" si="35"/>
        <v>-2.0442937272806346E-3</v>
      </c>
    </row>
    <row r="1072" spans="1:5" x14ac:dyDescent="0.45">
      <c r="A1072" s="2">
        <v>42118</v>
      </c>
      <c r="B1072" s="3">
        <v>27437.94</v>
      </c>
      <c r="C1072" s="3">
        <v>145.80000000000001</v>
      </c>
      <c r="D1072" s="3">
        <f t="shared" si="34"/>
        <v>-1.0769147464171165E-2</v>
      </c>
      <c r="E1072" s="3">
        <f t="shared" si="35"/>
        <v>-5.4719698779932676E-3</v>
      </c>
    </row>
    <row r="1073" spans="1:5" x14ac:dyDescent="0.45">
      <c r="A1073" s="2">
        <v>42121</v>
      </c>
      <c r="B1073" s="3">
        <v>27176.99</v>
      </c>
      <c r="C1073" s="3">
        <v>144.80000000000001</v>
      </c>
      <c r="D1073" s="3">
        <f t="shared" si="34"/>
        <v>-9.5560677562840212E-3</v>
      </c>
      <c r="E1073" s="3">
        <f t="shared" si="35"/>
        <v>-6.8823396229417888E-3</v>
      </c>
    </row>
    <row r="1074" spans="1:5" x14ac:dyDescent="0.45">
      <c r="A1074" s="2">
        <v>42122</v>
      </c>
      <c r="B1074" s="3">
        <v>27396.38</v>
      </c>
      <c r="C1074" s="3">
        <v>144.19999999999999</v>
      </c>
      <c r="D1074" s="3">
        <f t="shared" si="34"/>
        <v>8.0402284805189961E-3</v>
      </c>
      <c r="E1074" s="3">
        <f t="shared" si="35"/>
        <v>-4.1522551007674184E-3</v>
      </c>
    </row>
    <row r="1075" spans="1:5" x14ac:dyDescent="0.45">
      <c r="A1075" s="2">
        <v>42123</v>
      </c>
      <c r="B1075" s="3">
        <v>27225.93</v>
      </c>
      <c r="C1075" s="3">
        <v>143.15</v>
      </c>
      <c r="D1075" s="3">
        <f t="shared" si="34"/>
        <v>-6.2410598623052864E-3</v>
      </c>
      <c r="E1075" s="3">
        <f t="shared" si="35"/>
        <v>-7.3081933067245287E-3</v>
      </c>
    </row>
    <row r="1076" spans="1:5" x14ac:dyDescent="0.45">
      <c r="A1076" s="2">
        <v>42124</v>
      </c>
      <c r="B1076" s="3">
        <v>27011.31</v>
      </c>
      <c r="C1076" s="3">
        <v>142.30000000000001</v>
      </c>
      <c r="D1076" s="3">
        <f t="shared" si="34"/>
        <v>-7.914160831446344E-3</v>
      </c>
      <c r="E1076" s="3">
        <f t="shared" si="35"/>
        <v>-5.9555264483173442E-3</v>
      </c>
    </row>
    <row r="1077" spans="1:5" x14ac:dyDescent="0.45">
      <c r="A1077" s="2">
        <v>42128</v>
      </c>
      <c r="B1077" s="3">
        <v>27490.59</v>
      </c>
      <c r="C1077" s="3">
        <v>143.85</v>
      </c>
      <c r="D1077" s="3">
        <f t="shared" si="34"/>
        <v>1.7588097113026585E-2</v>
      </c>
      <c r="E1077" s="3">
        <f t="shared" si="35"/>
        <v>1.0833584901750062E-2</v>
      </c>
    </row>
    <row r="1078" spans="1:5" x14ac:dyDescent="0.45">
      <c r="A1078" s="2">
        <v>42129</v>
      </c>
      <c r="B1078" s="3">
        <v>27440.14</v>
      </c>
      <c r="C1078" s="3">
        <v>142.85</v>
      </c>
      <c r="D1078" s="3">
        <f t="shared" si="34"/>
        <v>-1.836859411301416E-3</v>
      </c>
      <c r="E1078" s="3">
        <f t="shared" si="35"/>
        <v>-6.9759613207748313E-3</v>
      </c>
    </row>
    <row r="1079" spans="1:5" x14ac:dyDescent="0.45">
      <c r="A1079" s="2">
        <v>42130</v>
      </c>
      <c r="B1079" s="3">
        <v>26717.37</v>
      </c>
      <c r="C1079" s="3">
        <v>140.5</v>
      </c>
      <c r="D1079" s="3">
        <f t="shared" si="34"/>
        <v>-2.6692989205120692E-2</v>
      </c>
      <c r="E1079" s="3">
        <f t="shared" si="35"/>
        <v>-1.6587639902981632E-2</v>
      </c>
    </row>
    <row r="1080" spans="1:5" x14ac:dyDescent="0.45">
      <c r="A1080" s="2">
        <v>42131</v>
      </c>
      <c r="B1080" s="3">
        <v>26599.11</v>
      </c>
      <c r="C1080" s="3">
        <v>139.9</v>
      </c>
      <c r="D1080" s="3">
        <f t="shared" si="34"/>
        <v>-4.4361590990808462E-3</v>
      </c>
      <c r="E1080" s="3">
        <f t="shared" si="35"/>
        <v>-4.2796071023648834E-3</v>
      </c>
    </row>
    <row r="1081" spans="1:5" x14ac:dyDescent="0.45">
      <c r="A1081" s="2">
        <v>42132</v>
      </c>
      <c r="B1081" s="3">
        <v>27105.39</v>
      </c>
      <c r="C1081" s="3">
        <v>140</v>
      </c>
      <c r="D1081" s="3">
        <f t="shared" si="34"/>
        <v>1.8854844516713001E-2</v>
      </c>
      <c r="E1081" s="3">
        <f t="shared" si="35"/>
        <v>7.1454093786885034E-4</v>
      </c>
    </row>
    <row r="1082" spans="1:5" x14ac:dyDescent="0.45">
      <c r="A1082" s="2">
        <v>42135</v>
      </c>
      <c r="B1082" s="3">
        <v>27507.3</v>
      </c>
      <c r="C1082" s="3">
        <v>142.9</v>
      </c>
      <c r="D1082" s="3">
        <f t="shared" si="34"/>
        <v>1.4718822893159521E-2</v>
      </c>
      <c r="E1082" s="3">
        <f t="shared" si="35"/>
        <v>2.0502662326517394E-2</v>
      </c>
    </row>
    <row r="1083" spans="1:5" x14ac:dyDescent="0.45">
      <c r="A1083" s="2">
        <v>42136</v>
      </c>
      <c r="B1083" s="3">
        <v>26877.48</v>
      </c>
      <c r="C1083" s="3">
        <v>139.25</v>
      </c>
      <c r="D1083" s="3">
        <f t="shared" si="34"/>
        <v>-2.3162662731013382E-2</v>
      </c>
      <c r="E1083" s="3">
        <f t="shared" si="35"/>
        <v>-2.5874206128428355E-2</v>
      </c>
    </row>
    <row r="1084" spans="1:5" x14ac:dyDescent="0.45">
      <c r="A1084" s="2">
        <v>42137</v>
      </c>
      <c r="B1084" s="3">
        <v>27251.1</v>
      </c>
      <c r="C1084" s="3">
        <v>140.94999999999999</v>
      </c>
      <c r="D1084" s="3">
        <f t="shared" si="34"/>
        <v>1.3805126006862926E-2</v>
      </c>
      <c r="E1084" s="3">
        <f t="shared" si="35"/>
        <v>1.2134338752728091E-2</v>
      </c>
    </row>
    <row r="1085" spans="1:5" x14ac:dyDescent="0.45">
      <c r="A1085" s="2">
        <v>42138</v>
      </c>
      <c r="B1085" s="3">
        <v>27206.06</v>
      </c>
      <c r="C1085" s="3">
        <v>139.5</v>
      </c>
      <c r="D1085" s="3">
        <f t="shared" si="34"/>
        <v>-1.6541446623308434E-3</v>
      </c>
      <c r="E1085" s="3">
        <f t="shared" si="35"/>
        <v>-1.0340616298701134E-2</v>
      </c>
    </row>
    <row r="1086" spans="1:5" x14ac:dyDescent="0.45">
      <c r="A1086" s="2">
        <v>42139</v>
      </c>
      <c r="B1086" s="3">
        <v>27324</v>
      </c>
      <c r="C1086" s="3">
        <v>139.69999999999999</v>
      </c>
      <c r="D1086" s="3">
        <f t="shared" si="34"/>
        <v>4.3256942649278901E-3</v>
      </c>
      <c r="E1086" s="3">
        <f t="shared" si="35"/>
        <v>1.4326650014956943E-3</v>
      </c>
    </row>
    <row r="1087" spans="1:5" x14ac:dyDescent="0.45">
      <c r="A1087" s="2">
        <v>42142</v>
      </c>
      <c r="B1087" s="3">
        <v>27687.3</v>
      </c>
      <c r="C1087" s="3">
        <v>139.65</v>
      </c>
      <c r="D1087" s="3">
        <f t="shared" si="34"/>
        <v>1.320838743336419E-2</v>
      </c>
      <c r="E1087" s="3">
        <f t="shared" si="35"/>
        <v>-3.5797387173022293E-4</v>
      </c>
    </row>
    <row r="1088" spans="1:5" x14ac:dyDescent="0.45">
      <c r="A1088" s="2">
        <v>42143</v>
      </c>
      <c r="B1088" s="3">
        <v>27645.53</v>
      </c>
      <c r="C1088" s="3">
        <v>138.75</v>
      </c>
      <c r="D1088" s="3">
        <f t="shared" si="34"/>
        <v>-1.5097730564029377E-3</v>
      </c>
      <c r="E1088" s="3">
        <f t="shared" si="35"/>
        <v>-6.4655397646419723E-3</v>
      </c>
    </row>
    <row r="1089" spans="1:5" x14ac:dyDescent="0.45">
      <c r="A1089" s="2">
        <v>42144</v>
      </c>
      <c r="B1089" s="3">
        <v>27837.21</v>
      </c>
      <c r="C1089" s="3">
        <v>140.30000000000001</v>
      </c>
      <c r="D1089" s="3">
        <f t="shared" si="34"/>
        <v>6.9095636805030017E-3</v>
      </c>
      <c r="E1089" s="3">
        <f t="shared" si="35"/>
        <v>1.1109234481871471E-2</v>
      </c>
    </row>
    <row r="1090" spans="1:5" x14ac:dyDescent="0.45">
      <c r="A1090" s="2">
        <v>42145</v>
      </c>
      <c r="B1090" s="3">
        <v>27809.35</v>
      </c>
      <c r="C1090" s="3">
        <v>139.44999999999999</v>
      </c>
      <c r="D1090" s="3">
        <f t="shared" si="34"/>
        <v>-1.0013198417943051E-3</v>
      </c>
      <c r="E1090" s="3">
        <f t="shared" si="35"/>
        <v>-6.0768730349174968E-3</v>
      </c>
    </row>
    <row r="1091" spans="1:5" x14ac:dyDescent="0.45">
      <c r="A1091" s="2">
        <v>42146</v>
      </c>
      <c r="B1091" s="3">
        <v>27957.5</v>
      </c>
      <c r="C1091" s="3">
        <v>140.85</v>
      </c>
      <c r="D1091" s="3">
        <f t="shared" si="34"/>
        <v>5.3132048349336424E-3</v>
      </c>
      <c r="E1091" s="3">
        <f t="shared" si="35"/>
        <v>9.9893802488835864E-3</v>
      </c>
    </row>
    <row r="1092" spans="1:5" x14ac:dyDescent="0.45">
      <c r="A1092" s="2">
        <v>42149</v>
      </c>
      <c r="B1092" s="3">
        <v>27643.88</v>
      </c>
      <c r="C1092" s="3">
        <v>142.65</v>
      </c>
      <c r="D1092" s="3">
        <f t="shared" si="34"/>
        <v>-1.1281134606282503E-2</v>
      </c>
      <c r="E1092" s="3">
        <f t="shared" si="35"/>
        <v>1.2698583337127561E-2</v>
      </c>
    </row>
    <row r="1093" spans="1:5" x14ac:dyDescent="0.45">
      <c r="A1093" s="2">
        <v>42150</v>
      </c>
      <c r="B1093" s="3">
        <v>27531.41</v>
      </c>
      <c r="C1093" s="3">
        <v>143</v>
      </c>
      <c r="D1093" s="3">
        <f t="shared" si="34"/>
        <v>-4.0768306166055071E-3</v>
      </c>
      <c r="E1093" s="3">
        <f t="shared" si="35"/>
        <v>2.4505526003981877E-3</v>
      </c>
    </row>
    <row r="1094" spans="1:5" x14ac:dyDescent="0.45">
      <c r="A1094" s="2">
        <v>42151</v>
      </c>
      <c r="B1094" s="3">
        <v>27564.66</v>
      </c>
      <c r="C1094" s="3">
        <v>143.19999999999999</v>
      </c>
      <c r="D1094" s="3">
        <f t="shared" ref="D1094:D1157" si="36">LN(B1094/B1093)</f>
        <v>1.2069827861249983E-3</v>
      </c>
      <c r="E1094" s="3">
        <f t="shared" ref="E1094:E1157" si="37">LN(C1094/C1093)</f>
        <v>1.3976242666379351E-3</v>
      </c>
    </row>
    <row r="1095" spans="1:5" x14ac:dyDescent="0.45">
      <c r="A1095" s="2">
        <v>42152</v>
      </c>
      <c r="B1095" s="3">
        <v>27506.71</v>
      </c>
      <c r="C1095" s="3">
        <v>143.15</v>
      </c>
      <c r="D1095" s="3">
        <f t="shared" si="36"/>
        <v>-2.1045425740764774E-3</v>
      </c>
      <c r="E1095" s="3">
        <f t="shared" si="37"/>
        <v>-3.4922298242107504E-4</v>
      </c>
    </row>
    <row r="1096" spans="1:5" x14ac:dyDescent="0.45">
      <c r="A1096" s="2">
        <v>42153</v>
      </c>
      <c r="B1096" s="3">
        <v>27828.44</v>
      </c>
      <c r="C1096" s="3">
        <v>143.69999999999999</v>
      </c>
      <c r="D1096" s="3">
        <f t="shared" si="36"/>
        <v>1.1628544439994245E-2</v>
      </c>
      <c r="E1096" s="3">
        <f t="shared" si="37"/>
        <v>3.8347615408550369E-3</v>
      </c>
    </row>
    <row r="1097" spans="1:5" x14ac:dyDescent="0.45">
      <c r="A1097" s="2">
        <v>42156</v>
      </c>
      <c r="B1097" s="3">
        <v>27848.99</v>
      </c>
      <c r="C1097" s="3">
        <v>143</v>
      </c>
      <c r="D1097" s="3">
        <f t="shared" si="36"/>
        <v>7.3818065715902572E-4</v>
      </c>
      <c r="E1097" s="3">
        <f t="shared" si="37"/>
        <v>-4.8831628250718857E-3</v>
      </c>
    </row>
    <row r="1098" spans="1:5" x14ac:dyDescent="0.45">
      <c r="A1098" s="2">
        <v>42157</v>
      </c>
      <c r="B1098" s="3">
        <v>27188.38</v>
      </c>
      <c r="C1098" s="3">
        <v>142.4</v>
      </c>
      <c r="D1098" s="3">
        <f t="shared" si="36"/>
        <v>-2.400702386535173E-2</v>
      </c>
      <c r="E1098" s="3">
        <f t="shared" si="37"/>
        <v>-4.2046312820318123E-3</v>
      </c>
    </row>
    <row r="1099" spans="1:5" x14ac:dyDescent="0.45">
      <c r="A1099" s="2">
        <v>42158</v>
      </c>
      <c r="B1099" s="3">
        <v>26837.200000000001</v>
      </c>
      <c r="C1099" s="3">
        <v>142.9</v>
      </c>
      <c r="D1099" s="3">
        <f t="shared" si="36"/>
        <v>-1.3000691387196551E-2</v>
      </c>
      <c r="E1099" s="3">
        <f t="shared" si="37"/>
        <v>3.5050859579463527E-3</v>
      </c>
    </row>
    <row r="1100" spans="1:5" x14ac:dyDescent="0.45">
      <c r="A1100" s="2">
        <v>42159</v>
      </c>
      <c r="B1100" s="3">
        <v>26813.42</v>
      </c>
      <c r="C1100" s="3">
        <v>144.30000000000001</v>
      </c>
      <c r="D1100" s="3">
        <f t="shared" si="36"/>
        <v>-8.8647630007914835E-4</v>
      </c>
      <c r="E1100" s="3">
        <f t="shared" si="37"/>
        <v>9.7493808440034732E-3</v>
      </c>
    </row>
    <row r="1101" spans="1:5" x14ac:dyDescent="0.45">
      <c r="A1101" s="2">
        <v>42160</v>
      </c>
      <c r="B1101" s="3">
        <v>26768.49</v>
      </c>
      <c r="C1101" s="3">
        <v>145.05000000000001</v>
      </c>
      <c r="D1101" s="3">
        <f t="shared" si="36"/>
        <v>-1.677058937636376E-3</v>
      </c>
      <c r="E1101" s="3">
        <f t="shared" si="37"/>
        <v>5.184044787587919E-3</v>
      </c>
    </row>
    <row r="1102" spans="1:5" x14ac:dyDescent="0.45">
      <c r="A1102" s="2">
        <v>42163</v>
      </c>
      <c r="B1102" s="3">
        <v>26523.09</v>
      </c>
      <c r="C1102" s="3">
        <v>145.94999999999999</v>
      </c>
      <c r="D1102" s="3">
        <f t="shared" si="36"/>
        <v>-9.2097751489333465E-3</v>
      </c>
      <c r="E1102" s="3">
        <f t="shared" si="37"/>
        <v>6.1855867327105241E-3</v>
      </c>
    </row>
    <row r="1103" spans="1:5" x14ac:dyDescent="0.45">
      <c r="A1103" s="2">
        <v>42164</v>
      </c>
      <c r="B1103" s="3">
        <v>26481.25</v>
      </c>
      <c r="C1103" s="3">
        <v>146.9</v>
      </c>
      <c r="D1103" s="3">
        <f t="shared" si="36"/>
        <v>-1.5787389745906195E-3</v>
      </c>
      <c r="E1103" s="3">
        <f t="shared" si="37"/>
        <v>6.4879858797080719E-3</v>
      </c>
    </row>
    <row r="1104" spans="1:5" x14ac:dyDescent="0.45">
      <c r="A1104" s="2">
        <v>42165</v>
      </c>
      <c r="B1104" s="3">
        <v>26840.5</v>
      </c>
      <c r="C1104" s="3">
        <v>146.80000000000001</v>
      </c>
      <c r="D1104" s="3">
        <f t="shared" si="36"/>
        <v>1.347500544930434E-2</v>
      </c>
      <c r="E1104" s="3">
        <f t="shared" si="37"/>
        <v>-6.8096699941634685E-4</v>
      </c>
    </row>
    <row r="1105" spans="1:5" x14ac:dyDescent="0.45">
      <c r="A1105" s="2">
        <v>42166</v>
      </c>
      <c r="B1105" s="3">
        <v>26370.98</v>
      </c>
      <c r="C1105" s="3">
        <v>145.80000000000001</v>
      </c>
      <c r="D1105" s="3">
        <f t="shared" si="36"/>
        <v>-1.7647777724078152E-2</v>
      </c>
      <c r="E1105" s="3">
        <f t="shared" si="37"/>
        <v>-6.8352966058574782E-3</v>
      </c>
    </row>
    <row r="1106" spans="1:5" x14ac:dyDescent="0.45">
      <c r="A1106" s="2">
        <v>42167</v>
      </c>
      <c r="B1106" s="3">
        <v>26425.3</v>
      </c>
      <c r="C1106" s="3">
        <v>145.30000000000001</v>
      </c>
      <c r="D1106" s="3">
        <f t="shared" si="36"/>
        <v>2.0577214594243425E-3</v>
      </c>
      <c r="E1106" s="3">
        <f t="shared" si="37"/>
        <v>-3.435248998320557E-3</v>
      </c>
    </row>
    <row r="1107" spans="1:5" x14ac:dyDescent="0.45">
      <c r="A1107" s="2">
        <v>42170</v>
      </c>
      <c r="B1107" s="3">
        <v>26586.55</v>
      </c>
      <c r="C1107" s="3">
        <v>141.30000000000001</v>
      </c>
      <c r="D1107" s="3">
        <f t="shared" si="36"/>
        <v>6.0835642339689099E-3</v>
      </c>
      <c r="E1107" s="3">
        <f t="shared" si="37"/>
        <v>-2.7915280885755411E-2</v>
      </c>
    </row>
    <row r="1108" spans="1:5" x14ac:dyDescent="0.45">
      <c r="A1108" s="2">
        <v>42171</v>
      </c>
      <c r="B1108" s="3">
        <v>26686.51</v>
      </c>
      <c r="C1108" s="3">
        <v>143.94999999999999</v>
      </c>
      <c r="D1108" s="3">
        <f t="shared" si="36"/>
        <v>3.7527454706819769E-3</v>
      </c>
      <c r="E1108" s="3">
        <f t="shared" si="37"/>
        <v>1.8580727367702863E-2</v>
      </c>
    </row>
    <row r="1109" spans="1:5" x14ac:dyDescent="0.45">
      <c r="A1109" s="2">
        <v>42172</v>
      </c>
      <c r="B1109" s="3">
        <v>26832.66</v>
      </c>
      <c r="C1109" s="3">
        <v>141.80000000000001</v>
      </c>
      <c r="D1109" s="3">
        <f t="shared" si="36"/>
        <v>5.4616079918337283E-3</v>
      </c>
      <c r="E1109" s="3">
        <f t="shared" si="37"/>
        <v>-1.504840296015765E-2</v>
      </c>
    </row>
    <row r="1110" spans="1:5" x14ac:dyDescent="0.45">
      <c r="A1110" s="2">
        <v>42173</v>
      </c>
      <c r="B1110" s="3">
        <v>27115.83</v>
      </c>
      <c r="C1110" s="3">
        <v>141.69999999999999</v>
      </c>
      <c r="D1110" s="3">
        <f t="shared" si="36"/>
        <v>1.049788791393658E-2</v>
      </c>
      <c r="E1110" s="3">
        <f t="shared" si="37"/>
        <v>-7.0546740139248217E-4</v>
      </c>
    </row>
    <row r="1111" spans="1:5" x14ac:dyDescent="0.45">
      <c r="A1111" s="2">
        <v>42174</v>
      </c>
      <c r="B1111" s="3">
        <v>27316.17</v>
      </c>
      <c r="C1111" s="3">
        <v>140.4</v>
      </c>
      <c r="D1111" s="3">
        <f t="shared" si="36"/>
        <v>7.3611443504519695E-3</v>
      </c>
      <c r="E1111" s="3">
        <f t="shared" si="37"/>
        <v>-9.2166551049238394E-3</v>
      </c>
    </row>
    <row r="1112" spans="1:5" x14ac:dyDescent="0.45">
      <c r="A1112" s="2">
        <v>42177</v>
      </c>
      <c r="B1112" s="3">
        <v>27730.21</v>
      </c>
      <c r="C1112" s="3">
        <v>141.25</v>
      </c>
      <c r="D1112" s="3">
        <f t="shared" si="36"/>
        <v>1.5043598086359513E-2</v>
      </c>
      <c r="E1112" s="3">
        <f t="shared" si="37"/>
        <v>6.0358784348396319E-3</v>
      </c>
    </row>
    <row r="1113" spans="1:5" x14ac:dyDescent="0.45">
      <c r="A1113" s="2">
        <v>42178</v>
      </c>
      <c r="B1113" s="3">
        <v>27804.37</v>
      </c>
      <c r="C1113" s="3">
        <v>139.35</v>
      </c>
      <c r="D1113" s="3">
        <f t="shared" si="36"/>
        <v>2.6707699628595186E-3</v>
      </c>
      <c r="E1113" s="3">
        <f t="shared" si="37"/>
        <v>-1.3542616098593103E-2</v>
      </c>
    </row>
    <row r="1114" spans="1:5" x14ac:dyDescent="0.45">
      <c r="A1114" s="2">
        <v>42179</v>
      </c>
      <c r="B1114" s="3">
        <v>27729.67</v>
      </c>
      <c r="C1114" s="3">
        <v>139.44999999999999</v>
      </c>
      <c r="D1114" s="3">
        <f t="shared" si="36"/>
        <v>-2.6902434994058684E-3</v>
      </c>
      <c r="E1114" s="3">
        <f t="shared" si="37"/>
        <v>7.1736014554060052E-4</v>
      </c>
    </row>
    <row r="1115" spans="1:5" x14ac:dyDescent="0.45">
      <c r="A1115" s="2">
        <v>42180</v>
      </c>
      <c r="B1115" s="3">
        <v>27895.97</v>
      </c>
      <c r="C1115" s="3">
        <v>141.1</v>
      </c>
      <c r="D1115" s="3">
        <f t="shared" si="36"/>
        <v>5.9792748617030211E-3</v>
      </c>
      <c r="E1115" s="3">
        <f t="shared" si="37"/>
        <v>1.1762744785270469E-2</v>
      </c>
    </row>
    <row r="1116" spans="1:5" x14ac:dyDescent="0.45">
      <c r="A1116" s="2">
        <v>42181</v>
      </c>
      <c r="B1116" s="3">
        <v>27811.84</v>
      </c>
      <c r="C1116" s="3">
        <v>139.15</v>
      </c>
      <c r="D1116" s="3">
        <f t="shared" si="36"/>
        <v>-3.0204046419606604E-3</v>
      </c>
      <c r="E1116" s="3">
        <f t="shared" si="37"/>
        <v>-1.3916370886868437E-2</v>
      </c>
    </row>
    <row r="1117" spans="1:5" x14ac:dyDescent="0.45">
      <c r="A1117" s="2">
        <v>42184</v>
      </c>
      <c r="B1117" s="3">
        <v>27645.15</v>
      </c>
      <c r="C1117" s="3">
        <v>139.5</v>
      </c>
      <c r="D1117" s="3">
        <f t="shared" si="36"/>
        <v>-6.0115235966615079E-3</v>
      </c>
      <c r="E1117" s="3">
        <f t="shared" si="37"/>
        <v>2.5121132895204387E-3</v>
      </c>
    </row>
    <row r="1118" spans="1:5" x14ac:dyDescent="0.45">
      <c r="A1118" s="2">
        <v>42185</v>
      </c>
      <c r="B1118" s="3">
        <v>27780.83</v>
      </c>
      <c r="C1118" s="3">
        <v>139.1</v>
      </c>
      <c r="D1118" s="3">
        <f t="shared" si="36"/>
        <v>4.8959087785120578E-3</v>
      </c>
      <c r="E1118" s="3">
        <f t="shared" si="37"/>
        <v>-2.8715023320231878E-3</v>
      </c>
    </row>
    <row r="1119" spans="1:5" x14ac:dyDescent="0.45">
      <c r="A1119" s="2">
        <v>42186</v>
      </c>
      <c r="B1119" s="3">
        <v>28020.87</v>
      </c>
      <c r="C1119" s="3">
        <v>142.15</v>
      </c>
      <c r="D1119" s="3">
        <f t="shared" si="36"/>
        <v>8.6033751877162262E-3</v>
      </c>
      <c r="E1119" s="3">
        <f t="shared" si="37"/>
        <v>2.1689739167611587E-2</v>
      </c>
    </row>
    <row r="1120" spans="1:5" x14ac:dyDescent="0.45">
      <c r="A1120" s="2">
        <v>42187</v>
      </c>
      <c r="B1120" s="3">
        <v>27945.8</v>
      </c>
      <c r="C1120" s="3">
        <v>141.5</v>
      </c>
      <c r="D1120" s="3">
        <f t="shared" si="36"/>
        <v>-2.6826697040025684E-3</v>
      </c>
      <c r="E1120" s="3">
        <f t="shared" si="37"/>
        <v>-4.5831210137165278E-3</v>
      </c>
    </row>
    <row r="1121" spans="1:5" x14ac:dyDescent="0.45">
      <c r="A1121" s="2">
        <v>42188</v>
      </c>
      <c r="B1121" s="3">
        <v>28092.79</v>
      </c>
      <c r="C1121" s="3">
        <v>141.35</v>
      </c>
      <c r="D1121" s="3">
        <f t="shared" si="36"/>
        <v>5.2460398132198804E-3</v>
      </c>
      <c r="E1121" s="3">
        <f t="shared" si="37"/>
        <v>-1.0606329436930182E-3</v>
      </c>
    </row>
    <row r="1122" spans="1:5" x14ac:dyDescent="0.45">
      <c r="A1122" s="2">
        <v>42191</v>
      </c>
      <c r="B1122" s="3">
        <v>28208.76</v>
      </c>
      <c r="C1122" s="3">
        <v>139.94999999999999</v>
      </c>
      <c r="D1122" s="3">
        <f t="shared" si="36"/>
        <v>4.1196082172580877E-3</v>
      </c>
      <c r="E1122" s="3">
        <f t="shared" si="37"/>
        <v>-9.9538681781368207E-3</v>
      </c>
    </row>
    <row r="1123" spans="1:5" x14ac:dyDescent="0.45">
      <c r="A1123" s="2">
        <v>42192</v>
      </c>
      <c r="B1123" s="3">
        <v>28171.69</v>
      </c>
      <c r="C1123" s="3">
        <v>138.85</v>
      </c>
      <c r="D1123" s="3">
        <f t="shared" si="36"/>
        <v>-1.3149950148260165E-3</v>
      </c>
      <c r="E1123" s="3">
        <f t="shared" si="37"/>
        <v>-7.8910022086539511E-3</v>
      </c>
    </row>
    <row r="1124" spans="1:5" x14ac:dyDescent="0.45">
      <c r="A1124" s="2">
        <v>42193</v>
      </c>
      <c r="B1124" s="3">
        <v>27687.72</v>
      </c>
      <c r="C1124" s="3">
        <v>138.1</v>
      </c>
      <c r="D1124" s="3">
        <f t="shared" si="36"/>
        <v>-1.7328579391313277E-2</v>
      </c>
      <c r="E1124" s="3">
        <f t="shared" si="37"/>
        <v>-5.4161533375620737E-3</v>
      </c>
    </row>
    <row r="1125" spans="1:5" x14ac:dyDescent="0.45">
      <c r="A1125" s="2">
        <v>42194</v>
      </c>
      <c r="B1125" s="3">
        <v>27573.66</v>
      </c>
      <c r="C1125" s="3">
        <v>136.9</v>
      </c>
      <c r="D1125" s="3">
        <f t="shared" si="36"/>
        <v>-4.1280243805246327E-3</v>
      </c>
      <c r="E1125" s="3">
        <f t="shared" si="37"/>
        <v>-8.727328120843111E-3</v>
      </c>
    </row>
    <row r="1126" spans="1:5" x14ac:dyDescent="0.45">
      <c r="A1126" s="2">
        <v>42195</v>
      </c>
      <c r="B1126" s="3">
        <v>27661.4</v>
      </c>
      <c r="C1126" s="3">
        <v>138.05000000000001</v>
      </c>
      <c r="D1126" s="3">
        <f t="shared" si="36"/>
        <v>3.1769703444756796E-3</v>
      </c>
      <c r="E1126" s="3">
        <f t="shared" si="37"/>
        <v>8.3652060817602722E-3</v>
      </c>
    </row>
    <row r="1127" spans="1:5" x14ac:dyDescent="0.45">
      <c r="A1127" s="2">
        <v>42198</v>
      </c>
      <c r="B1127" s="3">
        <v>27961.19</v>
      </c>
      <c r="C1127" s="3">
        <v>139.65</v>
      </c>
      <c r="D1127" s="3">
        <f t="shared" si="36"/>
        <v>1.0779537699403371E-2</v>
      </c>
      <c r="E1127" s="3">
        <f t="shared" si="37"/>
        <v>1.1523354015022321E-2</v>
      </c>
    </row>
    <row r="1128" spans="1:5" x14ac:dyDescent="0.45">
      <c r="A1128" s="2">
        <v>42199</v>
      </c>
      <c r="B1128" s="3">
        <v>27932.9</v>
      </c>
      <c r="C1128" s="3">
        <v>140.30000000000001</v>
      </c>
      <c r="D1128" s="3">
        <f t="shared" si="36"/>
        <v>-1.0122716879624669E-3</v>
      </c>
      <c r="E1128" s="3">
        <f t="shared" si="37"/>
        <v>4.6436947172295738E-3</v>
      </c>
    </row>
    <row r="1129" spans="1:5" x14ac:dyDescent="0.45">
      <c r="A1129" s="2">
        <v>42200</v>
      </c>
      <c r="B1129" s="3">
        <v>28198.29</v>
      </c>
      <c r="C1129" s="3">
        <v>139.69999999999999</v>
      </c>
      <c r="D1129" s="3">
        <f t="shared" si="36"/>
        <v>9.4561322345135049E-3</v>
      </c>
      <c r="E1129" s="3">
        <f t="shared" si="37"/>
        <v>-4.2857208454992971E-3</v>
      </c>
    </row>
    <row r="1130" spans="1:5" x14ac:dyDescent="0.45">
      <c r="A1130" s="2">
        <v>42201</v>
      </c>
      <c r="B1130" s="3">
        <v>28446.12</v>
      </c>
      <c r="C1130" s="3">
        <v>139.65</v>
      </c>
      <c r="D1130" s="3">
        <f t="shared" si="36"/>
        <v>8.7504338508184176E-3</v>
      </c>
      <c r="E1130" s="3">
        <f t="shared" si="37"/>
        <v>-3.5797387173022293E-4</v>
      </c>
    </row>
    <row r="1131" spans="1:5" x14ac:dyDescent="0.45">
      <c r="A1131" s="2">
        <v>42202</v>
      </c>
      <c r="B1131" s="3">
        <v>28463.31</v>
      </c>
      <c r="C1131" s="3">
        <v>140.80000000000001</v>
      </c>
      <c r="D1131" s="3">
        <f t="shared" si="36"/>
        <v>6.0411782450843737E-4</v>
      </c>
      <c r="E1131" s="3">
        <f t="shared" si="37"/>
        <v>8.2011513327563592E-3</v>
      </c>
    </row>
    <row r="1132" spans="1:5" x14ac:dyDescent="0.45">
      <c r="A1132" s="2">
        <v>42205</v>
      </c>
      <c r="B1132" s="3">
        <v>28420.12</v>
      </c>
      <c r="C1132" s="3">
        <v>140.15</v>
      </c>
      <c r="D1132" s="3">
        <f t="shared" si="36"/>
        <v>-1.5185444442994095E-3</v>
      </c>
      <c r="E1132" s="3">
        <f t="shared" si="37"/>
        <v>-4.6271661131447603E-3</v>
      </c>
    </row>
    <row r="1133" spans="1:5" x14ac:dyDescent="0.45">
      <c r="A1133" s="2">
        <v>42206</v>
      </c>
      <c r="B1133" s="3">
        <v>28182.14</v>
      </c>
      <c r="C1133" s="3">
        <v>139.55000000000001</v>
      </c>
      <c r="D1133" s="3">
        <f t="shared" si="36"/>
        <v>-8.4089010681872144E-3</v>
      </c>
      <c r="E1133" s="3">
        <f t="shared" si="37"/>
        <v>-4.2903176284660709E-3</v>
      </c>
    </row>
    <row r="1134" spans="1:5" x14ac:dyDescent="0.45">
      <c r="A1134" s="2">
        <v>42207</v>
      </c>
      <c r="B1134" s="3">
        <v>28504.93</v>
      </c>
      <c r="C1134" s="3">
        <v>142.4</v>
      </c>
      <c r="D1134" s="3">
        <f t="shared" si="36"/>
        <v>1.1388610800545656E-2</v>
      </c>
      <c r="E1134" s="3">
        <f t="shared" si="37"/>
        <v>2.0217038995544185E-2</v>
      </c>
    </row>
    <row r="1135" spans="1:5" x14ac:dyDescent="0.45">
      <c r="A1135" s="2">
        <v>42208</v>
      </c>
      <c r="B1135" s="3">
        <v>28370.84</v>
      </c>
      <c r="C1135" s="3">
        <v>142.15</v>
      </c>
      <c r="D1135" s="3">
        <f t="shared" si="36"/>
        <v>-4.7151976469470046E-3</v>
      </c>
      <c r="E1135" s="3">
        <f t="shared" si="37"/>
        <v>-1.7571608808666138E-3</v>
      </c>
    </row>
    <row r="1136" spans="1:5" x14ac:dyDescent="0.45">
      <c r="A1136" s="2">
        <v>42209</v>
      </c>
      <c r="B1136" s="3">
        <v>28112.31</v>
      </c>
      <c r="C1136" s="3">
        <v>142</v>
      </c>
      <c r="D1136" s="3">
        <f t="shared" si="36"/>
        <v>-9.1542984208230812E-3</v>
      </c>
      <c r="E1136" s="3">
        <f t="shared" si="37"/>
        <v>-1.0557804957480453E-3</v>
      </c>
    </row>
    <row r="1137" spans="1:5" x14ac:dyDescent="0.45">
      <c r="A1137" s="2">
        <v>42212</v>
      </c>
      <c r="B1137" s="3">
        <v>27561.38</v>
      </c>
      <c r="C1137" s="3">
        <v>140.55000000000001</v>
      </c>
      <c r="D1137" s="3">
        <f t="shared" si="36"/>
        <v>-1.9792041242426117E-2</v>
      </c>
      <c r="E1137" s="3">
        <f t="shared" si="37"/>
        <v>-1.0263760248719776E-2</v>
      </c>
    </row>
    <row r="1138" spans="1:5" x14ac:dyDescent="0.45">
      <c r="A1138" s="2">
        <v>42213</v>
      </c>
      <c r="B1138" s="3">
        <v>27459.23</v>
      </c>
      <c r="C1138" s="3">
        <v>141.25</v>
      </c>
      <c r="D1138" s="3">
        <f t="shared" si="36"/>
        <v>-3.7131583007330438E-3</v>
      </c>
      <c r="E1138" s="3">
        <f t="shared" si="37"/>
        <v>4.9680726740092525E-3</v>
      </c>
    </row>
    <row r="1139" spans="1:5" x14ac:dyDescent="0.45">
      <c r="A1139" s="2">
        <v>42214</v>
      </c>
      <c r="B1139" s="3">
        <v>27563.43</v>
      </c>
      <c r="C1139" s="3">
        <v>140</v>
      </c>
      <c r="D1139" s="3">
        <f t="shared" si="36"/>
        <v>3.7875349743559114E-3</v>
      </c>
      <c r="E1139" s="3">
        <f t="shared" si="37"/>
        <v>-8.8889474172460393E-3</v>
      </c>
    </row>
    <row r="1140" spans="1:5" x14ac:dyDescent="0.45">
      <c r="A1140" s="2">
        <v>42215</v>
      </c>
      <c r="B1140" s="3">
        <v>27705.35</v>
      </c>
      <c r="C1140" s="3">
        <v>142.30000000000001</v>
      </c>
      <c r="D1140" s="3">
        <f t="shared" si="36"/>
        <v>5.1356412038026768E-3</v>
      </c>
      <c r="E1140" s="3">
        <f t="shared" si="37"/>
        <v>1.6295082486502417E-2</v>
      </c>
    </row>
    <row r="1141" spans="1:5" x14ac:dyDescent="0.45">
      <c r="A1141" s="2">
        <v>42216</v>
      </c>
      <c r="B1141" s="3">
        <v>28114.560000000001</v>
      </c>
      <c r="C1141" s="3">
        <v>141.55000000000001</v>
      </c>
      <c r="D1141" s="3">
        <f t="shared" si="36"/>
        <v>1.4662056274575794E-2</v>
      </c>
      <c r="E1141" s="3">
        <f t="shared" si="37"/>
        <v>-5.284493537898091E-3</v>
      </c>
    </row>
    <row r="1142" spans="1:5" x14ac:dyDescent="0.45">
      <c r="A1142" s="2">
        <v>42219</v>
      </c>
      <c r="B1142" s="3">
        <v>28187.06</v>
      </c>
      <c r="C1142" s="3">
        <v>140.6</v>
      </c>
      <c r="D1142" s="3">
        <f t="shared" si="36"/>
        <v>2.57541577215563E-3</v>
      </c>
      <c r="E1142" s="3">
        <f t="shared" si="37"/>
        <v>-6.7340321813441802E-3</v>
      </c>
    </row>
    <row r="1143" spans="1:5" x14ac:dyDescent="0.45">
      <c r="A1143" s="2">
        <v>42220</v>
      </c>
      <c r="B1143" s="3">
        <v>28071.93</v>
      </c>
      <c r="C1143" s="3">
        <v>140.69999999999999</v>
      </c>
      <c r="D1143" s="3">
        <f t="shared" si="36"/>
        <v>-4.0928626950778226E-3</v>
      </c>
      <c r="E1143" s="3">
        <f t="shared" si="37"/>
        <v>7.1098474377870671E-4</v>
      </c>
    </row>
    <row r="1144" spans="1:5" x14ac:dyDescent="0.45">
      <c r="A1144" s="2">
        <v>42221</v>
      </c>
      <c r="B1144" s="3">
        <v>28223.08</v>
      </c>
      <c r="C1144" s="3">
        <v>140.6</v>
      </c>
      <c r="D1144" s="3">
        <f t="shared" si="36"/>
        <v>5.3699382313372665E-3</v>
      </c>
      <c r="E1144" s="3">
        <f t="shared" si="37"/>
        <v>-7.1098474377882326E-4</v>
      </c>
    </row>
    <row r="1145" spans="1:5" x14ac:dyDescent="0.45">
      <c r="A1145" s="2">
        <v>42222</v>
      </c>
      <c r="B1145" s="3">
        <v>28298.13</v>
      </c>
      <c r="C1145" s="3">
        <v>140.69999999999999</v>
      </c>
      <c r="D1145" s="3">
        <f t="shared" si="36"/>
        <v>2.6556418062205394E-3</v>
      </c>
      <c r="E1145" s="3">
        <f t="shared" si="37"/>
        <v>7.1098474377870671E-4</v>
      </c>
    </row>
    <row r="1146" spans="1:5" x14ac:dyDescent="0.45">
      <c r="A1146" s="2">
        <v>42223</v>
      </c>
      <c r="B1146" s="3">
        <v>28236.39</v>
      </c>
      <c r="C1146" s="3">
        <v>139.55000000000001</v>
      </c>
      <c r="D1146" s="3">
        <f t="shared" si="36"/>
        <v>-2.1841531349111724E-3</v>
      </c>
      <c r="E1146" s="3">
        <f t="shared" si="37"/>
        <v>-8.2070041380120865E-3</v>
      </c>
    </row>
    <row r="1147" spans="1:5" x14ac:dyDescent="0.45">
      <c r="A1147" s="2">
        <v>42226</v>
      </c>
      <c r="B1147" s="3">
        <v>28101.72</v>
      </c>
      <c r="C1147" s="3">
        <v>138.1</v>
      </c>
      <c r="D1147" s="3">
        <f t="shared" si="36"/>
        <v>-4.7807871616753709E-3</v>
      </c>
      <c r="E1147" s="3">
        <f t="shared" si="37"/>
        <v>-1.0444899567084899E-2</v>
      </c>
    </row>
    <row r="1148" spans="1:5" x14ac:dyDescent="0.45">
      <c r="A1148" s="2">
        <v>42227</v>
      </c>
      <c r="B1148" s="3">
        <v>27866.09</v>
      </c>
      <c r="C1148" s="3">
        <v>137.65</v>
      </c>
      <c r="D1148" s="3">
        <f t="shared" si="36"/>
        <v>-8.4202470023367563E-3</v>
      </c>
      <c r="E1148" s="3">
        <f t="shared" si="37"/>
        <v>-3.2638288266300694E-3</v>
      </c>
    </row>
    <row r="1149" spans="1:5" x14ac:dyDescent="0.45">
      <c r="A1149" s="2">
        <v>42228</v>
      </c>
      <c r="B1149" s="3">
        <v>27512.26</v>
      </c>
      <c r="C1149" s="3">
        <v>135.80000000000001</v>
      </c>
      <c r="D1149" s="3">
        <f t="shared" si="36"/>
        <v>-1.2778813921578451E-2</v>
      </c>
      <c r="E1149" s="3">
        <f t="shared" si="37"/>
        <v>-1.3531016464020518E-2</v>
      </c>
    </row>
    <row r="1150" spans="1:5" x14ac:dyDescent="0.45">
      <c r="A1150" s="2">
        <v>42229</v>
      </c>
      <c r="B1150" s="3">
        <v>27549.53</v>
      </c>
      <c r="C1150" s="3">
        <v>137.9</v>
      </c>
      <c r="D1150" s="3">
        <f t="shared" si="36"/>
        <v>1.3537520553505765E-3</v>
      </c>
      <c r="E1150" s="3">
        <f t="shared" si="37"/>
        <v>1.5345569674660321E-2</v>
      </c>
    </row>
    <row r="1151" spans="1:5" x14ac:dyDescent="0.45">
      <c r="A1151" s="2">
        <v>42230</v>
      </c>
      <c r="B1151" s="3">
        <v>28067.31</v>
      </c>
      <c r="C1151" s="3">
        <v>138.30000000000001</v>
      </c>
      <c r="D1151" s="3">
        <f t="shared" si="36"/>
        <v>1.8620078370382213E-2</v>
      </c>
      <c r="E1151" s="3">
        <f t="shared" si="37"/>
        <v>2.896453871456438E-3</v>
      </c>
    </row>
    <row r="1152" spans="1:5" x14ac:dyDescent="0.45">
      <c r="A1152" s="2">
        <v>42233</v>
      </c>
      <c r="B1152" s="3">
        <v>27878.27</v>
      </c>
      <c r="C1152" s="3">
        <v>137.9</v>
      </c>
      <c r="D1152" s="3">
        <f t="shared" si="36"/>
        <v>-6.7580216155654887E-3</v>
      </c>
      <c r="E1152" s="3">
        <f t="shared" si="37"/>
        <v>-2.8964538714563834E-3</v>
      </c>
    </row>
    <row r="1153" spans="1:5" x14ac:dyDescent="0.45">
      <c r="A1153" s="2">
        <v>42234</v>
      </c>
      <c r="B1153" s="3">
        <v>27831.54</v>
      </c>
      <c r="C1153" s="3">
        <v>137.15</v>
      </c>
      <c r="D1153" s="3">
        <f t="shared" si="36"/>
        <v>-1.6776223419109053E-3</v>
      </c>
      <c r="E1153" s="3">
        <f t="shared" si="37"/>
        <v>-5.4535674156438816E-3</v>
      </c>
    </row>
    <row r="1154" spans="1:5" x14ac:dyDescent="0.45">
      <c r="A1154" s="2">
        <v>42235</v>
      </c>
      <c r="B1154" s="3">
        <v>27931.64</v>
      </c>
      <c r="C1154" s="3">
        <v>136.55000000000001</v>
      </c>
      <c r="D1154" s="3">
        <f t="shared" si="36"/>
        <v>3.5901864821690048E-3</v>
      </c>
      <c r="E1154" s="3">
        <f t="shared" si="37"/>
        <v>-4.3843694638982175E-3</v>
      </c>
    </row>
    <row r="1155" spans="1:5" x14ac:dyDescent="0.45">
      <c r="A1155" s="2">
        <v>42236</v>
      </c>
      <c r="B1155" s="3">
        <v>27607.82</v>
      </c>
      <c r="C1155" s="3">
        <v>135.94999999999999</v>
      </c>
      <c r="D1155" s="3">
        <f t="shared" si="36"/>
        <v>-1.166103053224077E-2</v>
      </c>
      <c r="E1155" s="3">
        <f t="shared" si="37"/>
        <v>-4.4036768412345174E-3</v>
      </c>
    </row>
    <row r="1156" spans="1:5" x14ac:dyDescent="0.45">
      <c r="A1156" s="2">
        <v>42237</v>
      </c>
      <c r="B1156" s="3">
        <v>27366.07</v>
      </c>
      <c r="C1156" s="3">
        <v>133.25</v>
      </c>
      <c r="D1156" s="3">
        <f t="shared" si="36"/>
        <v>-8.7951410521969562E-3</v>
      </c>
      <c r="E1156" s="3">
        <f t="shared" si="37"/>
        <v>-2.0060108032525736E-2</v>
      </c>
    </row>
    <row r="1157" spans="1:5" x14ac:dyDescent="0.45">
      <c r="A1157" s="2">
        <v>42240</v>
      </c>
      <c r="B1157" s="3">
        <v>25741.56</v>
      </c>
      <c r="C1157" s="3">
        <v>131.25</v>
      </c>
      <c r="D1157" s="3">
        <f t="shared" si="36"/>
        <v>-6.1197118480818415E-2</v>
      </c>
      <c r="E1157" s="3">
        <f t="shared" si="37"/>
        <v>-1.5123161574220773E-2</v>
      </c>
    </row>
    <row r="1158" spans="1:5" x14ac:dyDescent="0.45">
      <c r="A1158" s="2">
        <v>42241</v>
      </c>
      <c r="B1158" s="3">
        <v>26032.38</v>
      </c>
      <c r="C1158" s="3">
        <v>128.75</v>
      </c>
      <c r="D1158" s="3">
        <f t="shared" ref="D1158:D1221" si="38">LN(B1158/B1157)</f>
        <v>1.1234341396588819E-2</v>
      </c>
      <c r="E1158" s="3">
        <f t="shared" ref="E1158:E1221" si="39">LN(C1158/C1157)</f>
        <v>-1.9231361927887644E-2</v>
      </c>
    </row>
    <row r="1159" spans="1:5" x14ac:dyDescent="0.45">
      <c r="A1159" s="2">
        <v>42242</v>
      </c>
      <c r="B1159" s="3">
        <v>25714.66</v>
      </c>
      <c r="C1159" s="3">
        <v>130.85</v>
      </c>
      <c r="D1159" s="3">
        <f t="shared" si="38"/>
        <v>-1.2279890504180982E-2</v>
      </c>
      <c r="E1159" s="3">
        <f t="shared" si="39"/>
        <v>1.6179089432309189E-2</v>
      </c>
    </row>
    <row r="1160" spans="1:5" x14ac:dyDescent="0.45">
      <c r="A1160" s="2">
        <v>42243</v>
      </c>
      <c r="B1160" s="3">
        <v>26231.19</v>
      </c>
      <c r="C1160" s="3">
        <v>135.1</v>
      </c>
      <c r="D1160" s="3">
        <f t="shared" si="38"/>
        <v>1.9887903464520653E-2</v>
      </c>
      <c r="E1160" s="3">
        <f t="shared" si="39"/>
        <v>3.1963615989998279E-2</v>
      </c>
    </row>
    <row r="1161" spans="1:5" x14ac:dyDescent="0.45">
      <c r="A1161" s="2">
        <v>42244</v>
      </c>
      <c r="B1161" s="3">
        <v>26392.38</v>
      </c>
      <c r="C1161" s="3">
        <v>134.6</v>
      </c>
      <c r="D1161" s="3">
        <f t="shared" si="38"/>
        <v>6.1261713760996104E-3</v>
      </c>
      <c r="E1161" s="3">
        <f t="shared" si="39"/>
        <v>-3.7078277555257083E-3</v>
      </c>
    </row>
    <row r="1162" spans="1:5" x14ac:dyDescent="0.45">
      <c r="A1162" s="2">
        <v>42247</v>
      </c>
      <c r="B1162" s="3">
        <v>26283.09</v>
      </c>
      <c r="C1162" s="3">
        <v>130.65</v>
      </c>
      <c r="D1162" s="3">
        <f t="shared" si="38"/>
        <v>-4.1495655120317634E-3</v>
      </c>
      <c r="E1162" s="3">
        <f t="shared" si="39"/>
        <v>-2.978542524400583E-2</v>
      </c>
    </row>
    <row r="1163" spans="1:5" x14ac:dyDescent="0.45">
      <c r="A1163" s="2">
        <v>42248</v>
      </c>
      <c r="B1163" s="3">
        <v>25696.44</v>
      </c>
      <c r="C1163" s="3">
        <v>128.94999999999999</v>
      </c>
      <c r="D1163" s="3">
        <f t="shared" si="38"/>
        <v>-2.257330570768935E-2</v>
      </c>
      <c r="E1163" s="3">
        <f t="shared" si="39"/>
        <v>-1.3097259639267866E-2</v>
      </c>
    </row>
    <row r="1164" spans="1:5" x14ac:dyDescent="0.45">
      <c r="A1164" s="2">
        <v>42249</v>
      </c>
      <c r="B1164" s="3">
        <v>25453.56</v>
      </c>
      <c r="C1164" s="3">
        <v>125.25</v>
      </c>
      <c r="D1164" s="3">
        <f t="shared" si="38"/>
        <v>-9.4968455696730486E-3</v>
      </c>
      <c r="E1164" s="3">
        <f t="shared" si="39"/>
        <v>-2.911299236237954E-2</v>
      </c>
    </row>
    <row r="1165" spans="1:5" x14ac:dyDescent="0.45">
      <c r="A1165" s="2">
        <v>42250</v>
      </c>
      <c r="B1165" s="3">
        <v>25764.78</v>
      </c>
      <c r="C1165" s="3">
        <v>127.6</v>
      </c>
      <c r="D1165" s="3">
        <f t="shared" si="38"/>
        <v>1.2152827692673429E-2</v>
      </c>
      <c r="E1165" s="3">
        <f t="shared" si="39"/>
        <v>1.8588630945715376E-2</v>
      </c>
    </row>
    <row r="1166" spans="1:5" x14ac:dyDescent="0.45">
      <c r="A1166" s="2">
        <v>42251</v>
      </c>
      <c r="B1166" s="3">
        <v>25201.9</v>
      </c>
      <c r="C1166" s="3">
        <v>123.4</v>
      </c>
      <c r="D1166" s="3">
        <f t="shared" si="38"/>
        <v>-2.2089054527844303E-2</v>
      </c>
      <c r="E1166" s="3">
        <f t="shared" si="39"/>
        <v>-3.346925943940196E-2</v>
      </c>
    </row>
    <row r="1167" spans="1:5" x14ac:dyDescent="0.45">
      <c r="A1167" s="2">
        <v>42254</v>
      </c>
      <c r="B1167" s="3">
        <v>24893.81</v>
      </c>
      <c r="C1167" s="3">
        <v>122</v>
      </c>
      <c r="D1167" s="3">
        <f t="shared" si="38"/>
        <v>-1.2300210312128967E-2</v>
      </c>
      <c r="E1167" s="3">
        <f t="shared" si="39"/>
        <v>-1.1410066738030899E-2</v>
      </c>
    </row>
    <row r="1168" spans="1:5" x14ac:dyDescent="0.45">
      <c r="A1168" s="2">
        <v>42255</v>
      </c>
      <c r="B1168" s="3">
        <v>25317.87</v>
      </c>
      <c r="C1168" s="3">
        <v>125.5</v>
      </c>
      <c r="D1168" s="3">
        <f t="shared" si="38"/>
        <v>1.689129232622218E-2</v>
      </c>
      <c r="E1168" s="3">
        <f t="shared" si="39"/>
        <v>2.8284713838582103E-2</v>
      </c>
    </row>
    <row r="1169" spans="1:5" x14ac:dyDescent="0.45">
      <c r="A1169" s="2">
        <v>42256</v>
      </c>
      <c r="B1169" s="3">
        <v>25719.58</v>
      </c>
      <c r="C1169" s="3">
        <v>126</v>
      </c>
      <c r="D1169" s="3">
        <f t="shared" si="38"/>
        <v>1.5742099016907738E-2</v>
      </c>
      <c r="E1169" s="3">
        <f t="shared" si="39"/>
        <v>3.9761483796394168E-3</v>
      </c>
    </row>
    <row r="1170" spans="1:5" x14ac:dyDescent="0.45">
      <c r="A1170" s="2">
        <v>42257</v>
      </c>
      <c r="B1170" s="3">
        <v>25622.17</v>
      </c>
      <c r="C1170" s="3">
        <v>123.05</v>
      </c>
      <c r="D1170" s="3">
        <f t="shared" si="38"/>
        <v>-3.794577196233636E-3</v>
      </c>
      <c r="E1170" s="3">
        <f t="shared" si="39"/>
        <v>-2.3691130114413154E-2</v>
      </c>
    </row>
    <row r="1171" spans="1:5" x14ac:dyDescent="0.45">
      <c r="A1171" s="2">
        <v>42258</v>
      </c>
      <c r="B1171" s="3">
        <v>25610.21</v>
      </c>
      <c r="C1171" s="3">
        <v>124.1</v>
      </c>
      <c r="D1171" s="3">
        <f t="shared" si="38"/>
        <v>-4.6689223562363432E-4</v>
      </c>
      <c r="E1171" s="3">
        <f t="shared" si="39"/>
        <v>8.4969153734965643E-3</v>
      </c>
    </row>
    <row r="1172" spans="1:5" x14ac:dyDescent="0.45">
      <c r="A1172" s="2">
        <v>42261</v>
      </c>
      <c r="B1172" s="3">
        <v>25856.7</v>
      </c>
      <c r="C1172" s="3">
        <v>127.4</v>
      </c>
      <c r="D1172" s="3">
        <f t="shared" si="38"/>
        <v>9.5786548922991172E-3</v>
      </c>
      <c r="E1172" s="3">
        <f t="shared" si="39"/>
        <v>2.6244050927501549E-2</v>
      </c>
    </row>
    <row r="1173" spans="1:5" x14ac:dyDescent="0.45">
      <c r="A1173" s="2">
        <v>42262</v>
      </c>
      <c r="B1173" s="3">
        <v>25705.93</v>
      </c>
      <c r="C1173" s="3">
        <v>128.35</v>
      </c>
      <c r="D1173" s="3">
        <f t="shared" si="38"/>
        <v>-5.8480504074522564E-3</v>
      </c>
      <c r="E1173" s="3">
        <f t="shared" si="39"/>
        <v>7.4291641790863545E-3</v>
      </c>
    </row>
    <row r="1174" spans="1:5" x14ac:dyDescent="0.45">
      <c r="A1174" s="2">
        <v>42263</v>
      </c>
      <c r="B1174" s="3">
        <v>25963.97</v>
      </c>
      <c r="C1174" s="3">
        <v>131.05000000000001</v>
      </c>
      <c r="D1174" s="3">
        <f t="shared" si="38"/>
        <v>9.9881031399854832E-3</v>
      </c>
      <c r="E1174" s="3">
        <f t="shared" si="39"/>
        <v>2.0818022452266025E-2</v>
      </c>
    </row>
    <row r="1175" spans="1:5" x14ac:dyDescent="0.45">
      <c r="A1175" s="2">
        <v>42265</v>
      </c>
      <c r="B1175" s="3">
        <v>26218.91</v>
      </c>
      <c r="C1175" s="3">
        <v>133.5</v>
      </c>
      <c r="D1175" s="3">
        <f t="shared" si="38"/>
        <v>9.7710984272866251E-3</v>
      </c>
      <c r="E1175" s="3">
        <f t="shared" si="39"/>
        <v>1.8522548070888843E-2</v>
      </c>
    </row>
    <row r="1176" spans="1:5" x14ac:dyDescent="0.45">
      <c r="A1176" s="2">
        <v>42268</v>
      </c>
      <c r="B1176" s="3">
        <v>26192.98</v>
      </c>
      <c r="C1176" s="3">
        <v>136.65</v>
      </c>
      <c r="D1176" s="3">
        <f t="shared" si="38"/>
        <v>-9.8947021813440453E-4</v>
      </c>
      <c r="E1176" s="3">
        <f t="shared" si="39"/>
        <v>2.3321434533772788E-2</v>
      </c>
    </row>
    <row r="1177" spans="1:5" x14ac:dyDescent="0.45">
      <c r="A1177" s="2">
        <v>42269</v>
      </c>
      <c r="B1177" s="3">
        <v>25651.84</v>
      </c>
      <c r="C1177" s="3">
        <v>130.85</v>
      </c>
      <c r="D1177" s="3">
        <f t="shared" si="38"/>
        <v>-2.0876131996963112E-2</v>
      </c>
      <c r="E1177" s="3">
        <f t="shared" si="39"/>
        <v>-4.3371283397922289E-2</v>
      </c>
    </row>
    <row r="1178" spans="1:5" x14ac:dyDescent="0.45">
      <c r="A1178" s="2">
        <v>42270</v>
      </c>
      <c r="B1178" s="3">
        <v>25822.99</v>
      </c>
      <c r="C1178" s="3">
        <v>128.05000000000001</v>
      </c>
      <c r="D1178" s="3">
        <f t="shared" si="38"/>
        <v>6.6498764813603594E-3</v>
      </c>
      <c r="E1178" s="3">
        <f t="shared" si="39"/>
        <v>-2.1630816330620483E-2</v>
      </c>
    </row>
    <row r="1179" spans="1:5" x14ac:dyDescent="0.45">
      <c r="A1179" s="2">
        <v>42271</v>
      </c>
      <c r="B1179" s="3">
        <v>25863.5</v>
      </c>
      <c r="C1179" s="3">
        <v>125.9</v>
      </c>
      <c r="D1179" s="3">
        <f t="shared" si="38"/>
        <v>1.5675279282808281E-3</v>
      </c>
      <c r="E1179" s="3">
        <f t="shared" si="39"/>
        <v>-1.693287159523281E-2</v>
      </c>
    </row>
    <row r="1180" spans="1:5" x14ac:dyDescent="0.45">
      <c r="A1180" s="2">
        <v>42275</v>
      </c>
      <c r="B1180" s="3">
        <v>25616.84</v>
      </c>
      <c r="C1180" s="3">
        <v>126.65</v>
      </c>
      <c r="D1180" s="3">
        <f t="shared" si="38"/>
        <v>-9.582760624673281E-3</v>
      </c>
      <c r="E1180" s="3">
        <f t="shared" si="39"/>
        <v>5.939435397382814E-3</v>
      </c>
    </row>
    <row r="1181" spans="1:5" x14ac:dyDescent="0.45">
      <c r="A1181" s="2">
        <v>42276</v>
      </c>
      <c r="B1181" s="3">
        <v>25778.66</v>
      </c>
      <c r="C1181" s="3">
        <v>128.4</v>
      </c>
      <c r="D1181" s="3">
        <f t="shared" si="38"/>
        <v>6.297070160679521E-3</v>
      </c>
      <c r="E1181" s="3">
        <f t="shared" si="39"/>
        <v>1.3723014808176609E-2</v>
      </c>
    </row>
    <row r="1182" spans="1:5" x14ac:dyDescent="0.45">
      <c r="A1182" s="2">
        <v>42277</v>
      </c>
      <c r="B1182" s="3">
        <v>26154.83</v>
      </c>
      <c r="C1182" s="3">
        <v>132.15</v>
      </c>
      <c r="D1182" s="3">
        <f t="shared" si="38"/>
        <v>1.4486859205814129E-2</v>
      </c>
      <c r="E1182" s="3">
        <f t="shared" si="39"/>
        <v>2.8787249794437478E-2</v>
      </c>
    </row>
    <row r="1183" spans="1:5" x14ac:dyDescent="0.45">
      <c r="A1183" s="2">
        <v>42278</v>
      </c>
      <c r="B1183" s="3">
        <v>26220.95</v>
      </c>
      <c r="C1183" s="3">
        <v>130.44999999999999</v>
      </c>
      <c r="D1183" s="3">
        <f t="shared" si="38"/>
        <v>2.5248324750495438E-3</v>
      </c>
      <c r="E1183" s="3">
        <f t="shared" si="39"/>
        <v>-1.2947629467560862E-2</v>
      </c>
    </row>
    <row r="1184" spans="1:5" x14ac:dyDescent="0.45">
      <c r="A1184" s="2">
        <v>42282</v>
      </c>
      <c r="B1184" s="3">
        <v>26785.55</v>
      </c>
      <c r="C1184" s="3">
        <v>132.25</v>
      </c>
      <c r="D1184" s="3">
        <f t="shared" si="38"/>
        <v>2.1303853439756968E-2</v>
      </c>
      <c r="E1184" s="3">
        <f t="shared" si="39"/>
        <v>1.3704059155671494E-2</v>
      </c>
    </row>
    <row r="1185" spans="1:5" x14ac:dyDescent="0.45">
      <c r="A1185" s="2">
        <v>42283</v>
      </c>
      <c r="B1185" s="3">
        <v>26932.880000000001</v>
      </c>
      <c r="C1185" s="3">
        <v>131.85</v>
      </c>
      <c r="D1185" s="3">
        <f t="shared" si="38"/>
        <v>5.4852820311074553E-3</v>
      </c>
      <c r="E1185" s="3">
        <f t="shared" si="39"/>
        <v>-3.029157939113074E-3</v>
      </c>
    </row>
    <row r="1186" spans="1:5" x14ac:dyDescent="0.45">
      <c r="A1186" s="2">
        <v>42284</v>
      </c>
      <c r="B1186" s="3">
        <v>27035.85</v>
      </c>
      <c r="C1186" s="3">
        <v>132.35</v>
      </c>
      <c r="D1186" s="3">
        <f t="shared" si="38"/>
        <v>3.8159180305875964E-3</v>
      </c>
      <c r="E1186" s="3">
        <f t="shared" si="39"/>
        <v>3.7850158738145377E-3</v>
      </c>
    </row>
    <row r="1187" spans="1:5" x14ac:dyDescent="0.45">
      <c r="A1187" s="2">
        <v>42285</v>
      </c>
      <c r="B1187" s="3">
        <v>26845.81</v>
      </c>
      <c r="C1187" s="3">
        <v>132.44999999999999</v>
      </c>
      <c r="D1187" s="3">
        <f t="shared" si="38"/>
        <v>-7.0540064287605529E-3</v>
      </c>
      <c r="E1187" s="3">
        <f t="shared" si="39"/>
        <v>7.5528704496847078E-4</v>
      </c>
    </row>
    <row r="1188" spans="1:5" x14ac:dyDescent="0.45">
      <c r="A1188" s="2">
        <v>42286</v>
      </c>
      <c r="B1188" s="3">
        <v>27079.51</v>
      </c>
      <c r="C1188" s="3">
        <v>132.30000000000001</v>
      </c>
      <c r="D1188" s="3">
        <f t="shared" si="38"/>
        <v>8.6675967097098305E-3</v>
      </c>
      <c r="E1188" s="3">
        <f t="shared" si="39"/>
        <v>-1.1331445971685091E-3</v>
      </c>
    </row>
    <row r="1189" spans="1:5" x14ac:dyDescent="0.45">
      <c r="A1189" s="2">
        <v>42289</v>
      </c>
      <c r="B1189" s="3">
        <v>26904.11</v>
      </c>
      <c r="C1189" s="3">
        <v>132.80000000000001</v>
      </c>
      <c r="D1189" s="3">
        <f t="shared" si="38"/>
        <v>-6.4982903046850943E-3</v>
      </c>
      <c r="E1189" s="3">
        <f t="shared" si="39"/>
        <v>3.7721659214235794E-3</v>
      </c>
    </row>
    <row r="1190" spans="1:5" x14ac:dyDescent="0.45">
      <c r="A1190" s="2">
        <v>42290</v>
      </c>
      <c r="B1190" s="3">
        <v>26846.53</v>
      </c>
      <c r="C1190" s="3">
        <v>132.75</v>
      </c>
      <c r="D1190" s="3">
        <f t="shared" si="38"/>
        <v>-2.1424869369202821E-3</v>
      </c>
      <c r="E1190" s="3">
        <f t="shared" si="39"/>
        <v>-3.7657692028532277E-4</v>
      </c>
    </row>
    <row r="1191" spans="1:5" x14ac:dyDescent="0.45">
      <c r="A1191" s="2">
        <v>42291</v>
      </c>
      <c r="B1191" s="3">
        <v>26779.66</v>
      </c>
      <c r="C1191" s="3">
        <v>132.65</v>
      </c>
      <c r="D1191" s="3">
        <f t="shared" si="38"/>
        <v>-2.4939319634400899E-3</v>
      </c>
      <c r="E1191" s="3">
        <f t="shared" si="39"/>
        <v>-7.5357953829951856E-4</v>
      </c>
    </row>
    <row r="1192" spans="1:5" x14ac:dyDescent="0.45">
      <c r="A1192" s="2">
        <v>42292</v>
      </c>
      <c r="B1192" s="3">
        <v>27010.14</v>
      </c>
      <c r="C1192" s="3">
        <v>134.94999999999999</v>
      </c>
      <c r="D1192" s="3">
        <f t="shared" si="38"/>
        <v>8.5697069159396712E-3</v>
      </c>
      <c r="E1192" s="3">
        <f t="shared" si="39"/>
        <v>1.719025888026493E-2</v>
      </c>
    </row>
    <row r="1193" spans="1:5" x14ac:dyDescent="0.45">
      <c r="A1193" s="2">
        <v>42293</v>
      </c>
      <c r="B1193" s="3">
        <v>27214.6</v>
      </c>
      <c r="C1193" s="3">
        <v>135.1</v>
      </c>
      <c r="D1193" s="3">
        <f t="shared" si="38"/>
        <v>7.5412429446403972E-3</v>
      </c>
      <c r="E1193" s="3">
        <f t="shared" si="39"/>
        <v>1.1109055021394621E-3</v>
      </c>
    </row>
    <row r="1194" spans="1:5" x14ac:dyDescent="0.45">
      <c r="A1194" s="2">
        <v>42296</v>
      </c>
      <c r="B1194" s="3">
        <v>27364.92</v>
      </c>
      <c r="C1194" s="3">
        <v>133.35</v>
      </c>
      <c r="D1194" s="3">
        <f t="shared" si="38"/>
        <v>5.5083071480661744E-3</v>
      </c>
      <c r="E1194" s="3">
        <f t="shared" si="39"/>
        <v>-1.3037994338129943E-2</v>
      </c>
    </row>
    <row r="1195" spans="1:5" x14ac:dyDescent="0.45">
      <c r="A1195" s="2">
        <v>42297</v>
      </c>
      <c r="B1195" s="3">
        <v>27306.83</v>
      </c>
      <c r="C1195" s="3">
        <v>136.15</v>
      </c>
      <c r="D1195" s="3">
        <f t="shared" si="38"/>
        <v>-2.1250470987429783E-3</v>
      </c>
      <c r="E1195" s="3">
        <f t="shared" si="39"/>
        <v>2.0779968491745435E-2</v>
      </c>
    </row>
    <row r="1196" spans="1:5" x14ac:dyDescent="0.45">
      <c r="A1196" s="2">
        <v>42298</v>
      </c>
      <c r="B1196" s="3">
        <v>27287.66</v>
      </c>
      <c r="C1196" s="3">
        <v>135.94999999999999</v>
      </c>
      <c r="D1196" s="3">
        <f t="shared" si="38"/>
        <v>-7.022687010304065E-4</v>
      </c>
      <c r="E1196" s="3">
        <f t="shared" si="39"/>
        <v>-1.4700480412889786E-3</v>
      </c>
    </row>
    <row r="1197" spans="1:5" x14ac:dyDescent="0.45">
      <c r="A1197" s="2">
        <v>42300</v>
      </c>
      <c r="B1197" s="3">
        <v>27470.81</v>
      </c>
      <c r="C1197" s="3">
        <v>136.25</v>
      </c>
      <c r="D1197" s="3">
        <f t="shared" si="38"/>
        <v>6.689401035754247E-3</v>
      </c>
      <c r="E1197" s="3">
        <f t="shared" si="39"/>
        <v>2.2042624648738649E-3</v>
      </c>
    </row>
    <row r="1198" spans="1:5" x14ac:dyDescent="0.45">
      <c r="A1198" s="2">
        <v>42303</v>
      </c>
      <c r="B1198" s="3">
        <v>27361.96</v>
      </c>
      <c r="C1198" s="3">
        <v>135.85</v>
      </c>
      <c r="D1198" s="3">
        <f t="shared" si="38"/>
        <v>-3.9702587698232442E-3</v>
      </c>
      <c r="E1198" s="3">
        <f t="shared" si="39"/>
        <v>-2.9400976709967764E-3</v>
      </c>
    </row>
    <row r="1199" spans="1:5" x14ac:dyDescent="0.45">
      <c r="A1199" s="2">
        <v>42304</v>
      </c>
      <c r="B1199" s="3">
        <v>27253.439999999999</v>
      </c>
      <c r="C1199" s="3">
        <v>133.6</v>
      </c>
      <c r="D1199" s="3">
        <f t="shared" si="38"/>
        <v>-3.9739759414622071E-3</v>
      </c>
      <c r="E1199" s="3">
        <f t="shared" si="39"/>
        <v>-1.670107476981143E-2</v>
      </c>
    </row>
    <row r="1200" spans="1:5" x14ac:dyDescent="0.45">
      <c r="A1200" s="2">
        <v>42305</v>
      </c>
      <c r="B1200" s="3">
        <v>27039.759999999998</v>
      </c>
      <c r="C1200" s="3">
        <v>130.69999999999999</v>
      </c>
      <c r="D1200" s="3">
        <f t="shared" si="38"/>
        <v>-7.8713762782214522E-3</v>
      </c>
      <c r="E1200" s="3">
        <f t="shared" si="39"/>
        <v>-2.1945640472369077E-2</v>
      </c>
    </row>
    <row r="1201" spans="1:5" x14ac:dyDescent="0.45">
      <c r="A1201" s="2">
        <v>42306</v>
      </c>
      <c r="B1201" s="3">
        <v>26838.14</v>
      </c>
      <c r="C1201" s="3">
        <v>127.9</v>
      </c>
      <c r="D1201" s="3">
        <f t="shared" si="38"/>
        <v>-7.4843652464787434E-3</v>
      </c>
      <c r="E1201" s="3">
        <f t="shared" si="39"/>
        <v>-2.1655912045379106E-2</v>
      </c>
    </row>
    <row r="1202" spans="1:5" x14ac:dyDescent="0.45">
      <c r="A1202" s="2">
        <v>42307</v>
      </c>
      <c r="B1202" s="3">
        <v>26656.83</v>
      </c>
      <c r="C1202" s="3">
        <v>128.75</v>
      </c>
      <c r="D1202" s="3">
        <f t="shared" si="38"/>
        <v>-6.7786071945961897E-3</v>
      </c>
      <c r="E1202" s="3">
        <f t="shared" si="39"/>
        <v>6.6238309590484698E-3</v>
      </c>
    </row>
    <row r="1203" spans="1:5" x14ac:dyDescent="0.45">
      <c r="A1203" s="2">
        <v>42310</v>
      </c>
      <c r="B1203" s="3">
        <v>26559.15</v>
      </c>
      <c r="C1203" s="3">
        <v>128.80000000000001</v>
      </c>
      <c r="D1203" s="3">
        <f t="shared" si="38"/>
        <v>-3.6710818705761135E-3</v>
      </c>
      <c r="E1203" s="3">
        <f t="shared" si="39"/>
        <v>3.8827412640773121E-4</v>
      </c>
    </row>
    <row r="1204" spans="1:5" x14ac:dyDescent="0.45">
      <c r="A1204" s="2">
        <v>42311</v>
      </c>
      <c r="B1204" s="3">
        <v>26590.59</v>
      </c>
      <c r="C1204" s="3">
        <v>131.44999999999999</v>
      </c>
      <c r="D1204" s="3">
        <f t="shared" si="38"/>
        <v>1.183072717462391E-3</v>
      </c>
      <c r="E1204" s="3">
        <f t="shared" si="39"/>
        <v>2.0365737505636763E-2</v>
      </c>
    </row>
    <row r="1205" spans="1:5" x14ac:dyDescent="0.45">
      <c r="A1205" s="2">
        <v>42312</v>
      </c>
      <c r="B1205" s="3">
        <v>26552.92</v>
      </c>
      <c r="C1205" s="3">
        <v>131.19999999999999</v>
      </c>
      <c r="D1205" s="3">
        <f t="shared" si="38"/>
        <v>-1.4176709934692003E-3</v>
      </c>
      <c r="E1205" s="3">
        <f t="shared" si="39"/>
        <v>-1.9036746659015303E-3</v>
      </c>
    </row>
    <row r="1206" spans="1:5" x14ac:dyDescent="0.45">
      <c r="A1206" s="2">
        <v>42313</v>
      </c>
      <c r="B1206" s="3">
        <v>26304.2</v>
      </c>
      <c r="C1206" s="3">
        <v>130.75</v>
      </c>
      <c r="D1206" s="3">
        <f t="shared" si="38"/>
        <v>-9.4111005568810972E-3</v>
      </c>
      <c r="E1206" s="3">
        <f t="shared" si="39"/>
        <v>-3.4357735649562628E-3</v>
      </c>
    </row>
    <row r="1207" spans="1:5" x14ac:dyDescent="0.45">
      <c r="A1207" s="2">
        <v>42314</v>
      </c>
      <c r="B1207" s="3">
        <v>26265.24</v>
      </c>
      <c r="C1207" s="3">
        <v>131.1</v>
      </c>
      <c r="D1207" s="3">
        <f t="shared" si="38"/>
        <v>-1.48223025137601E-3</v>
      </c>
      <c r="E1207" s="3">
        <f t="shared" si="39"/>
        <v>2.6732878246218967E-3</v>
      </c>
    </row>
    <row r="1208" spans="1:5" x14ac:dyDescent="0.45">
      <c r="A1208" s="2">
        <v>42317</v>
      </c>
      <c r="B1208" s="3">
        <v>26121.4</v>
      </c>
      <c r="C1208" s="3">
        <v>129.9</v>
      </c>
      <c r="D1208" s="3">
        <f t="shared" si="38"/>
        <v>-5.4914902530612654E-3</v>
      </c>
      <c r="E1208" s="3">
        <f t="shared" si="39"/>
        <v>-9.1954670931001618E-3</v>
      </c>
    </row>
    <row r="1209" spans="1:5" x14ac:dyDescent="0.45">
      <c r="A1209" s="2">
        <v>42318</v>
      </c>
      <c r="B1209" s="3">
        <v>25743.26</v>
      </c>
      <c r="C1209" s="3">
        <v>128.4</v>
      </c>
      <c r="D1209" s="3">
        <f t="shared" si="38"/>
        <v>-1.4582056471697653E-2</v>
      </c>
      <c r="E1209" s="3">
        <f t="shared" si="39"/>
        <v>-1.1614532420693002E-2</v>
      </c>
    </row>
    <row r="1210" spans="1:5" x14ac:dyDescent="0.45">
      <c r="A1210" s="2">
        <v>42319</v>
      </c>
      <c r="B1210" s="3">
        <v>25866.95</v>
      </c>
      <c r="C1210" s="3">
        <v>129.15</v>
      </c>
      <c r="D1210" s="3">
        <f t="shared" si="38"/>
        <v>4.7932467942657167E-3</v>
      </c>
      <c r="E1210" s="3">
        <f t="shared" si="39"/>
        <v>5.8241282859887132E-3</v>
      </c>
    </row>
    <row r="1211" spans="1:5" x14ac:dyDescent="0.45">
      <c r="A1211" s="2">
        <v>42321</v>
      </c>
      <c r="B1211" s="3">
        <v>25610.53</v>
      </c>
      <c r="C1211" s="3">
        <v>130</v>
      </c>
      <c r="D1211" s="3">
        <f t="shared" si="38"/>
        <v>-9.962497031026505E-3</v>
      </c>
      <c r="E1211" s="3">
        <f t="shared" si="39"/>
        <v>6.5599309137329411E-3</v>
      </c>
    </row>
    <row r="1212" spans="1:5" x14ac:dyDescent="0.45">
      <c r="A1212" s="2">
        <v>42324</v>
      </c>
      <c r="B1212" s="3">
        <v>25760.1</v>
      </c>
      <c r="C1212" s="3">
        <v>128.85</v>
      </c>
      <c r="D1212" s="3">
        <f t="shared" si="38"/>
        <v>5.8231881779015164E-3</v>
      </c>
      <c r="E1212" s="3">
        <f t="shared" si="39"/>
        <v>-8.8855133572083422E-3</v>
      </c>
    </row>
    <row r="1213" spans="1:5" x14ac:dyDescent="0.45">
      <c r="A1213" s="2">
        <v>42325</v>
      </c>
      <c r="B1213" s="3">
        <v>25864.47</v>
      </c>
      <c r="C1213" s="3">
        <v>130.80000000000001</v>
      </c>
      <c r="D1213" s="3">
        <f t="shared" si="38"/>
        <v>4.0434290183204019E-3</v>
      </c>
      <c r="E1213" s="3">
        <f t="shared" si="39"/>
        <v>1.5020501924724306E-2</v>
      </c>
    </row>
    <row r="1214" spans="1:5" x14ac:dyDescent="0.45">
      <c r="A1214" s="2">
        <v>42326</v>
      </c>
      <c r="B1214" s="3">
        <v>25482.52</v>
      </c>
      <c r="C1214" s="3">
        <v>130.75</v>
      </c>
      <c r="D1214" s="3">
        <f t="shared" si="38"/>
        <v>-1.4877485322043591E-2</v>
      </c>
      <c r="E1214" s="3">
        <f t="shared" si="39"/>
        <v>-3.8233607806614415E-4</v>
      </c>
    </row>
    <row r="1215" spans="1:5" x14ac:dyDescent="0.45">
      <c r="A1215" s="2">
        <v>42327</v>
      </c>
      <c r="B1215" s="3">
        <v>25841.919999999998</v>
      </c>
      <c r="C1215" s="3">
        <v>131.55000000000001</v>
      </c>
      <c r="D1215" s="3">
        <f t="shared" si="38"/>
        <v>1.4005252647139921E-2</v>
      </c>
      <c r="E1215" s="3">
        <f t="shared" si="39"/>
        <v>6.099904541269535E-3</v>
      </c>
    </row>
    <row r="1216" spans="1:5" x14ac:dyDescent="0.45">
      <c r="A1216" s="2">
        <v>42328</v>
      </c>
      <c r="B1216" s="3">
        <v>25868.49</v>
      </c>
      <c r="C1216" s="3">
        <v>130.6</v>
      </c>
      <c r="D1216" s="3">
        <f t="shared" si="38"/>
        <v>1.0276461678909964E-3</v>
      </c>
      <c r="E1216" s="3">
        <f t="shared" si="39"/>
        <v>-7.247790643971211E-3</v>
      </c>
    </row>
    <row r="1217" spans="1:5" x14ac:dyDescent="0.45">
      <c r="A1217" s="2">
        <v>42331</v>
      </c>
      <c r="B1217" s="3">
        <v>25819.34</v>
      </c>
      <c r="C1217" s="3">
        <v>131.4</v>
      </c>
      <c r="D1217" s="3">
        <f t="shared" si="38"/>
        <v>-1.9018022158803474E-3</v>
      </c>
      <c r="E1217" s="3">
        <f t="shared" si="39"/>
        <v>6.1068892081794805E-3</v>
      </c>
    </row>
    <row r="1218" spans="1:5" x14ac:dyDescent="0.45">
      <c r="A1218" s="2">
        <v>42332</v>
      </c>
      <c r="B1218" s="3">
        <v>25775.74</v>
      </c>
      <c r="C1218" s="3">
        <v>131.4</v>
      </c>
      <c r="D1218" s="3">
        <f t="shared" si="38"/>
        <v>-1.6900840304227744E-3</v>
      </c>
      <c r="E1218" s="3">
        <f t="shared" si="39"/>
        <v>0</v>
      </c>
    </row>
    <row r="1219" spans="1:5" x14ac:dyDescent="0.45">
      <c r="A1219" s="2">
        <v>42334</v>
      </c>
      <c r="B1219" s="3">
        <v>25958.63</v>
      </c>
      <c r="C1219" s="3">
        <v>133.65</v>
      </c>
      <c r="D1219" s="3">
        <f t="shared" si="38"/>
        <v>7.0703774644300509E-3</v>
      </c>
      <c r="E1219" s="3">
        <f t="shared" si="39"/>
        <v>1.697833653441783E-2</v>
      </c>
    </row>
    <row r="1220" spans="1:5" x14ac:dyDescent="0.45">
      <c r="A1220" s="2">
        <v>42335</v>
      </c>
      <c r="B1220" s="3">
        <v>26128.2</v>
      </c>
      <c r="C1220" s="3">
        <v>133.35</v>
      </c>
      <c r="D1220" s="3">
        <f t="shared" si="38"/>
        <v>6.5110738765749507E-3</v>
      </c>
      <c r="E1220" s="3">
        <f t="shared" si="39"/>
        <v>-2.2471919569048327E-3</v>
      </c>
    </row>
    <row r="1221" spans="1:5" x14ac:dyDescent="0.45">
      <c r="A1221" s="2">
        <v>42338</v>
      </c>
      <c r="B1221" s="3">
        <v>26145.67</v>
      </c>
      <c r="C1221" s="3">
        <v>135.94999999999999</v>
      </c>
      <c r="D1221" s="3">
        <f t="shared" si="38"/>
        <v>6.6840280432305956E-4</v>
      </c>
      <c r="E1221" s="3">
        <f t="shared" si="39"/>
        <v>1.9309920450456451E-2</v>
      </c>
    </row>
    <row r="1222" spans="1:5" x14ac:dyDescent="0.45">
      <c r="A1222" s="2">
        <v>42339</v>
      </c>
      <c r="B1222" s="3">
        <v>26169.41</v>
      </c>
      <c r="C1222" s="3">
        <v>135.80000000000001</v>
      </c>
      <c r="D1222" s="3">
        <f t="shared" ref="D1222:D1285" si="40">LN(B1222/B1221)</f>
        <v>9.0757776264703289E-4</v>
      </c>
      <c r="E1222" s="3">
        <f t="shared" ref="E1222:E1285" si="41">LN(C1222/C1221)</f>
        <v>-1.1039559538838094E-3</v>
      </c>
    </row>
    <row r="1223" spans="1:5" x14ac:dyDescent="0.45">
      <c r="A1223" s="2">
        <v>42340</v>
      </c>
      <c r="B1223" s="3">
        <v>26117.85</v>
      </c>
      <c r="C1223" s="3">
        <v>134.9</v>
      </c>
      <c r="D1223" s="3">
        <f t="shared" si="40"/>
        <v>-1.9721827730849579E-3</v>
      </c>
      <c r="E1223" s="3">
        <f t="shared" si="41"/>
        <v>-6.6494519108856436E-3</v>
      </c>
    </row>
    <row r="1224" spans="1:5" x14ac:dyDescent="0.45">
      <c r="A1224" s="2">
        <v>42341</v>
      </c>
      <c r="B1224" s="3">
        <v>25886.62</v>
      </c>
      <c r="C1224" s="3">
        <v>133.80000000000001</v>
      </c>
      <c r="D1224" s="3">
        <f t="shared" si="40"/>
        <v>-8.8927557121518969E-3</v>
      </c>
      <c r="E1224" s="3">
        <f t="shared" si="41"/>
        <v>-8.1876155195820411E-3</v>
      </c>
    </row>
    <row r="1225" spans="1:5" x14ac:dyDescent="0.45">
      <c r="A1225" s="2">
        <v>42342</v>
      </c>
      <c r="B1225" s="3">
        <v>25638.11</v>
      </c>
      <c r="C1225" s="3">
        <v>130.94999999999999</v>
      </c>
      <c r="D1225" s="3">
        <f t="shared" si="40"/>
        <v>-9.6463165169200678E-3</v>
      </c>
      <c r="E1225" s="3">
        <f t="shared" si="41"/>
        <v>-2.1530576740407294E-2</v>
      </c>
    </row>
    <row r="1226" spans="1:5" x14ac:dyDescent="0.45">
      <c r="A1226" s="2">
        <v>42345</v>
      </c>
      <c r="B1226" s="3">
        <v>25530.11</v>
      </c>
      <c r="C1226" s="3">
        <v>131</v>
      </c>
      <c r="D1226" s="3">
        <f t="shared" si="40"/>
        <v>-4.2213764864256487E-3</v>
      </c>
      <c r="E1226" s="3">
        <f t="shared" si="41"/>
        <v>3.817522474307139E-4</v>
      </c>
    </row>
    <row r="1227" spans="1:5" x14ac:dyDescent="0.45">
      <c r="A1227" s="2">
        <v>42346</v>
      </c>
      <c r="B1227" s="3">
        <v>25310.33</v>
      </c>
      <c r="C1227" s="3">
        <v>129.80000000000001</v>
      </c>
      <c r="D1227" s="3">
        <f t="shared" si="40"/>
        <v>-8.6459271037854762E-3</v>
      </c>
      <c r="E1227" s="3">
        <f t="shared" si="41"/>
        <v>-9.2025189311617829E-3</v>
      </c>
    </row>
    <row r="1228" spans="1:5" x14ac:dyDescent="0.45">
      <c r="A1228" s="2">
        <v>42347</v>
      </c>
      <c r="B1228" s="3">
        <v>25036.05</v>
      </c>
      <c r="C1228" s="3">
        <v>130</v>
      </c>
      <c r="D1228" s="3">
        <f t="shared" si="40"/>
        <v>-1.0895826612205355E-2</v>
      </c>
      <c r="E1228" s="3">
        <f t="shared" si="41"/>
        <v>1.5396461855926144E-3</v>
      </c>
    </row>
    <row r="1229" spans="1:5" x14ac:dyDescent="0.45">
      <c r="A1229" s="2">
        <v>42348</v>
      </c>
      <c r="B1229" s="3">
        <v>25252.32</v>
      </c>
      <c r="C1229" s="3">
        <v>130.65</v>
      </c>
      <c r="D1229" s="3">
        <f t="shared" si="40"/>
        <v>8.6012465040678394E-3</v>
      </c>
      <c r="E1229" s="3">
        <f t="shared" si="41"/>
        <v>4.9875415110391882E-3</v>
      </c>
    </row>
    <row r="1230" spans="1:5" x14ac:dyDescent="0.45">
      <c r="A1230" s="2">
        <v>42349</v>
      </c>
      <c r="B1230" s="3">
        <v>25044.43</v>
      </c>
      <c r="C1230" s="3">
        <v>128.05000000000001</v>
      </c>
      <c r="D1230" s="3">
        <f t="shared" si="40"/>
        <v>-8.2665851718196851E-3</v>
      </c>
      <c r="E1230" s="3">
        <f t="shared" si="41"/>
        <v>-2.010117932108715E-2</v>
      </c>
    </row>
    <row r="1231" spans="1:5" x14ac:dyDescent="0.45">
      <c r="A1231" s="2">
        <v>42352</v>
      </c>
      <c r="B1231" s="3">
        <v>25150.35</v>
      </c>
      <c r="C1231" s="3">
        <v>128</v>
      </c>
      <c r="D1231" s="3">
        <f t="shared" si="40"/>
        <v>4.2203654330585172E-3</v>
      </c>
      <c r="E1231" s="3">
        <f t="shared" si="41"/>
        <v>-3.9054872591722136E-4</v>
      </c>
    </row>
    <row r="1232" spans="1:5" x14ac:dyDescent="0.45">
      <c r="A1232" s="2">
        <v>42353</v>
      </c>
      <c r="B1232" s="3">
        <v>25320.44</v>
      </c>
      <c r="C1232" s="3">
        <v>129.55000000000001</v>
      </c>
      <c r="D1232" s="3">
        <f t="shared" si="40"/>
        <v>6.7401617422192727E-3</v>
      </c>
      <c r="E1232" s="3">
        <f t="shared" si="41"/>
        <v>1.20366430885019E-2</v>
      </c>
    </row>
    <row r="1233" spans="1:5" x14ac:dyDescent="0.45">
      <c r="A1233" s="2">
        <v>42354</v>
      </c>
      <c r="B1233" s="3">
        <v>25494.37</v>
      </c>
      <c r="C1233" s="3">
        <v>132.75</v>
      </c>
      <c r="D1233" s="3">
        <f t="shared" si="40"/>
        <v>6.8456687820824431E-3</v>
      </c>
      <c r="E1233" s="3">
        <f t="shared" si="41"/>
        <v>2.44007531139291E-2</v>
      </c>
    </row>
    <row r="1234" spans="1:5" x14ac:dyDescent="0.45">
      <c r="A1234" s="2">
        <v>42355</v>
      </c>
      <c r="B1234" s="3">
        <v>25803.78</v>
      </c>
      <c r="C1234" s="3">
        <v>134.15</v>
      </c>
      <c r="D1234" s="3">
        <f t="shared" si="40"/>
        <v>1.2063349349487955E-2</v>
      </c>
      <c r="E1234" s="3">
        <f t="shared" si="41"/>
        <v>1.0490916749584864E-2</v>
      </c>
    </row>
    <row r="1235" spans="1:5" x14ac:dyDescent="0.45">
      <c r="A1235" s="2">
        <v>42356</v>
      </c>
      <c r="B1235" s="3">
        <v>25519.22</v>
      </c>
      <c r="C1235" s="3">
        <v>135.35</v>
      </c>
      <c r="D1235" s="3">
        <f t="shared" si="40"/>
        <v>-1.1089099077528686E-2</v>
      </c>
      <c r="E1235" s="3">
        <f t="shared" si="41"/>
        <v>8.9054391886769172E-3</v>
      </c>
    </row>
    <row r="1236" spans="1:5" x14ac:dyDescent="0.45">
      <c r="A1236" s="2">
        <v>42359</v>
      </c>
      <c r="B1236" s="3">
        <v>25735.9</v>
      </c>
      <c r="C1236" s="3">
        <v>139.44999999999999</v>
      </c>
      <c r="D1236" s="3">
        <f t="shared" si="40"/>
        <v>8.4550105752974874E-3</v>
      </c>
      <c r="E1236" s="3">
        <f t="shared" si="41"/>
        <v>2.9842098013187667E-2</v>
      </c>
    </row>
    <row r="1237" spans="1:5" x14ac:dyDescent="0.45">
      <c r="A1237" s="2">
        <v>42360</v>
      </c>
      <c r="B1237" s="3">
        <v>25590.65</v>
      </c>
      <c r="C1237" s="3">
        <v>138.30000000000001</v>
      </c>
      <c r="D1237" s="3">
        <f t="shared" si="40"/>
        <v>-5.6598539252694993E-3</v>
      </c>
      <c r="E1237" s="3">
        <f t="shared" si="41"/>
        <v>-8.2808754027853121E-3</v>
      </c>
    </row>
    <row r="1238" spans="1:5" x14ac:dyDescent="0.45">
      <c r="A1238" s="2">
        <v>42361</v>
      </c>
      <c r="B1238" s="3">
        <v>25850.3</v>
      </c>
      <c r="C1238" s="3">
        <v>140</v>
      </c>
      <c r="D1238" s="3">
        <f t="shared" si="40"/>
        <v>1.0095155906758777E-2</v>
      </c>
      <c r="E1238" s="3">
        <f t="shared" si="41"/>
        <v>1.2217183938591631E-2</v>
      </c>
    </row>
    <row r="1239" spans="1:5" x14ac:dyDescent="0.45">
      <c r="A1239" s="2">
        <v>42362</v>
      </c>
      <c r="B1239" s="3">
        <v>25838.71</v>
      </c>
      <c r="C1239" s="3">
        <v>140.30000000000001</v>
      </c>
      <c r="D1239" s="3">
        <f t="shared" si="40"/>
        <v>-4.4845123534917992E-4</v>
      </c>
      <c r="E1239" s="3">
        <f t="shared" si="41"/>
        <v>2.1405644991110378E-3</v>
      </c>
    </row>
    <row r="1240" spans="1:5" x14ac:dyDescent="0.45">
      <c r="A1240" s="2">
        <v>42366</v>
      </c>
      <c r="B1240" s="3">
        <v>26034.13</v>
      </c>
      <c r="C1240" s="3">
        <v>141.6</v>
      </c>
      <c r="D1240" s="3">
        <f t="shared" si="40"/>
        <v>7.534614434271527E-3</v>
      </c>
      <c r="E1240" s="3">
        <f t="shared" si="41"/>
        <v>9.2231941512040446E-3</v>
      </c>
    </row>
    <row r="1241" spans="1:5" x14ac:dyDescent="0.45">
      <c r="A1241" s="2">
        <v>42367</v>
      </c>
      <c r="B1241" s="3">
        <v>26079.48</v>
      </c>
      <c r="C1241" s="3">
        <v>140.80000000000001</v>
      </c>
      <c r="D1241" s="3">
        <f t="shared" si="40"/>
        <v>1.7404287074889477E-3</v>
      </c>
      <c r="E1241" s="3">
        <f t="shared" si="41"/>
        <v>-5.6657375356771959E-3</v>
      </c>
    </row>
    <row r="1242" spans="1:5" x14ac:dyDescent="0.45">
      <c r="A1242" s="2">
        <v>42368</v>
      </c>
      <c r="B1242" s="3">
        <v>25960.03</v>
      </c>
      <c r="C1242" s="3">
        <v>140.9</v>
      </c>
      <c r="D1242" s="3">
        <f t="shared" si="40"/>
        <v>-4.5907507501094418E-3</v>
      </c>
      <c r="E1242" s="3">
        <f t="shared" si="41"/>
        <v>7.0997518069252719E-4</v>
      </c>
    </row>
    <row r="1243" spans="1:5" x14ac:dyDescent="0.45">
      <c r="A1243" s="2">
        <v>42369</v>
      </c>
      <c r="B1243" s="3">
        <v>26117.54</v>
      </c>
      <c r="C1243" s="3">
        <v>141.19999999999999</v>
      </c>
      <c r="D1243" s="3">
        <f t="shared" si="40"/>
        <v>6.0490718092498369E-3</v>
      </c>
      <c r="E1243" s="3">
        <f t="shared" si="41"/>
        <v>2.1269061545070417E-3</v>
      </c>
    </row>
    <row r="1244" spans="1:5" x14ac:dyDescent="0.45">
      <c r="A1244" s="2">
        <v>42370</v>
      </c>
      <c r="B1244" s="3">
        <v>26160.9</v>
      </c>
      <c r="C1244" s="3">
        <v>140.85</v>
      </c>
      <c r="D1244" s="3">
        <f t="shared" si="40"/>
        <v>1.658810398421766E-3</v>
      </c>
      <c r="E1244" s="3">
        <f t="shared" si="41"/>
        <v>-2.4818307367600149E-3</v>
      </c>
    </row>
    <row r="1245" spans="1:5" x14ac:dyDescent="0.45">
      <c r="A1245" s="2">
        <v>42373</v>
      </c>
      <c r="B1245" s="3">
        <v>25623.35</v>
      </c>
      <c r="C1245" s="3">
        <v>140.9</v>
      </c>
      <c r="D1245" s="3">
        <f t="shared" si="40"/>
        <v>-2.0761884525401099E-2</v>
      </c>
      <c r="E1245" s="3">
        <f t="shared" si="41"/>
        <v>3.5492458225301783E-4</v>
      </c>
    </row>
    <row r="1246" spans="1:5" x14ac:dyDescent="0.45">
      <c r="A1246" s="2">
        <v>42374</v>
      </c>
      <c r="B1246" s="3">
        <v>25580.34</v>
      </c>
      <c r="C1246" s="3">
        <v>139.1</v>
      </c>
      <c r="D1246" s="3">
        <f t="shared" si="40"/>
        <v>-1.6799574450762243E-3</v>
      </c>
      <c r="E1246" s="3">
        <f t="shared" si="41"/>
        <v>-1.285731997523743E-2</v>
      </c>
    </row>
    <row r="1247" spans="1:5" x14ac:dyDescent="0.45">
      <c r="A1247" s="2">
        <v>42375</v>
      </c>
      <c r="B1247" s="3">
        <v>25406.33</v>
      </c>
      <c r="C1247" s="3">
        <v>139.65</v>
      </c>
      <c r="D1247" s="3">
        <f t="shared" si="40"/>
        <v>-6.8257321218379114E-3</v>
      </c>
      <c r="E1247" s="3">
        <f t="shared" si="41"/>
        <v>3.9461934617886921E-3</v>
      </c>
    </row>
    <row r="1248" spans="1:5" x14ac:dyDescent="0.45">
      <c r="A1248" s="2">
        <v>42376</v>
      </c>
      <c r="B1248" s="3">
        <v>24851.83</v>
      </c>
      <c r="C1248" s="3">
        <v>138.05000000000001</v>
      </c>
      <c r="D1248" s="3">
        <f t="shared" si="40"/>
        <v>-2.206696389229848E-2</v>
      </c>
      <c r="E1248" s="3">
        <f t="shared" si="41"/>
        <v>-1.1523354015022315E-2</v>
      </c>
    </row>
    <row r="1249" spans="1:5" x14ac:dyDescent="0.45">
      <c r="A1249" s="2">
        <v>42377</v>
      </c>
      <c r="B1249" s="3">
        <v>24934.33</v>
      </c>
      <c r="C1249" s="3">
        <v>141.6</v>
      </c>
      <c r="D1249" s="3">
        <f t="shared" si="40"/>
        <v>3.3141770931279686E-3</v>
      </c>
      <c r="E1249" s="3">
        <f t="shared" si="41"/>
        <v>2.5390242883455927E-2</v>
      </c>
    </row>
    <row r="1250" spans="1:5" x14ac:dyDescent="0.45">
      <c r="A1250" s="2">
        <v>42380</v>
      </c>
      <c r="B1250" s="3">
        <v>24825.040000000001</v>
      </c>
      <c r="C1250" s="3">
        <v>143.19999999999999</v>
      </c>
      <c r="D1250" s="3">
        <f t="shared" si="40"/>
        <v>-4.3927475665536354E-3</v>
      </c>
      <c r="E1250" s="3">
        <f t="shared" si="41"/>
        <v>1.1236073266925752E-2</v>
      </c>
    </row>
    <row r="1251" spans="1:5" x14ac:dyDescent="0.45">
      <c r="A1251" s="2">
        <v>42381</v>
      </c>
      <c r="B1251" s="3">
        <v>24682.03</v>
      </c>
      <c r="C1251" s="3">
        <v>142.6</v>
      </c>
      <c r="D1251" s="3">
        <f t="shared" si="40"/>
        <v>-5.7773727179781954E-3</v>
      </c>
      <c r="E1251" s="3">
        <f t="shared" si="41"/>
        <v>-4.1987465463496042E-3</v>
      </c>
    </row>
    <row r="1252" spans="1:5" x14ac:dyDescent="0.45">
      <c r="A1252" s="2">
        <v>42382</v>
      </c>
      <c r="B1252" s="3">
        <v>24854.11</v>
      </c>
      <c r="C1252" s="3">
        <v>141.05000000000001</v>
      </c>
      <c r="D1252" s="3">
        <f t="shared" si="40"/>
        <v>6.9476827300423427E-3</v>
      </c>
      <c r="E1252" s="3">
        <f t="shared" si="41"/>
        <v>-1.0929070532190093E-2</v>
      </c>
    </row>
    <row r="1253" spans="1:5" x14ac:dyDescent="0.45">
      <c r="A1253" s="2">
        <v>42383</v>
      </c>
      <c r="B1253" s="3">
        <v>24772.97</v>
      </c>
      <c r="C1253" s="3">
        <v>142.69999999999999</v>
      </c>
      <c r="D1253" s="3">
        <f t="shared" si="40"/>
        <v>-3.2699917988908206E-3</v>
      </c>
      <c r="E1253" s="3">
        <f t="shared" si="41"/>
        <v>1.1630087034785313E-2</v>
      </c>
    </row>
    <row r="1254" spans="1:5" x14ac:dyDescent="0.45">
      <c r="A1254" s="2">
        <v>42384</v>
      </c>
      <c r="B1254" s="3">
        <v>24455.040000000001</v>
      </c>
      <c r="C1254" s="3">
        <v>139.35</v>
      </c>
      <c r="D1254" s="3">
        <f t="shared" si="40"/>
        <v>-1.29168097747515E-2</v>
      </c>
      <c r="E1254" s="3">
        <f t="shared" si="41"/>
        <v>-2.3755770554833473E-2</v>
      </c>
    </row>
    <row r="1255" spans="1:5" x14ac:dyDescent="0.45">
      <c r="A1255" s="2">
        <v>42387</v>
      </c>
      <c r="B1255" s="3">
        <v>24188.37</v>
      </c>
      <c r="C1255" s="3">
        <v>138.15</v>
      </c>
      <c r="D1255" s="3">
        <f t="shared" si="40"/>
        <v>-1.0964390511932737E-2</v>
      </c>
      <c r="E1255" s="3">
        <f t="shared" si="41"/>
        <v>-8.6487025585316093E-3</v>
      </c>
    </row>
    <row r="1256" spans="1:5" x14ac:dyDescent="0.45">
      <c r="A1256" s="2">
        <v>42388</v>
      </c>
      <c r="B1256" s="3">
        <v>24479.84</v>
      </c>
      <c r="C1256" s="3">
        <v>136.25</v>
      </c>
      <c r="D1256" s="3">
        <f t="shared" si="40"/>
        <v>1.1977982539673677E-2</v>
      </c>
      <c r="E1256" s="3">
        <f t="shared" si="41"/>
        <v>-1.3848617826072093E-2</v>
      </c>
    </row>
    <row r="1257" spans="1:5" x14ac:dyDescent="0.45">
      <c r="A1257" s="2">
        <v>42389</v>
      </c>
      <c r="B1257" s="3">
        <v>24062.04</v>
      </c>
      <c r="C1257" s="3">
        <v>134.69999999999999</v>
      </c>
      <c r="D1257" s="3">
        <f t="shared" si="40"/>
        <v>-1.7214426692897279E-2</v>
      </c>
      <c r="E1257" s="3">
        <f t="shared" si="41"/>
        <v>-1.1441350127035234E-2</v>
      </c>
    </row>
    <row r="1258" spans="1:5" x14ac:dyDescent="0.45">
      <c r="A1258" s="2">
        <v>42390</v>
      </c>
      <c r="B1258" s="3">
        <v>23962.21</v>
      </c>
      <c r="C1258" s="3">
        <v>132.19999999999999</v>
      </c>
      <c r="D1258" s="3">
        <f t="shared" si="40"/>
        <v>-4.1574889267142045E-3</v>
      </c>
      <c r="E1258" s="3">
        <f t="shared" si="41"/>
        <v>-1.8734155998732429E-2</v>
      </c>
    </row>
    <row r="1259" spans="1:5" x14ac:dyDescent="0.45">
      <c r="A1259" s="2">
        <v>42391</v>
      </c>
      <c r="B1259" s="3">
        <v>24435.66</v>
      </c>
      <c r="C1259" s="3">
        <v>133.19999999999999</v>
      </c>
      <c r="D1259" s="3">
        <f t="shared" si="40"/>
        <v>1.9565534737751071E-2</v>
      </c>
      <c r="E1259" s="3">
        <f t="shared" si="41"/>
        <v>7.535830688702924E-3</v>
      </c>
    </row>
    <row r="1260" spans="1:5" x14ac:dyDescent="0.45">
      <c r="A1260" s="2">
        <v>42394</v>
      </c>
      <c r="B1260" s="3">
        <v>24485.95</v>
      </c>
      <c r="C1260" s="3">
        <v>133.25</v>
      </c>
      <c r="D1260" s="3">
        <f t="shared" si="40"/>
        <v>2.0559428732717386E-3</v>
      </c>
      <c r="E1260" s="3">
        <f t="shared" si="41"/>
        <v>3.7530493966524776E-4</v>
      </c>
    </row>
    <row r="1261" spans="1:5" x14ac:dyDescent="0.45">
      <c r="A1261" s="2">
        <v>42396</v>
      </c>
      <c r="B1261" s="3">
        <v>24492.39</v>
      </c>
      <c r="C1261" s="3">
        <v>138.4</v>
      </c>
      <c r="D1261" s="3">
        <f t="shared" si="40"/>
        <v>2.6297338934350042E-4</v>
      </c>
      <c r="E1261" s="3">
        <f t="shared" si="41"/>
        <v>3.7920980137615336E-2</v>
      </c>
    </row>
    <row r="1262" spans="1:5" x14ac:dyDescent="0.45">
      <c r="A1262" s="2">
        <v>42397</v>
      </c>
      <c r="B1262" s="3">
        <v>24469.57</v>
      </c>
      <c r="C1262" s="3">
        <v>143.75</v>
      </c>
      <c r="D1262" s="3">
        <f t="shared" si="40"/>
        <v>-9.3215229342835865E-4</v>
      </c>
      <c r="E1262" s="3">
        <f t="shared" si="41"/>
        <v>3.7927636493890554E-2</v>
      </c>
    </row>
    <row r="1263" spans="1:5" x14ac:dyDescent="0.45">
      <c r="A1263" s="2">
        <v>42398</v>
      </c>
      <c r="B1263" s="3">
        <v>24870.69</v>
      </c>
      <c r="C1263" s="3">
        <v>147.6</v>
      </c>
      <c r="D1263" s="3">
        <f t="shared" si="40"/>
        <v>1.6259696938273095E-2</v>
      </c>
      <c r="E1263" s="3">
        <f t="shared" si="41"/>
        <v>2.6430232488912315E-2</v>
      </c>
    </row>
    <row r="1264" spans="1:5" x14ac:dyDescent="0.45">
      <c r="A1264" s="2">
        <v>42401</v>
      </c>
      <c r="B1264" s="3">
        <v>24824.83</v>
      </c>
      <c r="C1264" s="3">
        <v>146.9</v>
      </c>
      <c r="D1264" s="3">
        <f t="shared" si="40"/>
        <v>-1.8456397284128756E-3</v>
      </c>
      <c r="E1264" s="3">
        <f t="shared" si="41"/>
        <v>-4.753828986540443E-3</v>
      </c>
    </row>
    <row r="1265" spans="1:5" x14ac:dyDescent="0.45">
      <c r="A1265" s="2">
        <v>42402</v>
      </c>
      <c r="B1265" s="3">
        <v>24539</v>
      </c>
      <c r="C1265" s="3">
        <v>146.05000000000001</v>
      </c>
      <c r="D1265" s="3">
        <f t="shared" si="40"/>
        <v>-1.1580673316021422E-2</v>
      </c>
      <c r="E1265" s="3">
        <f t="shared" si="41"/>
        <v>-5.8030543460816332E-3</v>
      </c>
    </row>
    <row r="1266" spans="1:5" x14ac:dyDescent="0.45">
      <c r="A1266" s="2">
        <v>42403</v>
      </c>
      <c r="B1266" s="3">
        <v>24223.32</v>
      </c>
      <c r="C1266" s="3">
        <v>143.19999999999999</v>
      </c>
      <c r="D1266" s="3">
        <f t="shared" si="40"/>
        <v>-1.2947883129401901E-2</v>
      </c>
      <c r="E1266" s="3">
        <f t="shared" si="41"/>
        <v>-1.9706774307204872E-2</v>
      </c>
    </row>
    <row r="1267" spans="1:5" x14ac:dyDescent="0.45">
      <c r="A1267" s="2">
        <v>42404</v>
      </c>
      <c r="B1267" s="3">
        <v>24338.43</v>
      </c>
      <c r="C1267" s="3">
        <v>146.85</v>
      </c>
      <c r="D1267" s="3">
        <f t="shared" si="40"/>
        <v>4.7407770762397713E-3</v>
      </c>
      <c r="E1267" s="3">
        <f t="shared" si="41"/>
        <v>2.5169403118083952E-2</v>
      </c>
    </row>
    <row r="1268" spans="1:5" x14ac:dyDescent="0.45">
      <c r="A1268" s="2">
        <v>42405</v>
      </c>
      <c r="B1268" s="3">
        <v>24616.97</v>
      </c>
      <c r="C1268" s="3">
        <v>145.30000000000001</v>
      </c>
      <c r="D1268" s="3">
        <f t="shared" si="40"/>
        <v>1.1379459905185397E-2</v>
      </c>
      <c r="E1268" s="3">
        <f t="shared" si="41"/>
        <v>-1.0611087068391754E-2</v>
      </c>
    </row>
    <row r="1269" spans="1:5" x14ac:dyDescent="0.45">
      <c r="A1269" s="2">
        <v>42408</v>
      </c>
      <c r="B1269" s="3">
        <v>24287.42</v>
      </c>
      <c r="C1269" s="3">
        <v>142.5</v>
      </c>
      <c r="D1269" s="3">
        <f t="shared" si="40"/>
        <v>-1.3477521685558831E-2</v>
      </c>
      <c r="E1269" s="3">
        <f t="shared" si="41"/>
        <v>-1.9458570867532044E-2</v>
      </c>
    </row>
    <row r="1270" spans="1:5" x14ac:dyDescent="0.45">
      <c r="A1270" s="2">
        <v>42409</v>
      </c>
      <c r="B1270" s="3">
        <v>24020.98</v>
      </c>
      <c r="C1270" s="3">
        <v>141.9</v>
      </c>
      <c r="D1270" s="3">
        <f t="shared" si="40"/>
        <v>-1.1030905669227493E-2</v>
      </c>
      <c r="E1270" s="3">
        <f t="shared" si="41"/>
        <v>-4.2194155427082106E-3</v>
      </c>
    </row>
    <row r="1271" spans="1:5" x14ac:dyDescent="0.45">
      <c r="A1271" s="2">
        <v>42410</v>
      </c>
      <c r="B1271" s="3">
        <v>23758.9</v>
      </c>
      <c r="C1271" s="3">
        <v>143.65</v>
      </c>
      <c r="D1271" s="3">
        <f t="shared" si="40"/>
        <v>-1.0970418027014376E-2</v>
      </c>
      <c r="E1271" s="3">
        <f t="shared" si="41"/>
        <v>1.2257201259301685E-2</v>
      </c>
    </row>
    <row r="1272" spans="1:5" x14ac:dyDescent="0.45">
      <c r="A1272" s="2">
        <v>42411</v>
      </c>
      <c r="B1272" s="3">
        <v>22951.83</v>
      </c>
      <c r="C1272" s="3">
        <v>136.44999999999999</v>
      </c>
      <c r="D1272" s="3">
        <f t="shared" si="40"/>
        <v>-3.4559525236745728E-2</v>
      </c>
      <c r="E1272" s="3">
        <f t="shared" si="41"/>
        <v>-5.1421538270951202E-2</v>
      </c>
    </row>
    <row r="1273" spans="1:5" x14ac:dyDescent="0.45">
      <c r="A1273" s="2">
        <v>42412</v>
      </c>
      <c r="B1273" s="3">
        <v>22986.12</v>
      </c>
      <c r="C1273" s="3">
        <v>138.19999999999999</v>
      </c>
      <c r="D1273" s="3">
        <f t="shared" si="40"/>
        <v>1.4928836122861779E-3</v>
      </c>
      <c r="E1273" s="3">
        <f t="shared" si="41"/>
        <v>1.274366417922204E-2</v>
      </c>
    </row>
    <row r="1274" spans="1:5" x14ac:dyDescent="0.45">
      <c r="A1274" s="2">
        <v>42415</v>
      </c>
      <c r="B1274" s="3">
        <v>23554.12</v>
      </c>
      <c r="C1274" s="3">
        <v>138.69999999999999</v>
      </c>
      <c r="D1274" s="3">
        <f t="shared" si="40"/>
        <v>2.4410196580460647E-2</v>
      </c>
      <c r="E1274" s="3">
        <f t="shared" si="41"/>
        <v>3.6114159872164936E-3</v>
      </c>
    </row>
    <row r="1275" spans="1:5" x14ac:dyDescent="0.45">
      <c r="A1275" s="2">
        <v>42416</v>
      </c>
      <c r="B1275" s="3">
        <v>23191.97</v>
      </c>
      <c r="C1275" s="3">
        <v>139.4</v>
      </c>
      <c r="D1275" s="3">
        <f t="shared" si="40"/>
        <v>-1.549465401342438E-2</v>
      </c>
      <c r="E1275" s="3">
        <f t="shared" si="41"/>
        <v>5.0341710056376592E-3</v>
      </c>
    </row>
    <row r="1276" spans="1:5" x14ac:dyDescent="0.45">
      <c r="A1276" s="2">
        <v>42417</v>
      </c>
      <c r="B1276" s="3">
        <v>23381.87</v>
      </c>
      <c r="C1276" s="3">
        <v>139.25</v>
      </c>
      <c r="D1276" s="3">
        <f t="shared" si="40"/>
        <v>8.1548376678036664E-3</v>
      </c>
      <c r="E1276" s="3">
        <f t="shared" si="41"/>
        <v>-1.0766195190301271E-3</v>
      </c>
    </row>
    <row r="1277" spans="1:5" x14ac:dyDescent="0.45">
      <c r="A1277" s="2">
        <v>42418</v>
      </c>
      <c r="B1277" s="3">
        <v>23649.22</v>
      </c>
      <c r="C1277" s="3">
        <v>139.85</v>
      </c>
      <c r="D1277" s="3">
        <f t="shared" si="40"/>
        <v>1.1369197684720462E-2</v>
      </c>
      <c r="E1277" s="3">
        <f t="shared" si="41"/>
        <v>4.2995408405752033E-3</v>
      </c>
    </row>
    <row r="1278" spans="1:5" x14ac:dyDescent="0.45">
      <c r="A1278" s="2">
        <v>42419</v>
      </c>
      <c r="B1278" s="3">
        <v>23709.15</v>
      </c>
      <c r="C1278" s="3">
        <v>141</v>
      </c>
      <c r="D1278" s="3">
        <f t="shared" si="40"/>
        <v>2.5309161607678593E-3</v>
      </c>
      <c r="E1278" s="3">
        <f t="shared" si="41"/>
        <v>8.189470730199596E-3</v>
      </c>
    </row>
    <row r="1279" spans="1:5" x14ac:dyDescent="0.45">
      <c r="A1279" s="2">
        <v>42422</v>
      </c>
      <c r="B1279" s="3">
        <v>23788.79</v>
      </c>
      <c r="C1279" s="3">
        <v>139.6</v>
      </c>
      <c r="D1279" s="3">
        <f t="shared" si="40"/>
        <v>3.3534117324565214E-3</v>
      </c>
      <c r="E1279" s="3">
        <f t="shared" si="41"/>
        <v>-9.9787000498961949E-3</v>
      </c>
    </row>
    <row r="1280" spans="1:5" x14ac:dyDescent="0.45">
      <c r="A1280" s="2">
        <v>42423</v>
      </c>
      <c r="B1280" s="3">
        <v>23410.18</v>
      </c>
      <c r="C1280" s="3">
        <v>137.15</v>
      </c>
      <c r="D1280" s="3">
        <f t="shared" si="40"/>
        <v>-1.6043490819721853E-2</v>
      </c>
      <c r="E1280" s="3">
        <f t="shared" si="41"/>
        <v>-1.770597294465974E-2</v>
      </c>
    </row>
    <row r="1281" spans="1:5" x14ac:dyDescent="0.45">
      <c r="A1281" s="2">
        <v>42424</v>
      </c>
      <c r="B1281" s="3">
        <v>23088.93</v>
      </c>
      <c r="C1281" s="3">
        <v>139.69999999999999</v>
      </c>
      <c r="D1281" s="3">
        <f t="shared" si="40"/>
        <v>-1.381768860949302E-2</v>
      </c>
      <c r="E1281" s="3">
        <f t="shared" si="41"/>
        <v>1.8422048879303706E-2</v>
      </c>
    </row>
    <row r="1282" spans="1:5" x14ac:dyDescent="0.45">
      <c r="A1282" s="2">
        <v>42425</v>
      </c>
      <c r="B1282" s="3">
        <v>22976</v>
      </c>
      <c r="C1282" s="3">
        <v>131.75</v>
      </c>
      <c r="D1282" s="3">
        <f t="shared" si="40"/>
        <v>-4.9030890197378045E-3</v>
      </c>
      <c r="E1282" s="3">
        <f t="shared" si="41"/>
        <v>-5.8591078841444391E-2</v>
      </c>
    </row>
    <row r="1283" spans="1:5" x14ac:dyDescent="0.45">
      <c r="A1283" s="2">
        <v>42426</v>
      </c>
      <c r="B1283" s="3">
        <v>23154.3</v>
      </c>
      <c r="C1283" s="3">
        <v>133.44999999999999</v>
      </c>
      <c r="D1283" s="3">
        <f t="shared" si="40"/>
        <v>7.7303155583253172E-3</v>
      </c>
      <c r="E1283" s="3">
        <f t="shared" si="41"/>
        <v>1.282068842906125E-2</v>
      </c>
    </row>
    <row r="1284" spans="1:5" x14ac:dyDescent="0.45">
      <c r="A1284" s="2">
        <v>42429</v>
      </c>
      <c r="B1284" s="3">
        <v>23002</v>
      </c>
      <c r="C1284" s="3">
        <v>130.1</v>
      </c>
      <c r="D1284" s="3">
        <f t="shared" si="40"/>
        <v>-6.599339753749431E-3</v>
      </c>
      <c r="E1284" s="3">
        <f t="shared" si="41"/>
        <v>-2.5423490332073542E-2</v>
      </c>
    </row>
    <row r="1285" spans="1:5" x14ac:dyDescent="0.45">
      <c r="A1285" s="2">
        <v>42430</v>
      </c>
      <c r="B1285" s="3">
        <v>23779.35</v>
      </c>
      <c r="C1285" s="3">
        <v>133.4</v>
      </c>
      <c r="D1285" s="3">
        <f t="shared" si="40"/>
        <v>3.3236388324639883E-2</v>
      </c>
      <c r="E1285" s="3">
        <f t="shared" si="41"/>
        <v>2.5048747963063771E-2</v>
      </c>
    </row>
    <row r="1286" spans="1:5" x14ac:dyDescent="0.45">
      <c r="A1286" s="2">
        <v>42431</v>
      </c>
      <c r="B1286" s="3">
        <v>24242.98</v>
      </c>
      <c r="C1286" s="3">
        <v>135.35</v>
      </c>
      <c r="D1286" s="3">
        <f t="shared" ref="D1286:D1349" si="42">LN(B1286/B1285)</f>
        <v>1.9309533943643778E-2</v>
      </c>
      <c r="E1286" s="3">
        <f t="shared" ref="E1286:E1349" si="43">LN(C1286/C1285)</f>
        <v>1.4511882578786744E-2</v>
      </c>
    </row>
    <row r="1287" spans="1:5" x14ac:dyDescent="0.45">
      <c r="A1287" s="2">
        <v>42432</v>
      </c>
      <c r="B1287" s="3">
        <v>24606.99</v>
      </c>
      <c r="C1287" s="3">
        <v>135.5</v>
      </c>
      <c r="D1287" s="3">
        <f t="shared" si="42"/>
        <v>1.4903457979181294E-2</v>
      </c>
      <c r="E1287" s="3">
        <f t="shared" si="43"/>
        <v>1.1076242594453593E-3</v>
      </c>
    </row>
    <row r="1288" spans="1:5" x14ac:dyDescent="0.45">
      <c r="A1288" s="2">
        <v>42433</v>
      </c>
      <c r="B1288" s="3">
        <v>24646.48</v>
      </c>
      <c r="C1288" s="3">
        <v>138.6</v>
      </c>
      <c r="D1288" s="3">
        <f t="shared" si="42"/>
        <v>1.6035421854286847E-3</v>
      </c>
      <c r="E1288" s="3">
        <f t="shared" si="43"/>
        <v>2.262044643604718E-2</v>
      </c>
    </row>
    <row r="1289" spans="1:5" x14ac:dyDescent="0.45">
      <c r="A1289" s="2">
        <v>42437</v>
      </c>
      <c r="B1289" s="3">
        <v>24659.23</v>
      </c>
      <c r="C1289" s="3">
        <v>137.4</v>
      </c>
      <c r="D1289" s="3">
        <f t="shared" si="42"/>
        <v>5.1718149010305462E-4</v>
      </c>
      <c r="E1289" s="3">
        <f t="shared" si="43"/>
        <v>-8.695706967553821E-3</v>
      </c>
    </row>
    <row r="1290" spans="1:5" x14ac:dyDescent="0.45">
      <c r="A1290" s="2">
        <v>42438</v>
      </c>
      <c r="B1290" s="3">
        <v>24793.96</v>
      </c>
      <c r="C1290" s="3">
        <v>139.55000000000001</v>
      </c>
      <c r="D1290" s="3">
        <f t="shared" si="42"/>
        <v>5.4488025277285822E-3</v>
      </c>
      <c r="E1290" s="3">
        <f t="shared" si="43"/>
        <v>1.5526580194082148E-2</v>
      </c>
    </row>
    <row r="1291" spans="1:5" x14ac:dyDescent="0.45">
      <c r="A1291" s="2">
        <v>42439</v>
      </c>
      <c r="B1291" s="3">
        <v>24623.34</v>
      </c>
      <c r="C1291" s="3">
        <v>139.5</v>
      </c>
      <c r="D1291" s="3">
        <f t="shared" si="42"/>
        <v>-6.9053015027098902E-3</v>
      </c>
      <c r="E1291" s="3">
        <f t="shared" si="43"/>
        <v>-3.583587209109777E-4</v>
      </c>
    </row>
    <row r="1292" spans="1:5" x14ac:dyDescent="0.45">
      <c r="A1292" s="2">
        <v>42440</v>
      </c>
      <c r="B1292" s="3">
        <v>24717.99</v>
      </c>
      <c r="C1292" s="3">
        <v>138.1</v>
      </c>
      <c r="D1292" s="3">
        <f t="shared" si="42"/>
        <v>3.8365449855808534E-3</v>
      </c>
      <c r="E1292" s="3">
        <f t="shared" si="43"/>
        <v>-1.0086540846173936E-2</v>
      </c>
    </row>
    <row r="1293" spans="1:5" x14ac:dyDescent="0.45">
      <c r="A1293" s="2">
        <v>42443</v>
      </c>
      <c r="B1293" s="3">
        <v>24804.28</v>
      </c>
      <c r="C1293" s="3">
        <v>138.44999999999999</v>
      </c>
      <c r="D1293" s="3">
        <f t="shared" si="42"/>
        <v>3.4849003217853609E-3</v>
      </c>
      <c r="E1293" s="3">
        <f t="shared" si="43"/>
        <v>2.5311892017242758E-3</v>
      </c>
    </row>
    <row r="1294" spans="1:5" x14ac:dyDescent="0.45">
      <c r="A1294" s="2">
        <v>42444</v>
      </c>
      <c r="B1294" s="3">
        <v>24551.17</v>
      </c>
      <c r="C1294" s="3">
        <v>138.69999999999999</v>
      </c>
      <c r="D1294" s="3">
        <f t="shared" si="42"/>
        <v>-1.0256707979700111E-2</v>
      </c>
      <c r="E1294" s="3">
        <f t="shared" si="43"/>
        <v>1.8040777038150246E-3</v>
      </c>
    </row>
    <row r="1295" spans="1:5" x14ac:dyDescent="0.45">
      <c r="A1295" s="2">
        <v>42445</v>
      </c>
      <c r="B1295" s="3">
        <v>24682.48</v>
      </c>
      <c r="C1295" s="3">
        <v>138.65</v>
      </c>
      <c r="D1295" s="3">
        <f t="shared" si="42"/>
        <v>5.3341692663763868E-3</v>
      </c>
      <c r="E1295" s="3">
        <f t="shared" si="43"/>
        <v>-3.6055525899872224E-4</v>
      </c>
    </row>
    <row r="1296" spans="1:5" x14ac:dyDescent="0.45">
      <c r="A1296" s="2">
        <v>42446</v>
      </c>
      <c r="B1296" s="3">
        <v>24677.37</v>
      </c>
      <c r="C1296" s="3">
        <v>138.1</v>
      </c>
      <c r="D1296" s="3">
        <f t="shared" si="42"/>
        <v>-2.0705087305805916E-4</v>
      </c>
      <c r="E1296" s="3">
        <f t="shared" si="43"/>
        <v>-3.9747116465406705E-3</v>
      </c>
    </row>
    <row r="1297" spans="1:5" x14ac:dyDescent="0.45">
      <c r="A1297" s="2">
        <v>42447</v>
      </c>
      <c r="B1297" s="3">
        <v>24952.74</v>
      </c>
      <c r="C1297" s="3">
        <v>136.80000000000001</v>
      </c>
      <c r="D1297" s="3">
        <f t="shared" si="42"/>
        <v>1.1097006467681587E-2</v>
      </c>
      <c r="E1297" s="3">
        <f t="shared" si="43"/>
        <v>-9.4580552267962189E-3</v>
      </c>
    </row>
    <row r="1298" spans="1:5" x14ac:dyDescent="0.45">
      <c r="A1298" s="2">
        <v>42450</v>
      </c>
      <c r="B1298" s="3">
        <v>25285.37</v>
      </c>
      <c r="C1298" s="3">
        <v>138.05000000000001</v>
      </c>
      <c r="D1298" s="3">
        <f t="shared" si="42"/>
        <v>1.3242331799539556E-2</v>
      </c>
      <c r="E1298" s="3">
        <f t="shared" si="43"/>
        <v>9.095933187713387E-3</v>
      </c>
    </row>
    <row r="1299" spans="1:5" x14ac:dyDescent="0.45">
      <c r="A1299" s="2">
        <v>42451</v>
      </c>
      <c r="B1299" s="3">
        <v>25330.49</v>
      </c>
      <c r="C1299" s="3">
        <v>138.55000000000001</v>
      </c>
      <c r="D1299" s="3">
        <f t="shared" si="42"/>
        <v>1.7828408704799199E-3</v>
      </c>
      <c r="E1299" s="3">
        <f t="shared" si="43"/>
        <v>3.615332932823981E-3</v>
      </c>
    </row>
    <row r="1300" spans="1:5" x14ac:dyDescent="0.45">
      <c r="A1300" s="2">
        <v>42452</v>
      </c>
      <c r="B1300" s="3">
        <v>25337.56</v>
      </c>
      <c r="C1300" s="3">
        <v>137.15</v>
      </c>
      <c r="D1300" s="3">
        <f t="shared" si="42"/>
        <v>2.7907132979801863E-4</v>
      </c>
      <c r="E1300" s="3">
        <f t="shared" si="43"/>
        <v>-1.0156053925375269E-2</v>
      </c>
    </row>
    <row r="1301" spans="1:5" x14ac:dyDescent="0.45">
      <c r="A1301" s="2">
        <v>42457</v>
      </c>
      <c r="B1301" s="3">
        <v>24966.400000000001</v>
      </c>
      <c r="C1301" s="3">
        <v>139</v>
      </c>
      <c r="D1301" s="3">
        <f t="shared" si="42"/>
        <v>-1.4756958916742748E-2</v>
      </c>
      <c r="E1301" s="3">
        <f t="shared" si="43"/>
        <v>1.3398715747079445E-2</v>
      </c>
    </row>
    <row r="1302" spans="1:5" x14ac:dyDescent="0.45">
      <c r="A1302" s="2">
        <v>42458</v>
      </c>
      <c r="B1302" s="3">
        <v>24900.46</v>
      </c>
      <c r="C1302" s="3">
        <v>138.30000000000001</v>
      </c>
      <c r="D1302" s="3">
        <f t="shared" si="42"/>
        <v>-2.644643694541789E-3</v>
      </c>
      <c r="E1302" s="3">
        <f t="shared" si="43"/>
        <v>-5.0486944599791106E-3</v>
      </c>
    </row>
    <row r="1303" spans="1:5" x14ac:dyDescent="0.45">
      <c r="A1303" s="2">
        <v>42459</v>
      </c>
      <c r="B1303" s="3">
        <v>25338.58</v>
      </c>
      <c r="C1303" s="3">
        <v>139.75</v>
      </c>
      <c r="D1303" s="3">
        <f t="shared" si="42"/>
        <v>1.7441858242441023E-2</v>
      </c>
      <c r="E1303" s="3">
        <f t="shared" si="43"/>
        <v>1.0429873364495978E-2</v>
      </c>
    </row>
    <row r="1304" spans="1:5" x14ac:dyDescent="0.45">
      <c r="A1304" s="2">
        <v>42460</v>
      </c>
      <c r="B1304" s="3">
        <v>25341.86</v>
      </c>
      <c r="C1304" s="3">
        <v>139.1</v>
      </c>
      <c r="D1304" s="3">
        <f t="shared" si="42"/>
        <v>1.2943849755765014E-4</v>
      </c>
      <c r="E1304" s="3">
        <f t="shared" si="43"/>
        <v>-4.6620131058113011E-3</v>
      </c>
    </row>
    <row r="1305" spans="1:5" x14ac:dyDescent="0.45">
      <c r="A1305" s="2">
        <v>42461</v>
      </c>
      <c r="B1305" s="3">
        <v>25269.64</v>
      </c>
      <c r="C1305" s="3">
        <v>138.35</v>
      </c>
      <c r="D1305" s="3">
        <f t="shared" si="42"/>
        <v>-2.8538987786469582E-3</v>
      </c>
      <c r="E1305" s="3">
        <f t="shared" si="43"/>
        <v>-5.4063926964622745E-3</v>
      </c>
    </row>
    <row r="1306" spans="1:5" x14ac:dyDescent="0.45">
      <c r="A1306" s="2">
        <v>42464</v>
      </c>
      <c r="B1306" s="3">
        <v>25399.65</v>
      </c>
      <c r="C1306" s="3">
        <v>138.6</v>
      </c>
      <c r="D1306" s="3">
        <f t="shared" si="42"/>
        <v>5.1317192450376116E-3</v>
      </c>
      <c r="E1306" s="3">
        <f t="shared" si="43"/>
        <v>1.8053805228678609E-3</v>
      </c>
    </row>
    <row r="1307" spans="1:5" x14ac:dyDescent="0.45">
      <c r="A1307" s="2">
        <v>42465</v>
      </c>
      <c r="B1307" s="3">
        <v>24883.59</v>
      </c>
      <c r="C1307" s="3">
        <v>139</v>
      </c>
      <c r="D1307" s="3">
        <f t="shared" si="42"/>
        <v>-2.0526844335689562E-2</v>
      </c>
      <c r="E1307" s="3">
        <f t="shared" si="43"/>
        <v>2.8818463748889502E-3</v>
      </c>
    </row>
    <row r="1308" spans="1:5" x14ac:dyDescent="0.45">
      <c r="A1308" s="2">
        <v>42466</v>
      </c>
      <c r="B1308" s="3">
        <v>24900.63</v>
      </c>
      <c r="C1308" s="3">
        <v>139.69999999999999</v>
      </c>
      <c r="D1308" s="3">
        <f t="shared" si="42"/>
        <v>6.8455428910744499E-4</v>
      </c>
      <c r="E1308" s="3">
        <f t="shared" si="43"/>
        <v>5.0233331322242563E-3</v>
      </c>
    </row>
    <row r="1309" spans="1:5" x14ac:dyDescent="0.45">
      <c r="A1309" s="2">
        <v>42467</v>
      </c>
      <c r="B1309" s="3">
        <v>24685.42</v>
      </c>
      <c r="C1309" s="3">
        <v>140.1</v>
      </c>
      <c r="D1309" s="3">
        <f t="shared" si="42"/>
        <v>-8.6803184081248284E-3</v>
      </c>
      <c r="E1309" s="3">
        <f t="shared" si="43"/>
        <v>2.8591870800451606E-3</v>
      </c>
    </row>
    <row r="1310" spans="1:5" x14ac:dyDescent="0.45">
      <c r="A1310" s="2">
        <v>42468</v>
      </c>
      <c r="B1310" s="3">
        <v>24673.84</v>
      </c>
      <c r="C1310" s="3">
        <v>140.9</v>
      </c>
      <c r="D1310" s="3">
        <f t="shared" si="42"/>
        <v>-4.6921287768309677E-4</v>
      </c>
      <c r="E1310" s="3">
        <f t="shared" si="43"/>
        <v>5.6939655616733307E-3</v>
      </c>
    </row>
    <row r="1311" spans="1:5" x14ac:dyDescent="0.45">
      <c r="A1311" s="2">
        <v>42471</v>
      </c>
      <c r="B1311" s="3">
        <v>25022.16</v>
      </c>
      <c r="C1311" s="3">
        <v>142.1</v>
      </c>
      <c r="D1311" s="3">
        <f t="shared" si="42"/>
        <v>1.401825917811292E-2</v>
      </c>
      <c r="E1311" s="3">
        <f t="shared" si="43"/>
        <v>8.4806161984203529E-3</v>
      </c>
    </row>
    <row r="1312" spans="1:5" x14ac:dyDescent="0.45">
      <c r="A1312" s="2">
        <v>42472</v>
      </c>
      <c r="B1312" s="3">
        <v>25145.59</v>
      </c>
      <c r="C1312" s="3">
        <v>143</v>
      </c>
      <c r="D1312" s="3">
        <f t="shared" si="42"/>
        <v>4.9207010102646888E-3</v>
      </c>
      <c r="E1312" s="3">
        <f t="shared" si="43"/>
        <v>6.3135951568523037E-3</v>
      </c>
    </row>
    <row r="1313" spans="1:5" x14ac:dyDescent="0.45">
      <c r="A1313" s="2">
        <v>42473</v>
      </c>
      <c r="B1313" s="3">
        <v>25626.75</v>
      </c>
      <c r="C1313" s="3">
        <v>145</v>
      </c>
      <c r="D1313" s="3">
        <f t="shared" si="42"/>
        <v>1.8954194551679102E-2</v>
      </c>
      <c r="E1313" s="3">
        <f t="shared" si="43"/>
        <v>1.3889112160667093E-2</v>
      </c>
    </row>
    <row r="1314" spans="1:5" x14ac:dyDescent="0.45">
      <c r="A1314" s="2">
        <v>42478</v>
      </c>
      <c r="B1314" s="3">
        <v>25816.36</v>
      </c>
      <c r="C1314" s="3">
        <v>145.69999999999999</v>
      </c>
      <c r="D1314" s="3">
        <f t="shared" si="42"/>
        <v>7.3716716831814504E-3</v>
      </c>
      <c r="E1314" s="3">
        <f t="shared" si="43"/>
        <v>4.8159707805846899E-3</v>
      </c>
    </row>
    <row r="1315" spans="1:5" x14ac:dyDescent="0.45">
      <c r="A1315" s="2">
        <v>42480</v>
      </c>
      <c r="B1315" s="3">
        <v>25844.18</v>
      </c>
      <c r="C1315" s="3">
        <v>147.94999999999999</v>
      </c>
      <c r="D1315" s="3">
        <f t="shared" si="42"/>
        <v>1.0770310449429018E-3</v>
      </c>
      <c r="E1315" s="3">
        <f t="shared" si="43"/>
        <v>1.5324665645059531E-2</v>
      </c>
    </row>
    <row r="1316" spans="1:5" x14ac:dyDescent="0.45">
      <c r="A1316" s="2">
        <v>42481</v>
      </c>
      <c r="B1316" s="3">
        <v>25880.38</v>
      </c>
      <c r="C1316" s="3">
        <v>145.9</v>
      </c>
      <c r="D1316" s="3">
        <f t="shared" si="42"/>
        <v>1.3997221401329794E-3</v>
      </c>
      <c r="E1316" s="3">
        <f t="shared" si="43"/>
        <v>-1.3952923317478607E-2</v>
      </c>
    </row>
    <row r="1317" spans="1:5" x14ac:dyDescent="0.45">
      <c r="A1317" s="2">
        <v>42482</v>
      </c>
      <c r="B1317" s="3">
        <v>25838.14</v>
      </c>
      <c r="C1317" s="3">
        <v>146.19999999999999</v>
      </c>
      <c r="D1317" s="3">
        <f t="shared" si="42"/>
        <v>-1.6334577784519247E-3</v>
      </c>
      <c r="E1317" s="3">
        <f t="shared" si="43"/>
        <v>2.0540917869380478E-3</v>
      </c>
    </row>
    <row r="1318" spans="1:5" x14ac:dyDescent="0.45">
      <c r="A1318" s="2">
        <v>42485</v>
      </c>
      <c r="B1318" s="3">
        <v>25678.93</v>
      </c>
      <c r="C1318" s="3">
        <v>143.5</v>
      </c>
      <c r="D1318" s="3">
        <f t="shared" si="42"/>
        <v>-6.1808836124513308E-3</v>
      </c>
      <c r="E1318" s="3">
        <f t="shared" si="43"/>
        <v>-1.8640512116002223E-2</v>
      </c>
    </row>
    <row r="1319" spans="1:5" x14ac:dyDescent="0.45">
      <c r="A1319" s="2">
        <v>42486</v>
      </c>
      <c r="B1319" s="3">
        <v>26007.3</v>
      </c>
      <c r="C1319" s="3">
        <v>145.05000000000001</v>
      </c>
      <c r="D1319" s="3">
        <f t="shared" si="42"/>
        <v>1.2706456556932848E-2</v>
      </c>
      <c r="E1319" s="3">
        <f t="shared" si="43"/>
        <v>1.0743475367737202E-2</v>
      </c>
    </row>
    <row r="1320" spans="1:5" x14ac:dyDescent="0.45">
      <c r="A1320" s="2">
        <v>42487</v>
      </c>
      <c r="B1320" s="3">
        <v>26064.12</v>
      </c>
      <c r="C1320" s="3">
        <v>144.19999999999999</v>
      </c>
      <c r="D1320" s="3">
        <f t="shared" si="42"/>
        <v>2.1823880567089461E-3</v>
      </c>
      <c r="E1320" s="3">
        <f t="shared" si="43"/>
        <v>-5.8772857165645164E-3</v>
      </c>
    </row>
    <row r="1321" spans="1:5" x14ac:dyDescent="0.45">
      <c r="A1321" s="2">
        <v>42488</v>
      </c>
      <c r="B1321" s="3">
        <v>25603.1</v>
      </c>
      <c r="C1321" s="3">
        <v>141.5</v>
      </c>
      <c r="D1321" s="3">
        <f t="shared" si="42"/>
        <v>-1.7846217996395658E-2</v>
      </c>
      <c r="E1321" s="3">
        <f t="shared" si="43"/>
        <v>-1.8901507767556263E-2</v>
      </c>
    </row>
    <row r="1322" spans="1:5" x14ac:dyDescent="0.45">
      <c r="A1322" s="2">
        <v>42489</v>
      </c>
      <c r="B1322" s="3">
        <v>25606.62</v>
      </c>
      <c r="C1322" s="3">
        <v>143.44999999999999</v>
      </c>
      <c r="D1322" s="3">
        <f t="shared" si="42"/>
        <v>1.3747390165559013E-4</v>
      </c>
      <c r="E1322" s="3">
        <f t="shared" si="43"/>
        <v>1.3686825344081489E-2</v>
      </c>
    </row>
    <row r="1323" spans="1:5" x14ac:dyDescent="0.45">
      <c r="A1323" s="2">
        <v>42492</v>
      </c>
      <c r="B1323" s="3">
        <v>25436.97</v>
      </c>
      <c r="C1323" s="3">
        <v>142.9</v>
      </c>
      <c r="D1323" s="3">
        <f t="shared" si="42"/>
        <v>-6.6472842009971823E-3</v>
      </c>
      <c r="E1323" s="3">
        <f t="shared" si="43"/>
        <v>-3.8414574915519167E-3</v>
      </c>
    </row>
    <row r="1324" spans="1:5" x14ac:dyDescent="0.45">
      <c r="A1324" s="2">
        <v>42493</v>
      </c>
      <c r="B1324" s="3">
        <v>25229.7</v>
      </c>
      <c r="C1324" s="3">
        <v>144.94999999999999</v>
      </c>
      <c r="D1324" s="3">
        <f t="shared" si="42"/>
        <v>-8.1817556290671497E-3</v>
      </c>
      <c r="E1324" s="3">
        <f t="shared" si="43"/>
        <v>1.424377043184271E-2</v>
      </c>
    </row>
    <row r="1325" spans="1:5" x14ac:dyDescent="0.45">
      <c r="A1325" s="2">
        <v>42494</v>
      </c>
      <c r="B1325" s="3">
        <v>25101.73</v>
      </c>
      <c r="C1325" s="3">
        <v>142.9</v>
      </c>
      <c r="D1325" s="3">
        <f t="shared" si="42"/>
        <v>-5.0851039104952171E-3</v>
      </c>
      <c r="E1325" s="3">
        <f t="shared" si="43"/>
        <v>-1.4243770431842656E-2</v>
      </c>
    </row>
    <row r="1326" spans="1:5" x14ac:dyDescent="0.45">
      <c r="A1326" s="2">
        <v>42495</v>
      </c>
      <c r="B1326" s="3">
        <v>25262.21</v>
      </c>
      <c r="C1326" s="3">
        <v>143.19999999999999</v>
      </c>
      <c r="D1326" s="3">
        <f t="shared" si="42"/>
        <v>6.3728351328823062E-3</v>
      </c>
      <c r="E1326" s="3">
        <f t="shared" si="43"/>
        <v>2.0971695907233295E-3</v>
      </c>
    </row>
    <row r="1327" spans="1:5" x14ac:dyDescent="0.45">
      <c r="A1327" s="2">
        <v>42496</v>
      </c>
      <c r="B1327" s="3">
        <v>25228.5</v>
      </c>
      <c r="C1327" s="3">
        <v>142.15</v>
      </c>
      <c r="D1327" s="3">
        <f t="shared" si="42"/>
        <v>-1.335295344778513E-3</v>
      </c>
      <c r="E1327" s="3">
        <f t="shared" si="43"/>
        <v>-7.3594164295362925E-3</v>
      </c>
    </row>
    <row r="1328" spans="1:5" x14ac:dyDescent="0.45">
      <c r="A1328" s="2">
        <v>42499</v>
      </c>
      <c r="B1328" s="3">
        <v>25688.86</v>
      </c>
      <c r="C1328" s="3">
        <v>143.44999999999999</v>
      </c>
      <c r="D1328" s="3">
        <f t="shared" si="42"/>
        <v>1.8083127040436391E-2</v>
      </c>
      <c r="E1328" s="3">
        <f t="shared" si="43"/>
        <v>9.1037043303648906E-3</v>
      </c>
    </row>
    <row r="1329" spans="1:5" x14ac:dyDescent="0.45">
      <c r="A1329" s="2">
        <v>42500</v>
      </c>
      <c r="B1329" s="3">
        <v>25772.53</v>
      </c>
      <c r="C1329" s="3">
        <v>141.6</v>
      </c>
      <c r="D1329" s="3">
        <f t="shared" si="42"/>
        <v>3.2517611252574929E-3</v>
      </c>
      <c r="E1329" s="3">
        <f t="shared" si="43"/>
        <v>-1.2980361167754369E-2</v>
      </c>
    </row>
    <row r="1330" spans="1:5" x14ac:dyDescent="0.45">
      <c r="A1330" s="2">
        <v>42501</v>
      </c>
      <c r="B1330" s="3">
        <v>25597.02</v>
      </c>
      <c r="C1330" s="3">
        <v>141.15</v>
      </c>
      <c r="D1330" s="3">
        <f t="shared" si="42"/>
        <v>-6.8332575593705704E-3</v>
      </c>
      <c r="E1330" s="3">
        <f t="shared" si="43"/>
        <v>-3.1830265601209893E-3</v>
      </c>
    </row>
    <row r="1331" spans="1:5" x14ac:dyDescent="0.45">
      <c r="A1331" s="2">
        <v>42502</v>
      </c>
      <c r="B1331" s="3">
        <v>25790.22</v>
      </c>
      <c r="C1331" s="3">
        <v>143.69999999999999</v>
      </c>
      <c r="D1331" s="3">
        <f t="shared" si="42"/>
        <v>7.5194118352403007E-3</v>
      </c>
      <c r="E1331" s="3">
        <f t="shared" si="43"/>
        <v>1.7904638385480877E-2</v>
      </c>
    </row>
    <row r="1332" spans="1:5" x14ac:dyDescent="0.45">
      <c r="A1332" s="2">
        <v>42503</v>
      </c>
      <c r="B1332" s="3">
        <v>25489.57</v>
      </c>
      <c r="C1332" s="3">
        <v>144.5</v>
      </c>
      <c r="D1332" s="3">
        <f t="shared" si="42"/>
        <v>-1.1726001409822547E-2</v>
      </c>
      <c r="E1332" s="3">
        <f t="shared" si="43"/>
        <v>5.5517144675077115E-3</v>
      </c>
    </row>
    <row r="1333" spans="1:5" x14ac:dyDescent="0.45">
      <c r="A1333" s="2">
        <v>42506</v>
      </c>
      <c r="B1333" s="3">
        <v>25653.23</v>
      </c>
      <c r="C1333" s="3">
        <v>144.30000000000001</v>
      </c>
      <c r="D1333" s="3">
        <f t="shared" si="42"/>
        <v>6.400140729499397E-3</v>
      </c>
      <c r="E1333" s="3">
        <f t="shared" si="43"/>
        <v>-1.3850417726615734E-3</v>
      </c>
    </row>
    <row r="1334" spans="1:5" x14ac:dyDescent="0.45">
      <c r="A1334" s="2">
        <v>42507</v>
      </c>
      <c r="B1334" s="3">
        <v>25773.61</v>
      </c>
      <c r="C1334" s="3">
        <v>144.5</v>
      </c>
      <c r="D1334" s="3">
        <f t="shared" si="42"/>
        <v>4.6816106091198198E-3</v>
      </c>
      <c r="E1334" s="3">
        <f t="shared" si="43"/>
        <v>1.3850417726614787E-3</v>
      </c>
    </row>
    <row r="1335" spans="1:5" x14ac:dyDescent="0.45">
      <c r="A1335" s="2">
        <v>42508</v>
      </c>
      <c r="B1335" s="3">
        <v>25704.61</v>
      </c>
      <c r="C1335" s="3">
        <v>143</v>
      </c>
      <c r="D1335" s="3">
        <f t="shared" si="42"/>
        <v>-2.6807469769475657E-3</v>
      </c>
      <c r="E1335" s="3">
        <f t="shared" si="43"/>
        <v>-1.0434877292579619E-2</v>
      </c>
    </row>
    <row r="1336" spans="1:5" x14ac:dyDescent="0.45">
      <c r="A1336" s="2">
        <v>42509</v>
      </c>
      <c r="B1336" s="3">
        <v>25399.72</v>
      </c>
      <c r="C1336" s="3">
        <v>143.94999999999999</v>
      </c>
      <c r="D1336" s="3">
        <f t="shared" si="42"/>
        <v>-1.193220290518974E-2</v>
      </c>
      <c r="E1336" s="3">
        <f t="shared" si="43"/>
        <v>6.6213867982775352E-3</v>
      </c>
    </row>
    <row r="1337" spans="1:5" x14ac:dyDescent="0.45">
      <c r="A1337" s="2">
        <v>42510</v>
      </c>
      <c r="B1337" s="3">
        <v>25301.9</v>
      </c>
      <c r="C1337" s="3">
        <v>144.35</v>
      </c>
      <c r="D1337" s="3">
        <f t="shared" si="42"/>
        <v>-3.8586586137540728E-3</v>
      </c>
      <c r="E1337" s="3">
        <f t="shared" si="43"/>
        <v>2.7748890507592393E-3</v>
      </c>
    </row>
    <row r="1338" spans="1:5" x14ac:dyDescent="0.45">
      <c r="A1338" s="2">
        <v>42513</v>
      </c>
      <c r="B1338" s="3">
        <v>25230.36</v>
      </c>
      <c r="C1338" s="3">
        <v>148.05000000000001</v>
      </c>
      <c r="D1338" s="3">
        <f t="shared" si="42"/>
        <v>-2.8314604490548871E-3</v>
      </c>
      <c r="E1338" s="3">
        <f t="shared" si="43"/>
        <v>2.5309148438656278E-2</v>
      </c>
    </row>
    <row r="1339" spans="1:5" x14ac:dyDescent="0.45">
      <c r="A1339" s="2">
        <v>42514</v>
      </c>
      <c r="B1339" s="3">
        <v>25305.47</v>
      </c>
      <c r="C1339" s="3">
        <v>146.6</v>
      </c>
      <c r="D1339" s="3">
        <f t="shared" si="42"/>
        <v>2.9725466191490748E-3</v>
      </c>
      <c r="E1339" s="3">
        <f t="shared" si="43"/>
        <v>-9.8422650950492734E-3</v>
      </c>
    </row>
    <row r="1340" spans="1:5" x14ac:dyDescent="0.45">
      <c r="A1340" s="2">
        <v>42515</v>
      </c>
      <c r="B1340" s="3">
        <v>25881.17</v>
      </c>
      <c r="C1340" s="3">
        <v>149.44999999999999</v>
      </c>
      <c r="D1340" s="3">
        <f t="shared" si="42"/>
        <v>2.2495099368128317E-2</v>
      </c>
      <c r="E1340" s="3">
        <f t="shared" si="43"/>
        <v>1.925409927739577E-2</v>
      </c>
    </row>
    <row r="1341" spans="1:5" x14ac:dyDescent="0.45">
      <c r="A1341" s="2">
        <v>42516</v>
      </c>
      <c r="B1341" s="3">
        <v>26366.68</v>
      </c>
      <c r="C1341" s="3">
        <v>150.75</v>
      </c>
      <c r="D1341" s="3">
        <f t="shared" si="42"/>
        <v>1.8585414528220354E-2</v>
      </c>
      <c r="E1341" s="3">
        <f t="shared" si="43"/>
        <v>8.6609468773479678E-3</v>
      </c>
    </row>
    <row r="1342" spans="1:5" x14ac:dyDescent="0.45">
      <c r="A1342" s="2">
        <v>42517</v>
      </c>
      <c r="B1342" s="3">
        <v>26653.599999999999</v>
      </c>
      <c r="C1342" s="3">
        <v>150.69999999999999</v>
      </c>
      <c r="D1342" s="3">
        <f t="shared" si="42"/>
        <v>1.0823134122169264E-2</v>
      </c>
      <c r="E1342" s="3">
        <f t="shared" si="43"/>
        <v>-3.3172997484511339E-4</v>
      </c>
    </row>
    <row r="1343" spans="1:5" x14ac:dyDescent="0.45">
      <c r="A1343" s="2">
        <v>42520</v>
      </c>
      <c r="B1343" s="3">
        <v>26725.599999999999</v>
      </c>
      <c r="C1343" s="3">
        <v>151.5</v>
      </c>
      <c r="D1343" s="3">
        <f t="shared" si="42"/>
        <v>2.6976816312312981E-3</v>
      </c>
      <c r="E1343" s="3">
        <f t="shared" si="43"/>
        <v>5.2945193169742317E-3</v>
      </c>
    </row>
    <row r="1344" spans="1:5" x14ac:dyDescent="0.45">
      <c r="A1344" s="2">
        <v>42521</v>
      </c>
      <c r="B1344" s="3">
        <v>26667.96</v>
      </c>
      <c r="C1344" s="3">
        <v>150</v>
      </c>
      <c r="D1344" s="3">
        <f t="shared" si="42"/>
        <v>-2.1590627180874998E-3</v>
      </c>
      <c r="E1344" s="3">
        <f t="shared" si="43"/>
        <v>-9.950330853168092E-3</v>
      </c>
    </row>
    <row r="1345" spans="1:5" x14ac:dyDescent="0.45">
      <c r="A1345" s="2">
        <v>42522</v>
      </c>
      <c r="B1345" s="3">
        <v>26713.93</v>
      </c>
      <c r="C1345" s="3">
        <v>148.94999999999999</v>
      </c>
      <c r="D1345" s="3">
        <f t="shared" si="42"/>
        <v>1.7223073729147539E-3</v>
      </c>
      <c r="E1345" s="3">
        <f t="shared" si="43"/>
        <v>-7.0246149369645782E-3</v>
      </c>
    </row>
    <row r="1346" spans="1:5" x14ac:dyDescent="0.45">
      <c r="A1346" s="2">
        <v>42523</v>
      </c>
      <c r="B1346" s="3">
        <v>26843.14</v>
      </c>
      <c r="C1346" s="3">
        <v>150.15</v>
      </c>
      <c r="D1346" s="3">
        <f t="shared" si="42"/>
        <v>4.8251426259447406E-3</v>
      </c>
      <c r="E1346" s="3">
        <f t="shared" si="43"/>
        <v>8.0241152700479997E-3</v>
      </c>
    </row>
    <row r="1347" spans="1:5" x14ac:dyDescent="0.45">
      <c r="A1347" s="2">
        <v>42524</v>
      </c>
      <c r="B1347" s="3">
        <v>26843.03</v>
      </c>
      <c r="C1347" s="3">
        <v>150.35</v>
      </c>
      <c r="D1347" s="3">
        <f t="shared" si="42"/>
        <v>-4.097889642783683E-6</v>
      </c>
      <c r="E1347" s="3">
        <f t="shared" si="43"/>
        <v>1.3311150051987463E-3</v>
      </c>
    </row>
    <row r="1348" spans="1:5" x14ac:dyDescent="0.45">
      <c r="A1348" s="2">
        <v>42527</v>
      </c>
      <c r="B1348" s="3">
        <v>26777.45</v>
      </c>
      <c r="C1348" s="3">
        <v>149.15</v>
      </c>
      <c r="D1348" s="3">
        <f t="shared" si="42"/>
        <v>-2.4460815232840412E-3</v>
      </c>
      <c r="E1348" s="3">
        <f t="shared" si="43"/>
        <v>-8.0133984737804816E-3</v>
      </c>
    </row>
    <row r="1349" spans="1:5" x14ac:dyDescent="0.45">
      <c r="A1349" s="2">
        <v>42528</v>
      </c>
      <c r="B1349" s="3">
        <v>27009.67</v>
      </c>
      <c r="C1349" s="3">
        <v>149.94999999999999</v>
      </c>
      <c r="D1349" s="3">
        <f t="shared" si="42"/>
        <v>8.6348346171205292E-3</v>
      </c>
      <c r="E1349" s="3">
        <f t="shared" si="43"/>
        <v>5.3493942342604647E-3</v>
      </c>
    </row>
    <row r="1350" spans="1:5" x14ac:dyDescent="0.45">
      <c r="A1350" s="2">
        <v>42529</v>
      </c>
      <c r="B1350" s="3">
        <v>27020.66</v>
      </c>
      <c r="C1350" s="3">
        <v>152.5</v>
      </c>
      <c r="D1350" s="3">
        <f t="shared" ref="D1350:D1413" si="44">LN(B1350/B1349)</f>
        <v>4.0680855184723429E-4</v>
      </c>
      <c r="E1350" s="3">
        <f t="shared" ref="E1350:E1413" si="45">LN(C1350/C1349)</f>
        <v>1.6862690852448282E-2</v>
      </c>
    </row>
    <row r="1351" spans="1:5" x14ac:dyDescent="0.45">
      <c r="A1351" s="2">
        <v>42530</v>
      </c>
      <c r="B1351" s="3">
        <v>26763.46</v>
      </c>
      <c r="C1351" s="3">
        <v>152.9</v>
      </c>
      <c r="D1351" s="3">
        <f t="shared" si="44"/>
        <v>-9.5642342238599926E-3</v>
      </c>
      <c r="E1351" s="3">
        <f t="shared" si="45"/>
        <v>2.6195168875504035E-3</v>
      </c>
    </row>
    <row r="1352" spans="1:5" x14ac:dyDescent="0.45">
      <c r="A1352" s="2">
        <v>42531</v>
      </c>
      <c r="B1352" s="3">
        <v>26635.75</v>
      </c>
      <c r="C1352" s="3">
        <v>154.05000000000001</v>
      </c>
      <c r="D1352" s="3">
        <f t="shared" si="44"/>
        <v>-4.7832259500591601E-3</v>
      </c>
      <c r="E1352" s="3">
        <f t="shared" si="45"/>
        <v>7.4931121076604245E-3</v>
      </c>
    </row>
    <row r="1353" spans="1:5" x14ac:dyDescent="0.45">
      <c r="A1353" s="2">
        <v>42534</v>
      </c>
      <c r="B1353" s="3">
        <v>26396.77</v>
      </c>
      <c r="C1353" s="3">
        <v>151.94999999999999</v>
      </c>
      <c r="D1353" s="3">
        <f t="shared" si="44"/>
        <v>-9.0126442284307728E-3</v>
      </c>
      <c r="E1353" s="3">
        <f t="shared" si="45"/>
        <v>-1.3725705679875019E-2</v>
      </c>
    </row>
    <row r="1354" spans="1:5" x14ac:dyDescent="0.45">
      <c r="A1354" s="2">
        <v>42535</v>
      </c>
      <c r="B1354" s="3">
        <v>26395.71</v>
      </c>
      <c r="C1354" s="3">
        <v>150.75</v>
      </c>
      <c r="D1354" s="3">
        <f t="shared" si="44"/>
        <v>-4.0157234520692188E-5</v>
      </c>
      <c r="E1354" s="3">
        <f t="shared" si="45"/>
        <v>-7.9286837555071436E-3</v>
      </c>
    </row>
    <row r="1355" spans="1:5" x14ac:dyDescent="0.45">
      <c r="A1355" s="2">
        <v>42536</v>
      </c>
      <c r="B1355" s="3">
        <v>26726.34</v>
      </c>
      <c r="C1355" s="3">
        <v>154.55000000000001</v>
      </c>
      <c r="D1355" s="3">
        <f t="shared" si="44"/>
        <v>1.2448099024464509E-2</v>
      </c>
      <c r="E1355" s="3">
        <f t="shared" si="45"/>
        <v>2.4894832970830554E-2</v>
      </c>
    </row>
    <row r="1356" spans="1:5" x14ac:dyDescent="0.45">
      <c r="A1356" s="2">
        <v>42537</v>
      </c>
      <c r="B1356" s="3">
        <v>26525.46</v>
      </c>
      <c r="C1356" s="3">
        <v>154.65</v>
      </c>
      <c r="D1356" s="3">
        <f t="shared" si="44"/>
        <v>-7.5445694924396898E-3</v>
      </c>
      <c r="E1356" s="3">
        <f t="shared" si="45"/>
        <v>6.4683055295326514E-4</v>
      </c>
    </row>
    <row r="1357" spans="1:5" x14ac:dyDescent="0.45">
      <c r="A1357" s="2">
        <v>42538</v>
      </c>
      <c r="B1357" s="3">
        <v>26625.91</v>
      </c>
      <c r="C1357" s="3">
        <v>156.9</v>
      </c>
      <c r="D1357" s="3">
        <f t="shared" si="44"/>
        <v>3.7797753695370411E-3</v>
      </c>
      <c r="E1357" s="3">
        <f t="shared" si="45"/>
        <v>1.4444160607908306E-2</v>
      </c>
    </row>
    <row r="1358" spans="1:5" x14ac:dyDescent="0.45">
      <c r="A1358" s="2">
        <v>42541</v>
      </c>
      <c r="B1358" s="3">
        <v>26866.92</v>
      </c>
      <c r="C1358" s="3">
        <v>156.55000000000001</v>
      </c>
      <c r="D1358" s="3">
        <f t="shared" si="44"/>
        <v>9.0109882311376777E-3</v>
      </c>
      <c r="E1358" s="3">
        <f t="shared" si="45"/>
        <v>-2.2332119665721848E-3</v>
      </c>
    </row>
    <row r="1359" spans="1:5" x14ac:dyDescent="0.45">
      <c r="A1359" s="2">
        <v>42542</v>
      </c>
      <c r="B1359" s="3">
        <v>26812.78</v>
      </c>
      <c r="C1359" s="3">
        <v>155.65</v>
      </c>
      <c r="D1359" s="3">
        <f t="shared" si="44"/>
        <v>-2.0171505562624555E-3</v>
      </c>
      <c r="E1359" s="3">
        <f t="shared" si="45"/>
        <v>-5.7655508847975151E-3</v>
      </c>
    </row>
    <row r="1360" spans="1:5" x14ac:dyDescent="0.45">
      <c r="A1360" s="2">
        <v>42543</v>
      </c>
      <c r="B1360" s="3">
        <v>26765.65</v>
      </c>
      <c r="C1360" s="3">
        <v>155.65</v>
      </c>
      <c r="D1360" s="3">
        <f t="shared" si="44"/>
        <v>-1.7592905262813613E-3</v>
      </c>
      <c r="E1360" s="3">
        <f t="shared" si="45"/>
        <v>0</v>
      </c>
    </row>
    <row r="1361" spans="1:5" x14ac:dyDescent="0.45">
      <c r="A1361" s="2">
        <v>42544</v>
      </c>
      <c r="B1361" s="3">
        <v>27002.22</v>
      </c>
      <c r="C1361" s="3">
        <v>156.55000000000001</v>
      </c>
      <c r="D1361" s="3">
        <f t="shared" si="44"/>
        <v>8.7997358486189715E-3</v>
      </c>
      <c r="E1361" s="3">
        <f t="shared" si="45"/>
        <v>5.7655508847974882E-3</v>
      </c>
    </row>
    <row r="1362" spans="1:5" x14ac:dyDescent="0.45">
      <c r="A1362" s="2">
        <v>42545</v>
      </c>
      <c r="B1362" s="3">
        <v>26397.71</v>
      </c>
      <c r="C1362" s="3">
        <v>155.69999999999999</v>
      </c>
      <c r="D1362" s="3">
        <f t="shared" si="44"/>
        <v>-2.2641820880803357E-2</v>
      </c>
      <c r="E1362" s="3">
        <f t="shared" si="45"/>
        <v>-5.4443689324621637E-3</v>
      </c>
    </row>
    <row r="1363" spans="1:5" x14ac:dyDescent="0.45">
      <c r="A1363" s="2">
        <v>42548</v>
      </c>
      <c r="B1363" s="3">
        <v>26402.959999999999</v>
      </c>
      <c r="C1363" s="3">
        <v>154.30000000000001</v>
      </c>
      <c r="D1363" s="3">
        <f t="shared" si="44"/>
        <v>1.9886111359197807E-4</v>
      </c>
      <c r="E1363" s="3">
        <f t="shared" si="45"/>
        <v>-9.0323194708373869E-3</v>
      </c>
    </row>
    <row r="1364" spans="1:5" x14ac:dyDescent="0.45">
      <c r="A1364" s="2">
        <v>42549</v>
      </c>
      <c r="B1364" s="3">
        <v>26524.55</v>
      </c>
      <c r="C1364" s="3">
        <v>155.5</v>
      </c>
      <c r="D1364" s="3">
        <f t="shared" si="44"/>
        <v>4.5945941496206514E-3</v>
      </c>
      <c r="E1364" s="3">
        <f t="shared" si="45"/>
        <v>7.7469722501735906E-3</v>
      </c>
    </row>
    <row r="1365" spans="1:5" x14ac:dyDescent="0.45">
      <c r="A1365" s="2">
        <v>42550</v>
      </c>
      <c r="B1365" s="3">
        <v>26740.39</v>
      </c>
      <c r="C1365" s="3">
        <v>159.55000000000001</v>
      </c>
      <c r="D1365" s="3">
        <f t="shared" si="44"/>
        <v>8.1044372300879425E-3</v>
      </c>
      <c r="E1365" s="3">
        <f t="shared" si="45"/>
        <v>2.5711621104963847E-2</v>
      </c>
    </row>
    <row r="1366" spans="1:5" x14ac:dyDescent="0.45">
      <c r="A1366" s="2">
        <v>42551</v>
      </c>
      <c r="B1366" s="3">
        <v>26999.72</v>
      </c>
      <c r="C1366" s="3">
        <v>162.94999999999999</v>
      </c>
      <c r="D1366" s="3">
        <f t="shared" si="44"/>
        <v>9.6513391211993007E-3</v>
      </c>
      <c r="E1366" s="3">
        <f t="shared" si="45"/>
        <v>2.1086052559317923E-2</v>
      </c>
    </row>
    <row r="1367" spans="1:5" x14ac:dyDescent="0.45">
      <c r="A1367" s="2">
        <v>42552</v>
      </c>
      <c r="B1367" s="3">
        <v>27144.91</v>
      </c>
      <c r="C1367" s="3">
        <v>165.1</v>
      </c>
      <c r="D1367" s="3">
        <f t="shared" si="44"/>
        <v>5.3630562440103594E-3</v>
      </c>
      <c r="E1367" s="3">
        <f t="shared" si="45"/>
        <v>1.310794564251185E-2</v>
      </c>
    </row>
    <row r="1368" spans="1:5" x14ac:dyDescent="0.45">
      <c r="A1368" s="2">
        <v>42555</v>
      </c>
      <c r="B1368" s="3">
        <v>27278.76</v>
      </c>
      <c r="C1368" s="3">
        <v>165</v>
      </c>
      <c r="D1368" s="3">
        <f t="shared" si="44"/>
        <v>4.918825572521132E-3</v>
      </c>
      <c r="E1368" s="3">
        <f t="shared" si="45"/>
        <v>-6.0587702550172248E-4</v>
      </c>
    </row>
    <row r="1369" spans="1:5" x14ac:dyDescent="0.45">
      <c r="A1369" s="2">
        <v>42556</v>
      </c>
      <c r="B1369" s="3">
        <v>27166.87</v>
      </c>
      <c r="C1369" s="3">
        <v>161.1</v>
      </c>
      <c r="D1369" s="3">
        <f t="shared" si="44"/>
        <v>-4.1101611834435522E-3</v>
      </c>
      <c r="E1369" s="3">
        <f t="shared" si="45"/>
        <v>-2.3920183717651956E-2</v>
      </c>
    </row>
    <row r="1370" spans="1:5" x14ac:dyDescent="0.45">
      <c r="A1370" s="2">
        <v>42558</v>
      </c>
      <c r="B1370" s="3">
        <v>27201.49</v>
      </c>
      <c r="C1370" s="3">
        <v>163.30000000000001</v>
      </c>
      <c r="D1370" s="3">
        <f t="shared" si="44"/>
        <v>1.2735350001051918E-3</v>
      </c>
      <c r="E1370" s="3">
        <f t="shared" si="45"/>
        <v>1.3563709793490829E-2</v>
      </c>
    </row>
    <row r="1371" spans="1:5" x14ac:dyDescent="0.45">
      <c r="A1371" s="2">
        <v>42559</v>
      </c>
      <c r="B1371" s="3">
        <v>27126.9</v>
      </c>
      <c r="C1371" s="3">
        <v>165</v>
      </c>
      <c r="D1371" s="3">
        <f t="shared" si="44"/>
        <v>-2.7458957229185657E-3</v>
      </c>
      <c r="E1371" s="3">
        <f t="shared" si="45"/>
        <v>1.0356473924161082E-2</v>
      </c>
    </row>
    <row r="1372" spans="1:5" x14ac:dyDescent="0.45">
      <c r="A1372" s="2">
        <v>42562</v>
      </c>
      <c r="B1372" s="3">
        <v>27626.69</v>
      </c>
      <c r="C1372" s="3">
        <v>166.55</v>
      </c>
      <c r="D1372" s="3">
        <f t="shared" si="44"/>
        <v>1.8256478946840481E-2</v>
      </c>
      <c r="E1372" s="3">
        <f t="shared" si="45"/>
        <v>9.3500907391081637E-3</v>
      </c>
    </row>
    <row r="1373" spans="1:5" x14ac:dyDescent="0.45">
      <c r="A1373" s="2">
        <v>42563</v>
      </c>
      <c r="B1373" s="3">
        <v>27808.14</v>
      </c>
      <c r="C1373" s="3">
        <v>166.55</v>
      </c>
      <c r="D1373" s="3">
        <f t="shared" si="44"/>
        <v>6.5464491554468535E-3</v>
      </c>
      <c r="E1373" s="3">
        <f t="shared" si="45"/>
        <v>0</v>
      </c>
    </row>
    <row r="1374" spans="1:5" x14ac:dyDescent="0.45">
      <c r="A1374" s="2">
        <v>42564</v>
      </c>
      <c r="B1374" s="3">
        <v>27815.18</v>
      </c>
      <c r="C1374" s="3">
        <v>161.80000000000001</v>
      </c>
      <c r="D1374" s="3">
        <f t="shared" si="44"/>
        <v>2.5313124198962178E-4</v>
      </c>
      <c r="E1374" s="3">
        <f t="shared" si="45"/>
        <v>-2.8934560015297286E-2</v>
      </c>
    </row>
    <row r="1375" spans="1:5" x14ac:dyDescent="0.45">
      <c r="A1375" s="2">
        <v>42565</v>
      </c>
      <c r="B1375" s="3">
        <v>27942.11</v>
      </c>
      <c r="C1375" s="3">
        <v>164.75</v>
      </c>
      <c r="D1375" s="3">
        <f t="shared" si="44"/>
        <v>4.5529551118842259E-3</v>
      </c>
      <c r="E1375" s="3">
        <f t="shared" si="45"/>
        <v>1.8068168758225273E-2</v>
      </c>
    </row>
    <row r="1376" spans="1:5" x14ac:dyDescent="0.45">
      <c r="A1376" s="2">
        <v>42566</v>
      </c>
      <c r="B1376" s="3">
        <v>27836.5</v>
      </c>
      <c r="C1376" s="3">
        <v>164.3</v>
      </c>
      <c r="D1376" s="3">
        <f t="shared" si="44"/>
        <v>-3.786760774426736E-3</v>
      </c>
      <c r="E1376" s="3">
        <f t="shared" si="45"/>
        <v>-2.7351483393941566E-3</v>
      </c>
    </row>
    <row r="1377" spans="1:5" x14ac:dyDescent="0.45">
      <c r="A1377" s="2">
        <v>42569</v>
      </c>
      <c r="B1377" s="3">
        <v>27746.66</v>
      </c>
      <c r="C1377" s="3">
        <v>163.35</v>
      </c>
      <c r="D1377" s="3">
        <f t="shared" si="44"/>
        <v>-3.2326365840013396E-3</v>
      </c>
      <c r="E1377" s="3">
        <f t="shared" si="45"/>
        <v>-5.7988869961433228E-3</v>
      </c>
    </row>
    <row r="1378" spans="1:5" x14ac:dyDescent="0.45">
      <c r="A1378" s="2">
        <v>42570</v>
      </c>
      <c r="B1378" s="3">
        <v>27787.62</v>
      </c>
      <c r="C1378" s="3">
        <v>166.45</v>
      </c>
      <c r="D1378" s="3">
        <f t="shared" si="44"/>
        <v>1.4751251813256176E-3</v>
      </c>
      <c r="E1378" s="3">
        <f t="shared" si="45"/>
        <v>1.8799825973954774E-2</v>
      </c>
    </row>
    <row r="1379" spans="1:5" x14ac:dyDescent="0.45">
      <c r="A1379" s="2">
        <v>42571</v>
      </c>
      <c r="B1379" s="3">
        <v>27915.89</v>
      </c>
      <c r="C1379" s="3">
        <v>168</v>
      </c>
      <c r="D1379" s="3">
        <f t="shared" si="44"/>
        <v>4.6054629850160846E-3</v>
      </c>
      <c r="E1379" s="3">
        <f t="shared" si="45"/>
        <v>9.2690153822250539E-3</v>
      </c>
    </row>
    <row r="1380" spans="1:5" x14ac:dyDescent="0.45">
      <c r="A1380" s="2">
        <v>42572</v>
      </c>
      <c r="B1380" s="3">
        <v>27710.52</v>
      </c>
      <c r="C1380" s="3">
        <v>162.75</v>
      </c>
      <c r="D1380" s="3">
        <f t="shared" si="44"/>
        <v>-7.383936267199547E-3</v>
      </c>
      <c r="E1380" s="3">
        <f t="shared" si="45"/>
        <v>-3.1748698314580298E-2</v>
      </c>
    </row>
    <row r="1381" spans="1:5" x14ac:dyDescent="0.45">
      <c r="A1381" s="2">
        <v>42573</v>
      </c>
      <c r="B1381" s="3">
        <v>27803.24</v>
      </c>
      <c r="C1381" s="3">
        <v>166.85</v>
      </c>
      <c r="D1381" s="3">
        <f t="shared" si="44"/>
        <v>3.3404361807992176E-3</v>
      </c>
      <c r="E1381" s="3">
        <f t="shared" si="45"/>
        <v>2.4879924108704442E-2</v>
      </c>
    </row>
    <row r="1382" spans="1:5" x14ac:dyDescent="0.45">
      <c r="A1382" s="2">
        <v>42576</v>
      </c>
      <c r="B1382" s="3">
        <v>28095.34</v>
      </c>
      <c r="C1382" s="3">
        <v>168.65</v>
      </c>
      <c r="D1382" s="3">
        <f t="shared" si="44"/>
        <v>1.0451165620273218E-2</v>
      </c>
      <c r="E1382" s="3">
        <f t="shared" si="45"/>
        <v>1.0730356310276254E-2</v>
      </c>
    </row>
    <row r="1383" spans="1:5" x14ac:dyDescent="0.45">
      <c r="A1383" s="2">
        <v>42577</v>
      </c>
      <c r="B1383" s="3">
        <v>27976.52</v>
      </c>
      <c r="C1383" s="3">
        <v>171.4</v>
      </c>
      <c r="D1383" s="3">
        <f t="shared" si="44"/>
        <v>-4.2381393394815932E-3</v>
      </c>
      <c r="E1383" s="3">
        <f t="shared" si="45"/>
        <v>1.6174444656020255E-2</v>
      </c>
    </row>
    <row r="1384" spans="1:5" x14ac:dyDescent="0.45">
      <c r="A1384" s="2">
        <v>42578</v>
      </c>
      <c r="B1384" s="3">
        <v>28024.33</v>
      </c>
      <c r="C1384" s="3">
        <v>172.15</v>
      </c>
      <c r="D1384" s="3">
        <f t="shared" si="44"/>
        <v>1.7074744978233924E-3</v>
      </c>
      <c r="E1384" s="3">
        <f t="shared" si="45"/>
        <v>4.3661836208533748E-3</v>
      </c>
    </row>
    <row r="1385" spans="1:5" x14ac:dyDescent="0.45">
      <c r="A1385" s="2">
        <v>42579</v>
      </c>
      <c r="B1385" s="3">
        <v>28208.62</v>
      </c>
      <c r="C1385" s="3">
        <v>175.1</v>
      </c>
      <c r="D1385" s="3">
        <f t="shared" si="44"/>
        <v>6.5545435474777328E-3</v>
      </c>
      <c r="E1385" s="3">
        <f t="shared" si="45"/>
        <v>1.6991049507273391E-2</v>
      </c>
    </row>
    <row r="1386" spans="1:5" x14ac:dyDescent="0.45">
      <c r="A1386" s="2">
        <v>42580</v>
      </c>
      <c r="B1386" s="3">
        <v>28051.86</v>
      </c>
      <c r="C1386" s="3">
        <v>175.9</v>
      </c>
      <c r="D1386" s="3">
        <f t="shared" si="44"/>
        <v>-5.5726650635162236E-3</v>
      </c>
      <c r="E1386" s="3">
        <f t="shared" si="45"/>
        <v>4.5584124517064079E-3</v>
      </c>
    </row>
    <row r="1387" spans="1:5" x14ac:dyDescent="0.45">
      <c r="A1387" s="2">
        <v>42583</v>
      </c>
      <c r="B1387" s="3">
        <v>28003.119999999999</v>
      </c>
      <c r="C1387" s="3">
        <v>177.25</v>
      </c>
      <c r="D1387" s="3">
        <f t="shared" si="44"/>
        <v>-1.7390073917813438E-3</v>
      </c>
      <c r="E1387" s="3">
        <f t="shared" si="45"/>
        <v>7.6455136687242787E-3</v>
      </c>
    </row>
    <row r="1388" spans="1:5" x14ac:dyDescent="0.45">
      <c r="A1388" s="2">
        <v>42584</v>
      </c>
      <c r="B1388" s="3">
        <v>27981.71</v>
      </c>
      <c r="C1388" s="3">
        <v>178.65</v>
      </c>
      <c r="D1388" s="3">
        <f t="shared" si="44"/>
        <v>-7.6485008684423891E-4</v>
      </c>
      <c r="E1388" s="3">
        <f t="shared" si="45"/>
        <v>7.8674190571819975E-3</v>
      </c>
    </row>
    <row r="1389" spans="1:5" x14ac:dyDescent="0.45">
      <c r="A1389" s="2">
        <v>42585</v>
      </c>
      <c r="B1389" s="3">
        <v>27697.51</v>
      </c>
      <c r="C1389" s="3">
        <v>175.9</v>
      </c>
      <c r="D1389" s="3">
        <f t="shared" si="44"/>
        <v>-1.0208564996045002E-2</v>
      </c>
      <c r="E1389" s="3">
        <f t="shared" si="45"/>
        <v>-1.5512932725906368E-2</v>
      </c>
    </row>
    <row r="1390" spans="1:5" x14ac:dyDescent="0.45">
      <c r="A1390" s="2">
        <v>42586</v>
      </c>
      <c r="B1390" s="3">
        <v>27714.37</v>
      </c>
      <c r="C1390" s="3">
        <v>177.8</v>
      </c>
      <c r="D1390" s="3">
        <f t="shared" si="44"/>
        <v>6.0853378446245839E-4</v>
      </c>
      <c r="E1390" s="3">
        <f t="shared" si="45"/>
        <v>1.0743671336291767E-2</v>
      </c>
    </row>
    <row r="1391" spans="1:5" x14ac:dyDescent="0.45">
      <c r="A1391" s="2">
        <v>42587</v>
      </c>
      <c r="B1391" s="3">
        <v>28078.35</v>
      </c>
      <c r="C1391" s="3">
        <v>176.6</v>
      </c>
      <c r="D1391" s="3">
        <f t="shared" si="44"/>
        <v>1.3047765506869346E-2</v>
      </c>
      <c r="E1391" s="3">
        <f t="shared" si="45"/>
        <v>-6.7720349099446965E-3</v>
      </c>
    </row>
    <row r="1392" spans="1:5" x14ac:dyDescent="0.45">
      <c r="A1392" s="2">
        <v>42590</v>
      </c>
      <c r="B1392" s="3">
        <v>28182.57</v>
      </c>
      <c r="C1392" s="3">
        <v>178.35</v>
      </c>
      <c r="D1392" s="3">
        <f t="shared" si="44"/>
        <v>3.7048849969671064E-3</v>
      </c>
      <c r="E1392" s="3">
        <f t="shared" si="45"/>
        <v>9.8606236350408175E-3</v>
      </c>
    </row>
    <row r="1393" spans="1:5" x14ac:dyDescent="0.45">
      <c r="A1393" s="2">
        <v>42591</v>
      </c>
      <c r="B1393" s="3">
        <v>28085.16</v>
      </c>
      <c r="C1393" s="3">
        <v>175.95</v>
      </c>
      <c r="D1393" s="3">
        <f t="shared" si="44"/>
        <v>-3.4623787848954584E-3</v>
      </c>
      <c r="E1393" s="3">
        <f t="shared" si="45"/>
        <v>-1.3548048037306358E-2</v>
      </c>
    </row>
    <row r="1394" spans="1:5" x14ac:dyDescent="0.45">
      <c r="A1394" s="2">
        <v>42592</v>
      </c>
      <c r="B1394" s="3">
        <v>27774.880000000001</v>
      </c>
      <c r="C1394" s="3">
        <v>174.4</v>
      </c>
      <c r="D1394" s="3">
        <f t="shared" si="44"/>
        <v>-1.1109307875127291E-2</v>
      </c>
      <c r="E1394" s="3">
        <f t="shared" si="45"/>
        <v>-8.8483522927148596E-3</v>
      </c>
    </row>
    <row r="1395" spans="1:5" x14ac:dyDescent="0.45">
      <c r="A1395" s="2">
        <v>42593</v>
      </c>
      <c r="B1395" s="3">
        <v>27859.599999999999</v>
      </c>
      <c r="C1395" s="3">
        <v>174</v>
      </c>
      <c r="D1395" s="3">
        <f t="shared" si="44"/>
        <v>3.0455956624775744E-3</v>
      </c>
      <c r="E1395" s="3">
        <f t="shared" si="45"/>
        <v>-2.296212260350268E-3</v>
      </c>
    </row>
    <row r="1396" spans="1:5" x14ac:dyDescent="0.45">
      <c r="A1396" s="2">
        <v>42594</v>
      </c>
      <c r="B1396" s="3">
        <v>28152.400000000001</v>
      </c>
      <c r="C1396" s="3">
        <v>177.9</v>
      </c>
      <c r="D1396" s="3">
        <f t="shared" si="44"/>
        <v>1.0454997753531696E-2</v>
      </c>
      <c r="E1396" s="3">
        <f t="shared" si="45"/>
        <v>2.2166295457260423E-2</v>
      </c>
    </row>
    <row r="1397" spans="1:5" x14ac:dyDescent="0.45">
      <c r="A1397" s="2">
        <v>42598</v>
      </c>
      <c r="B1397" s="3">
        <v>28064.61</v>
      </c>
      <c r="C1397" s="3">
        <v>177.55</v>
      </c>
      <c r="D1397" s="3">
        <f t="shared" si="44"/>
        <v>-3.123256514851232E-3</v>
      </c>
      <c r="E1397" s="3">
        <f t="shared" si="45"/>
        <v>-1.9693352826925248E-3</v>
      </c>
    </row>
    <row r="1398" spans="1:5" x14ac:dyDescent="0.45">
      <c r="A1398" s="2">
        <v>42599</v>
      </c>
      <c r="B1398" s="3">
        <v>28005.37</v>
      </c>
      <c r="C1398" s="3">
        <v>174.55</v>
      </c>
      <c r="D1398" s="3">
        <f t="shared" si="44"/>
        <v>-2.1130744845149377E-3</v>
      </c>
      <c r="E1398" s="3">
        <f t="shared" si="45"/>
        <v>-1.7041025838051879E-2</v>
      </c>
    </row>
    <row r="1399" spans="1:5" x14ac:dyDescent="0.45">
      <c r="A1399" s="2">
        <v>42600</v>
      </c>
      <c r="B1399" s="3">
        <v>28123.439999999999</v>
      </c>
      <c r="C1399" s="3">
        <v>181.95</v>
      </c>
      <c r="D1399" s="3">
        <f t="shared" si="44"/>
        <v>4.2071148186243962E-3</v>
      </c>
      <c r="E1399" s="3">
        <f t="shared" si="45"/>
        <v>4.1520690507123606E-2</v>
      </c>
    </row>
    <row r="1400" spans="1:5" x14ac:dyDescent="0.45">
      <c r="A1400" s="2">
        <v>42601</v>
      </c>
      <c r="B1400" s="3">
        <v>28077</v>
      </c>
      <c r="C1400" s="3">
        <v>180.9</v>
      </c>
      <c r="D1400" s="3">
        <f t="shared" si="44"/>
        <v>-1.6526564763559278E-3</v>
      </c>
      <c r="E1400" s="3">
        <f t="shared" si="45"/>
        <v>-5.7875316569192545E-3</v>
      </c>
    </row>
    <row r="1401" spans="1:5" x14ac:dyDescent="0.45">
      <c r="A1401" s="2">
        <v>42604</v>
      </c>
      <c r="B1401" s="3">
        <v>27985.54</v>
      </c>
      <c r="C1401" s="3">
        <v>181.3</v>
      </c>
      <c r="D1401" s="3">
        <f t="shared" si="44"/>
        <v>-3.2627876346164172E-3</v>
      </c>
      <c r="E1401" s="3">
        <f t="shared" si="45"/>
        <v>2.2087253595559106E-3</v>
      </c>
    </row>
    <row r="1402" spans="1:5" x14ac:dyDescent="0.45">
      <c r="A1402" s="2">
        <v>42605</v>
      </c>
      <c r="B1402" s="3">
        <v>27990.21</v>
      </c>
      <c r="C1402" s="3">
        <v>182</v>
      </c>
      <c r="D1402" s="3">
        <f t="shared" si="44"/>
        <v>1.6685797013288794E-4</v>
      </c>
      <c r="E1402" s="3">
        <f t="shared" si="45"/>
        <v>3.8535693159899723E-3</v>
      </c>
    </row>
    <row r="1403" spans="1:5" x14ac:dyDescent="0.45">
      <c r="A1403" s="2">
        <v>42606</v>
      </c>
      <c r="B1403" s="3">
        <v>28059.94</v>
      </c>
      <c r="C1403" s="3">
        <v>182.45</v>
      </c>
      <c r="D1403" s="3">
        <f t="shared" si="44"/>
        <v>2.4881302181583424E-3</v>
      </c>
      <c r="E1403" s="3">
        <f t="shared" si="45"/>
        <v>2.4694758056612895E-3</v>
      </c>
    </row>
    <row r="1404" spans="1:5" x14ac:dyDescent="0.45">
      <c r="A1404" s="2">
        <v>42607</v>
      </c>
      <c r="B1404" s="3">
        <v>27835.91</v>
      </c>
      <c r="C1404" s="3">
        <v>182.05</v>
      </c>
      <c r="D1404" s="3">
        <f t="shared" si="44"/>
        <v>-8.0160226426914932E-3</v>
      </c>
      <c r="E1404" s="3">
        <f t="shared" si="45"/>
        <v>-2.1947882610140481E-3</v>
      </c>
    </row>
    <row r="1405" spans="1:5" x14ac:dyDescent="0.45">
      <c r="A1405" s="2">
        <v>42608</v>
      </c>
      <c r="B1405" s="3">
        <v>27782.25</v>
      </c>
      <c r="C1405" s="3">
        <v>180.95</v>
      </c>
      <c r="D1405" s="3">
        <f t="shared" si="44"/>
        <v>-1.9295861872944916E-3</v>
      </c>
      <c r="E1405" s="3">
        <f t="shared" si="45"/>
        <v>-6.0606246116911818E-3</v>
      </c>
    </row>
    <row r="1406" spans="1:5" x14ac:dyDescent="0.45">
      <c r="A1406" s="2">
        <v>42611</v>
      </c>
      <c r="B1406" s="3">
        <v>27902.66</v>
      </c>
      <c r="C1406" s="3">
        <v>180.25</v>
      </c>
      <c r="D1406" s="3">
        <f t="shared" si="44"/>
        <v>4.3246972175773847E-3</v>
      </c>
      <c r="E1406" s="3">
        <f t="shared" si="45"/>
        <v>-3.8759738446929605E-3</v>
      </c>
    </row>
    <row r="1407" spans="1:5" x14ac:dyDescent="0.45">
      <c r="A1407" s="2">
        <v>42612</v>
      </c>
      <c r="B1407" s="3">
        <v>28343.01</v>
      </c>
      <c r="C1407" s="3">
        <v>183.05</v>
      </c>
      <c r="D1407" s="3">
        <f t="shared" si="44"/>
        <v>1.5658414141582196E-2</v>
      </c>
      <c r="E1407" s="3">
        <f t="shared" si="45"/>
        <v>1.5414563401186793E-2</v>
      </c>
    </row>
    <row r="1408" spans="1:5" x14ac:dyDescent="0.45">
      <c r="A1408" s="2">
        <v>42613</v>
      </c>
      <c r="B1408" s="3">
        <v>28452.17</v>
      </c>
      <c r="C1408" s="3">
        <v>184</v>
      </c>
      <c r="D1408" s="3">
        <f t="shared" si="44"/>
        <v>3.8439929027382666E-3</v>
      </c>
      <c r="E1408" s="3">
        <f t="shared" si="45"/>
        <v>5.1764180427402344E-3</v>
      </c>
    </row>
    <row r="1409" spans="1:5" x14ac:dyDescent="0.45">
      <c r="A1409" s="2">
        <v>42614</v>
      </c>
      <c r="B1409" s="3">
        <v>28423.48</v>
      </c>
      <c r="C1409" s="3">
        <v>184.05</v>
      </c>
      <c r="D1409" s="3">
        <f t="shared" si="44"/>
        <v>-1.0088676765337055E-3</v>
      </c>
      <c r="E1409" s="3">
        <f t="shared" si="45"/>
        <v>2.7170221604450056E-4</v>
      </c>
    </row>
    <row r="1410" spans="1:5" x14ac:dyDescent="0.45">
      <c r="A1410" s="2">
        <v>42615</v>
      </c>
      <c r="B1410" s="3">
        <v>28532.11</v>
      </c>
      <c r="C1410" s="3">
        <v>183.4</v>
      </c>
      <c r="D1410" s="3">
        <f t="shared" si="44"/>
        <v>3.8145555764199594E-3</v>
      </c>
      <c r="E1410" s="3">
        <f t="shared" si="45"/>
        <v>-3.5379000026656581E-3</v>
      </c>
    </row>
    <row r="1411" spans="1:5" x14ac:dyDescent="0.45">
      <c r="A1411" s="2">
        <v>42619</v>
      </c>
      <c r="B1411" s="3">
        <v>28978.02</v>
      </c>
      <c r="C1411" s="3">
        <v>186.65</v>
      </c>
      <c r="D1411" s="3">
        <f t="shared" si="44"/>
        <v>1.5507491848346622E-2</v>
      </c>
      <c r="E1411" s="3">
        <f t="shared" si="45"/>
        <v>1.7565645538228477E-2</v>
      </c>
    </row>
    <row r="1412" spans="1:5" x14ac:dyDescent="0.45">
      <c r="A1412" s="2">
        <v>42620</v>
      </c>
      <c r="B1412" s="3">
        <v>28926.36</v>
      </c>
      <c r="C1412" s="3">
        <v>184.75</v>
      </c>
      <c r="D1412" s="3">
        <f t="shared" si="44"/>
        <v>-1.7843214522380692E-3</v>
      </c>
      <c r="E1412" s="3">
        <f t="shared" si="45"/>
        <v>-1.0231645532281668E-2</v>
      </c>
    </row>
    <row r="1413" spans="1:5" x14ac:dyDescent="0.45">
      <c r="A1413" s="2">
        <v>42621</v>
      </c>
      <c r="B1413" s="3">
        <v>29045.279999999999</v>
      </c>
      <c r="C1413" s="3">
        <v>185.8</v>
      </c>
      <c r="D1413" s="3">
        <f t="shared" si="44"/>
        <v>4.1027014866805277E-3</v>
      </c>
      <c r="E1413" s="3">
        <f t="shared" si="45"/>
        <v>5.6672665514270575E-3</v>
      </c>
    </row>
    <row r="1414" spans="1:5" x14ac:dyDescent="0.45">
      <c r="A1414" s="2">
        <v>42622</v>
      </c>
      <c r="B1414" s="3">
        <v>28797.25</v>
      </c>
      <c r="C1414" s="3">
        <v>183.65</v>
      </c>
      <c r="D1414" s="3">
        <f t="shared" ref="D1414:D1477" si="46">LN(B1414/B1413)</f>
        <v>-8.5760951397908687E-3</v>
      </c>
      <c r="E1414" s="3">
        <f t="shared" ref="E1414:E1477" si="47">LN(C1414/C1413)</f>
        <v>-1.1639054114061834E-2</v>
      </c>
    </row>
    <row r="1415" spans="1:5" x14ac:dyDescent="0.45">
      <c r="A1415" s="2">
        <v>42625</v>
      </c>
      <c r="B1415" s="3">
        <v>28353.54</v>
      </c>
      <c r="C1415" s="3">
        <v>180.35</v>
      </c>
      <c r="D1415" s="3">
        <f t="shared" si="46"/>
        <v>-1.5528006368396822E-2</v>
      </c>
      <c r="E1415" s="3">
        <f t="shared" si="47"/>
        <v>-1.81323649161284E-2</v>
      </c>
    </row>
    <row r="1416" spans="1:5" x14ac:dyDescent="0.45">
      <c r="A1416" s="2">
        <v>42627</v>
      </c>
      <c r="B1416" s="3">
        <v>28372.23</v>
      </c>
      <c r="C1416" s="3">
        <v>179.25</v>
      </c>
      <c r="D1416" s="3">
        <f t="shared" si="46"/>
        <v>6.5895978763485727E-4</v>
      </c>
      <c r="E1416" s="3">
        <f t="shared" si="47"/>
        <v>-6.1179278698182352E-3</v>
      </c>
    </row>
    <row r="1417" spans="1:5" x14ac:dyDescent="0.45">
      <c r="A1417" s="2">
        <v>42628</v>
      </c>
      <c r="B1417" s="3">
        <v>28412.89</v>
      </c>
      <c r="C1417" s="3">
        <v>174.95</v>
      </c>
      <c r="D1417" s="3">
        <f t="shared" si="46"/>
        <v>1.4320655463554617E-3</v>
      </c>
      <c r="E1417" s="3">
        <f t="shared" si="47"/>
        <v>-2.4281260666032794E-2</v>
      </c>
    </row>
    <row r="1418" spans="1:5" x14ac:dyDescent="0.45">
      <c r="A1418" s="2">
        <v>42629</v>
      </c>
      <c r="B1418" s="3">
        <v>28599.03</v>
      </c>
      <c r="C1418" s="3">
        <v>175.55</v>
      </c>
      <c r="D1418" s="3">
        <f t="shared" si="46"/>
        <v>6.5298857294336203E-3</v>
      </c>
      <c r="E1418" s="3">
        <f t="shared" si="47"/>
        <v>3.4236838007443834E-3</v>
      </c>
    </row>
    <row r="1419" spans="1:5" x14ac:dyDescent="0.45">
      <c r="A1419" s="2">
        <v>42632</v>
      </c>
      <c r="B1419" s="3">
        <v>28634.5</v>
      </c>
      <c r="C1419" s="3">
        <v>177.25</v>
      </c>
      <c r="D1419" s="3">
        <f t="shared" si="46"/>
        <v>1.2394833777020732E-3</v>
      </c>
      <c r="E1419" s="3">
        <f t="shared" si="47"/>
        <v>9.6372627977956496E-3</v>
      </c>
    </row>
    <row r="1420" spans="1:5" x14ac:dyDescent="0.45">
      <c r="A1420" s="2">
        <v>42633</v>
      </c>
      <c r="B1420" s="3">
        <v>28523.200000000001</v>
      </c>
      <c r="C1420" s="3">
        <v>177.95</v>
      </c>
      <c r="D1420" s="3">
        <f t="shared" si="46"/>
        <v>-3.8944933289693051E-3</v>
      </c>
      <c r="E1420" s="3">
        <f t="shared" si="47"/>
        <v>3.9414465439648397E-3</v>
      </c>
    </row>
    <row r="1421" spans="1:5" x14ac:dyDescent="0.45">
      <c r="A1421" s="2">
        <v>42634</v>
      </c>
      <c r="B1421" s="3">
        <v>28507.42</v>
      </c>
      <c r="C1421" s="3">
        <v>175.35</v>
      </c>
      <c r="D1421" s="3">
        <f t="shared" si="46"/>
        <v>-5.533869490706142E-4</v>
      </c>
      <c r="E1421" s="3">
        <f t="shared" si="47"/>
        <v>-1.4718635370014556E-2</v>
      </c>
    </row>
    <row r="1422" spans="1:5" x14ac:dyDescent="0.45">
      <c r="A1422" s="2">
        <v>42635</v>
      </c>
      <c r="B1422" s="3">
        <v>28773.13</v>
      </c>
      <c r="C1422" s="3">
        <v>178.4</v>
      </c>
      <c r="D1422" s="3">
        <f t="shared" si="46"/>
        <v>9.2775612619584915E-3</v>
      </c>
      <c r="E1422" s="3">
        <f t="shared" si="47"/>
        <v>1.7244243559721938E-2</v>
      </c>
    </row>
    <row r="1423" spans="1:5" x14ac:dyDescent="0.45">
      <c r="A1423" s="2">
        <v>42636</v>
      </c>
      <c r="B1423" s="3">
        <v>28668.22</v>
      </c>
      <c r="C1423" s="3">
        <v>175.8</v>
      </c>
      <c r="D1423" s="3">
        <f t="shared" si="46"/>
        <v>-3.6527733644489478E-3</v>
      </c>
      <c r="E1423" s="3">
        <f t="shared" si="47"/>
        <v>-1.4681234894832366E-2</v>
      </c>
    </row>
    <row r="1424" spans="1:5" x14ac:dyDescent="0.45">
      <c r="A1424" s="2">
        <v>42639</v>
      </c>
      <c r="B1424" s="3">
        <v>28294.28</v>
      </c>
      <c r="C1424" s="3">
        <v>175.2</v>
      </c>
      <c r="D1424" s="3">
        <f t="shared" si="46"/>
        <v>-1.312952808507831E-2</v>
      </c>
      <c r="E1424" s="3">
        <f t="shared" si="47"/>
        <v>-3.4188067487857204E-3</v>
      </c>
    </row>
    <row r="1425" spans="1:5" x14ac:dyDescent="0.45">
      <c r="A1425" s="2">
        <v>42640</v>
      </c>
      <c r="B1425" s="3">
        <v>28223.7</v>
      </c>
      <c r="C1425" s="3">
        <v>176.05</v>
      </c>
      <c r="D1425" s="3">
        <f t="shared" si="46"/>
        <v>-2.4976135626313695E-3</v>
      </c>
      <c r="E1425" s="3">
        <f t="shared" si="47"/>
        <v>4.8398670987706846E-3</v>
      </c>
    </row>
    <row r="1426" spans="1:5" x14ac:dyDescent="0.45">
      <c r="A1426" s="2">
        <v>42641</v>
      </c>
      <c r="B1426" s="3">
        <v>28292.81</v>
      </c>
      <c r="C1426" s="3">
        <v>178.3</v>
      </c>
      <c r="D1426" s="3">
        <f t="shared" si="46"/>
        <v>2.4456582491373755E-3</v>
      </c>
      <c r="E1426" s="3">
        <f t="shared" si="47"/>
        <v>1.2699479268033258E-2</v>
      </c>
    </row>
    <row r="1427" spans="1:5" x14ac:dyDescent="0.45">
      <c r="A1427" s="2">
        <v>42642</v>
      </c>
      <c r="B1427" s="3">
        <v>27827.53</v>
      </c>
      <c r="C1427" s="3">
        <v>173.6</v>
      </c>
      <c r="D1427" s="3">
        <f t="shared" si="46"/>
        <v>-1.6581890310409828E-2</v>
      </c>
      <c r="E1427" s="3">
        <f t="shared" si="47"/>
        <v>-2.6713722642844998E-2</v>
      </c>
    </row>
    <row r="1428" spans="1:5" x14ac:dyDescent="0.45">
      <c r="A1428" s="2">
        <v>42643</v>
      </c>
      <c r="B1428" s="3">
        <v>27865.96</v>
      </c>
      <c r="C1428" s="3">
        <v>176.35</v>
      </c>
      <c r="D1428" s="3">
        <f t="shared" si="46"/>
        <v>1.3800537944136473E-3</v>
      </c>
      <c r="E1428" s="3">
        <f t="shared" si="47"/>
        <v>1.57168544558112E-2</v>
      </c>
    </row>
    <row r="1429" spans="1:5" x14ac:dyDescent="0.45">
      <c r="A1429" s="2">
        <v>42646</v>
      </c>
      <c r="B1429" s="3">
        <v>28243.29</v>
      </c>
      <c r="C1429" s="3">
        <v>181.15</v>
      </c>
      <c r="D1429" s="3">
        <f t="shared" si="46"/>
        <v>1.3450035006378411E-2</v>
      </c>
      <c r="E1429" s="3">
        <f t="shared" si="47"/>
        <v>2.6854760659025406E-2</v>
      </c>
    </row>
    <row r="1430" spans="1:5" x14ac:dyDescent="0.45">
      <c r="A1430" s="2">
        <v>42647</v>
      </c>
      <c r="B1430" s="3">
        <v>28334.55</v>
      </c>
      <c r="C1430" s="3">
        <v>180.7</v>
      </c>
      <c r="D1430" s="3">
        <f t="shared" si="46"/>
        <v>3.2260008210224034E-3</v>
      </c>
      <c r="E1430" s="3">
        <f t="shared" si="47"/>
        <v>-2.4872197429035309E-3</v>
      </c>
    </row>
    <row r="1431" spans="1:5" x14ac:dyDescent="0.45">
      <c r="A1431" s="2">
        <v>42648</v>
      </c>
      <c r="B1431" s="3">
        <v>28220.98</v>
      </c>
      <c r="C1431" s="3">
        <v>180.8</v>
      </c>
      <c r="D1431" s="3">
        <f t="shared" si="46"/>
        <v>-4.016235111167144E-3</v>
      </c>
      <c r="E1431" s="3">
        <f t="shared" si="47"/>
        <v>5.5325035989348028E-4</v>
      </c>
    </row>
    <row r="1432" spans="1:5" x14ac:dyDescent="0.45">
      <c r="A1432" s="2">
        <v>42649</v>
      </c>
      <c r="B1432" s="3">
        <v>28106.21</v>
      </c>
      <c r="C1432" s="3">
        <v>177.9</v>
      </c>
      <c r="D1432" s="3">
        <f t="shared" si="46"/>
        <v>-4.0751246006993508E-3</v>
      </c>
      <c r="E1432" s="3">
        <f t="shared" si="47"/>
        <v>-1.6169853286286645E-2</v>
      </c>
    </row>
    <row r="1433" spans="1:5" x14ac:dyDescent="0.45">
      <c r="A1433" s="2">
        <v>42650</v>
      </c>
      <c r="B1433" s="3">
        <v>28061.14</v>
      </c>
      <c r="C1433" s="3">
        <v>177</v>
      </c>
      <c r="D1433" s="3">
        <f t="shared" si="46"/>
        <v>-1.6048472884434835E-3</v>
      </c>
      <c r="E1433" s="3">
        <f t="shared" si="47"/>
        <v>-5.0718620979603403E-3</v>
      </c>
    </row>
    <row r="1434" spans="1:5" x14ac:dyDescent="0.45">
      <c r="A1434" s="2">
        <v>42653</v>
      </c>
      <c r="B1434" s="3">
        <v>28082.34</v>
      </c>
      <c r="C1434" s="3">
        <v>178</v>
      </c>
      <c r="D1434" s="3">
        <f t="shared" si="46"/>
        <v>7.5520794249310833E-4</v>
      </c>
      <c r="E1434" s="3">
        <f t="shared" si="47"/>
        <v>5.6338177182560642E-3</v>
      </c>
    </row>
    <row r="1435" spans="1:5" x14ac:dyDescent="0.45">
      <c r="A1435" s="2">
        <v>42656</v>
      </c>
      <c r="B1435" s="3">
        <v>27643.11</v>
      </c>
      <c r="C1435" s="3">
        <v>174.45</v>
      </c>
      <c r="D1435" s="3">
        <f t="shared" si="46"/>
        <v>-1.5764398359405608E-2</v>
      </c>
      <c r="E1435" s="3">
        <f t="shared" si="47"/>
        <v>-2.0145382659302113E-2</v>
      </c>
    </row>
    <row r="1436" spans="1:5" x14ac:dyDescent="0.45">
      <c r="A1436" s="2">
        <v>42657</v>
      </c>
      <c r="B1436" s="3">
        <v>27673.599999999999</v>
      </c>
      <c r="C1436" s="3">
        <v>177.4</v>
      </c>
      <c r="D1436" s="3">
        <f t="shared" si="46"/>
        <v>1.1023794830792976E-3</v>
      </c>
      <c r="E1436" s="3">
        <f t="shared" si="47"/>
        <v>1.6768902242696029E-2</v>
      </c>
    </row>
    <row r="1437" spans="1:5" x14ac:dyDescent="0.45">
      <c r="A1437" s="2">
        <v>42660</v>
      </c>
      <c r="B1437" s="3">
        <v>27529.97</v>
      </c>
      <c r="C1437" s="3">
        <v>175.75</v>
      </c>
      <c r="D1437" s="3">
        <f t="shared" si="46"/>
        <v>-5.203660708970867E-3</v>
      </c>
      <c r="E1437" s="3">
        <f t="shared" si="47"/>
        <v>-9.344539184704825E-3</v>
      </c>
    </row>
    <row r="1438" spans="1:5" x14ac:dyDescent="0.45">
      <c r="A1438" s="2">
        <v>42661</v>
      </c>
      <c r="B1438" s="3">
        <v>28050.880000000001</v>
      </c>
      <c r="C1438" s="3">
        <v>176.35</v>
      </c>
      <c r="D1438" s="3">
        <f t="shared" si="46"/>
        <v>1.8744774591999691E-2</v>
      </c>
      <c r="E1438" s="3">
        <f t="shared" si="47"/>
        <v>3.4081259912867737E-3</v>
      </c>
    </row>
    <row r="1439" spans="1:5" x14ac:dyDescent="0.45">
      <c r="A1439" s="2">
        <v>42662</v>
      </c>
      <c r="B1439" s="3">
        <v>27984.37</v>
      </c>
      <c r="C1439" s="3">
        <v>178.05</v>
      </c>
      <c r="D1439" s="3">
        <f t="shared" si="46"/>
        <v>-2.3738639957263572E-3</v>
      </c>
      <c r="E1439" s="3">
        <f t="shared" si="47"/>
        <v>9.5937530417257218E-3</v>
      </c>
    </row>
    <row r="1440" spans="1:5" x14ac:dyDescent="0.45">
      <c r="A1440" s="2">
        <v>42663</v>
      </c>
      <c r="B1440" s="3">
        <v>28129.84</v>
      </c>
      <c r="C1440" s="3">
        <v>178.1</v>
      </c>
      <c r="D1440" s="3">
        <f t="shared" si="46"/>
        <v>5.1847945779883164E-3</v>
      </c>
      <c r="E1440" s="3">
        <f t="shared" si="47"/>
        <v>2.8078057182919538E-4</v>
      </c>
    </row>
    <row r="1441" spans="1:5" x14ac:dyDescent="0.45">
      <c r="A1441" s="2">
        <v>42664</v>
      </c>
      <c r="B1441" s="3">
        <v>28077.18</v>
      </c>
      <c r="C1441" s="3">
        <v>176.2</v>
      </c>
      <c r="D1441" s="3">
        <f t="shared" si="46"/>
        <v>-1.8737878438598041E-3</v>
      </c>
      <c r="E1441" s="3">
        <f t="shared" si="47"/>
        <v>-1.072547679353689E-2</v>
      </c>
    </row>
    <row r="1442" spans="1:5" x14ac:dyDescent="0.45">
      <c r="A1442" s="2">
        <v>42667</v>
      </c>
      <c r="B1442" s="3">
        <v>28179.08</v>
      </c>
      <c r="C1442" s="3">
        <v>176.05</v>
      </c>
      <c r="D1442" s="3">
        <f t="shared" si="46"/>
        <v>3.6227119060158325E-3</v>
      </c>
      <c r="E1442" s="3">
        <f t="shared" si="47"/>
        <v>-8.5166790101752542E-4</v>
      </c>
    </row>
    <row r="1443" spans="1:5" x14ac:dyDescent="0.45">
      <c r="A1443" s="2">
        <v>42668</v>
      </c>
      <c r="B1443" s="3">
        <v>28091.42</v>
      </c>
      <c r="C1443" s="3">
        <v>178.05</v>
      </c>
      <c r="D1443" s="3">
        <f t="shared" si="46"/>
        <v>-3.1156670337889386E-3</v>
      </c>
      <c r="E1443" s="3">
        <f t="shared" si="47"/>
        <v>1.1296364122725141E-2</v>
      </c>
    </row>
    <row r="1444" spans="1:5" x14ac:dyDescent="0.45">
      <c r="A1444" s="2">
        <v>42669</v>
      </c>
      <c r="B1444" s="3">
        <v>27836.51</v>
      </c>
      <c r="C1444" s="3">
        <v>175.95</v>
      </c>
      <c r="D1444" s="3">
        <f t="shared" si="46"/>
        <v>-9.1157232235500631E-3</v>
      </c>
      <c r="E1444" s="3">
        <f t="shared" si="47"/>
        <v>-1.1864545956192692E-2</v>
      </c>
    </row>
    <row r="1445" spans="1:5" x14ac:dyDescent="0.45">
      <c r="A1445" s="2">
        <v>42670</v>
      </c>
      <c r="B1445" s="3">
        <v>27915.9</v>
      </c>
      <c r="C1445" s="3">
        <v>176</v>
      </c>
      <c r="D1445" s="3">
        <f t="shared" si="46"/>
        <v>2.8479505606966E-3</v>
      </c>
      <c r="E1445" s="3">
        <f t="shared" si="47"/>
        <v>2.8413127055768787E-4</v>
      </c>
    </row>
    <row r="1446" spans="1:5" x14ac:dyDescent="0.45">
      <c r="A1446" s="2">
        <v>42671</v>
      </c>
      <c r="B1446" s="3">
        <v>27941.51</v>
      </c>
      <c r="C1446" s="3">
        <v>176</v>
      </c>
      <c r="D1446" s="3">
        <f t="shared" si="46"/>
        <v>9.1697777589435704E-4</v>
      </c>
      <c r="E1446" s="3">
        <f t="shared" si="47"/>
        <v>0</v>
      </c>
    </row>
    <row r="1447" spans="1:5" x14ac:dyDescent="0.45">
      <c r="A1447" s="2">
        <v>42673</v>
      </c>
      <c r="B1447" s="3">
        <v>27930.21</v>
      </c>
      <c r="C1447" s="3">
        <v>174.95</v>
      </c>
      <c r="D1447" s="3">
        <f t="shared" si="46"/>
        <v>-4.0449802347499239E-4</v>
      </c>
      <c r="E1447" s="3">
        <f t="shared" si="47"/>
        <v>-5.9837762244547626E-3</v>
      </c>
    </row>
    <row r="1448" spans="1:5" x14ac:dyDescent="0.45">
      <c r="A1448" s="2">
        <v>42675</v>
      </c>
      <c r="B1448" s="3">
        <v>27876.61</v>
      </c>
      <c r="C1448" s="3">
        <v>176.95</v>
      </c>
      <c r="D1448" s="3">
        <f t="shared" si="46"/>
        <v>-1.9209127659156134E-3</v>
      </c>
      <c r="E1448" s="3">
        <f t="shared" si="47"/>
        <v>1.1366987977775248E-2</v>
      </c>
    </row>
    <row r="1449" spans="1:5" x14ac:dyDescent="0.45">
      <c r="A1449" s="2">
        <v>42676</v>
      </c>
      <c r="B1449" s="3">
        <v>27527.22</v>
      </c>
      <c r="C1449" s="3">
        <v>175.15</v>
      </c>
      <c r="D1449" s="3">
        <f t="shared" si="46"/>
        <v>-1.2612652652553874E-2</v>
      </c>
      <c r="E1449" s="3">
        <f t="shared" si="47"/>
        <v>-1.0224457147976497E-2</v>
      </c>
    </row>
    <row r="1450" spans="1:5" x14ac:dyDescent="0.45">
      <c r="A1450" s="2">
        <v>42677</v>
      </c>
      <c r="B1450" s="3">
        <v>27430.28</v>
      </c>
      <c r="C1450" s="3">
        <v>174.5</v>
      </c>
      <c r="D1450" s="3">
        <f t="shared" si="46"/>
        <v>-3.5278206082528423E-3</v>
      </c>
      <c r="E1450" s="3">
        <f t="shared" si="47"/>
        <v>-3.7180080010139551E-3</v>
      </c>
    </row>
    <row r="1451" spans="1:5" x14ac:dyDescent="0.45">
      <c r="A1451" s="2">
        <v>42678</v>
      </c>
      <c r="B1451" s="3">
        <v>27274.15</v>
      </c>
      <c r="C1451" s="3">
        <v>173.45</v>
      </c>
      <c r="D1451" s="3">
        <f t="shared" si="46"/>
        <v>-5.7081455352255388E-3</v>
      </c>
      <c r="E1451" s="3">
        <f t="shared" si="47"/>
        <v>-6.0353682267231699E-3</v>
      </c>
    </row>
    <row r="1452" spans="1:5" x14ac:dyDescent="0.45">
      <c r="A1452" s="2">
        <v>42681</v>
      </c>
      <c r="B1452" s="3">
        <v>27458.99</v>
      </c>
      <c r="C1452" s="3">
        <v>174.1</v>
      </c>
      <c r="D1452" s="3">
        <f t="shared" si="46"/>
        <v>6.7542517274997663E-3</v>
      </c>
      <c r="E1452" s="3">
        <f t="shared" si="47"/>
        <v>3.7404733583847028E-3</v>
      </c>
    </row>
    <row r="1453" spans="1:5" x14ac:dyDescent="0.45">
      <c r="A1453" s="2">
        <v>42682</v>
      </c>
      <c r="B1453" s="3">
        <v>27591.14</v>
      </c>
      <c r="C1453" s="3">
        <v>177</v>
      </c>
      <c r="D1453" s="3">
        <f t="shared" si="46"/>
        <v>4.8010878028050237E-3</v>
      </c>
      <c r="E1453" s="3">
        <f t="shared" si="47"/>
        <v>1.6519885799685712E-2</v>
      </c>
    </row>
    <row r="1454" spans="1:5" x14ac:dyDescent="0.45">
      <c r="A1454" s="2">
        <v>42683</v>
      </c>
      <c r="B1454" s="3">
        <v>27252.53</v>
      </c>
      <c r="C1454" s="3">
        <v>180.45</v>
      </c>
      <c r="D1454" s="3">
        <f t="shared" si="46"/>
        <v>-1.23483458579594E-2</v>
      </c>
      <c r="E1454" s="3">
        <f t="shared" si="47"/>
        <v>1.9303998514968296E-2</v>
      </c>
    </row>
    <row r="1455" spans="1:5" x14ac:dyDescent="0.45">
      <c r="A1455" s="2">
        <v>42684</v>
      </c>
      <c r="B1455" s="3">
        <v>27517.68</v>
      </c>
      <c r="C1455" s="3">
        <v>188.35</v>
      </c>
      <c r="D1455" s="3">
        <f t="shared" si="46"/>
        <v>9.6823463497113151E-3</v>
      </c>
      <c r="E1455" s="3">
        <f t="shared" si="47"/>
        <v>4.2848203049252631E-2</v>
      </c>
    </row>
    <row r="1456" spans="1:5" x14ac:dyDescent="0.45">
      <c r="A1456" s="2">
        <v>42685</v>
      </c>
      <c r="B1456" s="3">
        <v>26818.82</v>
      </c>
      <c r="C1456" s="3">
        <v>183.15</v>
      </c>
      <c r="D1456" s="3">
        <f t="shared" si="46"/>
        <v>-2.5724827317436843E-2</v>
      </c>
      <c r="E1456" s="3">
        <f t="shared" si="47"/>
        <v>-2.799644491322658E-2</v>
      </c>
    </row>
    <row r="1457" spans="1:5" x14ac:dyDescent="0.45">
      <c r="A1457" s="2">
        <v>42689</v>
      </c>
      <c r="B1457" s="3">
        <v>26304.63</v>
      </c>
      <c r="C1457" s="3">
        <v>184.4</v>
      </c>
      <c r="D1457" s="3">
        <f t="shared" si="46"/>
        <v>-1.9358910551601598E-2</v>
      </c>
      <c r="E1457" s="3">
        <f t="shared" si="47"/>
        <v>6.8018218976701132E-3</v>
      </c>
    </row>
    <row r="1458" spans="1:5" x14ac:dyDescent="0.45">
      <c r="A1458" s="2">
        <v>42690</v>
      </c>
      <c r="B1458" s="3">
        <v>26298.69</v>
      </c>
      <c r="C1458" s="3">
        <v>187.95</v>
      </c>
      <c r="D1458" s="3">
        <f t="shared" si="46"/>
        <v>-2.2584125964861279E-4</v>
      </c>
      <c r="E1458" s="3">
        <f t="shared" si="47"/>
        <v>1.9068658887693428E-2</v>
      </c>
    </row>
    <row r="1459" spans="1:5" x14ac:dyDescent="0.45">
      <c r="A1459" s="2">
        <v>42691</v>
      </c>
      <c r="B1459" s="3">
        <v>26227.62</v>
      </c>
      <c r="C1459" s="3">
        <v>192.95</v>
      </c>
      <c r="D1459" s="3">
        <f t="shared" si="46"/>
        <v>-2.7060740938967798E-3</v>
      </c>
      <c r="E1459" s="3">
        <f t="shared" si="47"/>
        <v>2.6255117973440704E-2</v>
      </c>
    </row>
    <row r="1460" spans="1:5" x14ac:dyDescent="0.45">
      <c r="A1460" s="2">
        <v>42692</v>
      </c>
      <c r="B1460" s="3">
        <v>26150.240000000002</v>
      </c>
      <c r="C1460" s="3">
        <v>191.9</v>
      </c>
      <c r="D1460" s="3">
        <f t="shared" si="46"/>
        <v>-2.9546856742531944E-3</v>
      </c>
      <c r="E1460" s="3">
        <f t="shared" si="47"/>
        <v>-5.456684969973466E-3</v>
      </c>
    </row>
    <row r="1461" spans="1:5" x14ac:dyDescent="0.45">
      <c r="A1461" s="2">
        <v>42695</v>
      </c>
      <c r="B1461" s="3">
        <v>25765.14</v>
      </c>
      <c r="C1461" s="3">
        <v>185.05</v>
      </c>
      <c r="D1461" s="3">
        <f t="shared" si="46"/>
        <v>-1.4835952795733272E-2</v>
      </c>
      <c r="E1461" s="3">
        <f t="shared" si="47"/>
        <v>-3.6348344181489238E-2</v>
      </c>
    </row>
    <row r="1462" spans="1:5" x14ac:dyDescent="0.45">
      <c r="A1462" s="2">
        <v>42696</v>
      </c>
      <c r="B1462" s="3">
        <v>25960.78</v>
      </c>
      <c r="C1462" s="3">
        <v>184.1</v>
      </c>
      <c r="D1462" s="3">
        <f t="shared" si="46"/>
        <v>7.5645221161214516E-3</v>
      </c>
      <c r="E1462" s="3">
        <f t="shared" si="47"/>
        <v>-5.146970593132928E-3</v>
      </c>
    </row>
    <row r="1463" spans="1:5" x14ac:dyDescent="0.45">
      <c r="A1463" s="2">
        <v>42697</v>
      </c>
      <c r="B1463" s="3">
        <v>26051.81</v>
      </c>
      <c r="C1463" s="3">
        <v>181.85</v>
      </c>
      <c r="D1463" s="3">
        <f t="shared" si="46"/>
        <v>3.5003099419928293E-3</v>
      </c>
      <c r="E1463" s="3">
        <f t="shared" si="47"/>
        <v>-1.22969168060341E-2</v>
      </c>
    </row>
    <row r="1464" spans="1:5" x14ac:dyDescent="0.45">
      <c r="A1464" s="2">
        <v>42698</v>
      </c>
      <c r="B1464" s="3">
        <v>25860.17</v>
      </c>
      <c r="C1464" s="3">
        <v>185.35</v>
      </c>
      <c r="D1464" s="3">
        <f t="shared" si="46"/>
        <v>-7.3833003701190992E-3</v>
      </c>
      <c r="E1464" s="3">
        <f t="shared" si="47"/>
        <v>1.9063758163743338E-2</v>
      </c>
    </row>
    <row r="1465" spans="1:5" x14ac:dyDescent="0.45">
      <c r="A1465" s="2">
        <v>42699</v>
      </c>
      <c r="B1465" s="3">
        <v>26316.34</v>
      </c>
      <c r="C1465" s="3">
        <v>188.35</v>
      </c>
      <c r="D1465" s="3">
        <f t="shared" si="46"/>
        <v>1.7486091855585414E-2</v>
      </c>
      <c r="E1465" s="3">
        <f t="shared" si="47"/>
        <v>1.6056004541308695E-2</v>
      </c>
    </row>
    <row r="1466" spans="1:5" x14ac:dyDescent="0.45">
      <c r="A1466" s="2">
        <v>42702</v>
      </c>
      <c r="B1466" s="3">
        <v>26350.17</v>
      </c>
      <c r="C1466" s="3">
        <v>191</v>
      </c>
      <c r="D1466" s="3">
        <f t="shared" si="46"/>
        <v>1.2846875425317646E-3</v>
      </c>
      <c r="E1466" s="3">
        <f t="shared" si="47"/>
        <v>1.397149390857976E-2</v>
      </c>
    </row>
    <row r="1467" spans="1:5" x14ac:dyDescent="0.45">
      <c r="A1467" s="2">
        <v>42703</v>
      </c>
      <c r="B1467" s="3">
        <v>26394.01</v>
      </c>
      <c r="C1467" s="3">
        <v>189.95</v>
      </c>
      <c r="D1467" s="3">
        <f t="shared" si="46"/>
        <v>1.6623638890893614E-3</v>
      </c>
      <c r="E1467" s="3">
        <f t="shared" si="47"/>
        <v>-5.5125484129953202E-3</v>
      </c>
    </row>
    <row r="1468" spans="1:5" x14ac:dyDescent="0.45">
      <c r="A1468" s="2">
        <v>42704</v>
      </c>
      <c r="B1468" s="3">
        <v>26652.81</v>
      </c>
      <c r="C1468" s="3">
        <v>192</v>
      </c>
      <c r="D1468" s="3">
        <f t="shared" si="46"/>
        <v>9.7574954853630515E-3</v>
      </c>
      <c r="E1468" s="3">
        <f t="shared" si="47"/>
        <v>1.073449239414693E-2</v>
      </c>
    </row>
    <row r="1469" spans="1:5" x14ac:dyDescent="0.45">
      <c r="A1469" s="2">
        <v>42705</v>
      </c>
      <c r="B1469" s="3">
        <v>26559.919999999998</v>
      </c>
      <c r="C1469" s="3">
        <v>184.4</v>
      </c>
      <c r="D1469" s="3">
        <f t="shared" si="46"/>
        <v>-3.4912733984114302E-3</v>
      </c>
      <c r="E1469" s="3">
        <f t="shared" si="47"/>
        <v>-4.0388060905288063E-2</v>
      </c>
    </row>
    <row r="1470" spans="1:5" x14ac:dyDescent="0.45">
      <c r="A1470" s="2">
        <v>42706</v>
      </c>
      <c r="B1470" s="3">
        <v>26230.66</v>
      </c>
      <c r="C1470" s="3">
        <v>183.85</v>
      </c>
      <c r="D1470" s="3">
        <f t="shared" si="46"/>
        <v>-1.2474356965068311E-2</v>
      </c>
      <c r="E1470" s="3">
        <f t="shared" si="47"/>
        <v>-2.9871033752124983E-3</v>
      </c>
    </row>
    <row r="1471" spans="1:5" x14ac:dyDescent="0.45">
      <c r="A1471" s="2">
        <v>42709</v>
      </c>
      <c r="B1471" s="3">
        <v>26349.1</v>
      </c>
      <c r="C1471" s="3">
        <v>184.95</v>
      </c>
      <c r="D1471" s="3">
        <f t="shared" si="46"/>
        <v>4.50516321589695E-3</v>
      </c>
      <c r="E1471" s="3">
        <f t="shared" si="47"/>
        <v>5.965310531182039E-3</v>
      </c>
    </row>
    <row r="1472" spans="1:5" x14ac:dyDescent="0.45">
      <c r="A1472" s="2">
        <v>42710</v>
      </c>
      <c r="B1472" s="3">
        <v>26392.76</v>
      </c>
      <c r="C1472" s="3">
        <v>182.9</v>
      </c>
      <c r="D1472" s="3">
        <f t="shared" si="46"/>
        <v>1.6556113103650852E-3</v>
      </c>
      <c r="E1472" s="3">
        <f t="shared" si="47"/>
        <v>-1.1145962881642883E-2</v>
      </c>
    </row>
    <row r="1473" spans="1:5" x14ac:dyDescent="0.45">
      <c r="A1473" s="2">
        <v>42711</v>
      </c>
      <c r="B1473" s="3">
        <v>26236.87</v>
      </c>
      <c r="C1473" s="3">
        <v>182.45</v>
      </c>
      <c r="D1473" s="3">
        <f t="shared" si="46"/>
        <v>-5.9240566922417054E-3</v>
      </c>
      <c r="E1473" s="3">
        <f t="shared" si="47"/>
        <v>-2.4633925143634937E-3</v>
      </c>
    </row>
    <row r="1474" spans="1:5" x14ac:dyDescent="0.45">
      <c r="A1474" s="2">
        <v>42712</v>
      </c>
      <c r="B1474" s="3">
        <v>26694.28</v>
      </c>
      <c r="C1474" s="3">
        <v>185.65</v>
      </c>
      <c r="D1474" s="3">
        <f t="shared" si="46"/>
        <v>1.7283636821012027E-2</v>
      </c>
      <c r="E1474" s="3">
        <f t="shared" si="47"/>
        <v>1.7387017740632577E-2</v>
      </c>
    </row>
    <row r="1475" spans="1:5" x14ac:dyDescent="0.45">
      <c r="A1475" s="2">
        <v>42713</v>
      </c>
      <c r="B1475" s="3">
        <v>26747.18</v>
      </c>
      <c r="C1475" s="3">
        <v>184.55</v>
      </c>
      <c r="D1475" s="3">
        <f t="shared" si="46"/>
        <v>1.9797369786619099E-3</v>
      </c>
      <c r="E1475" s="3">
        <f t="shared" si="47"/>
        <v>-5.9427511470814777E-3</v>
      </c>
    </row>
    <row r="1476" spans="1:5" x14ac:dyDescent="0.45">
      <c r="A1476" s="2">
        <v>42716</v>
      </c>
      <c r="B1476" s="3">
        <v>26515.24</v>
      </c>
      <c r="C1476" s="3">
        <v>184.9</v>
      </c>
      <c r="D1476" s="3">
        <f t="shared" si="46"/>
        <v>-8.7093851957069021E-3</v>
      </c>
      <c r="E1476" s="3">
        <f t="shared" si="47"/>
        <v>1.8947089170715079E-3</v>
      </c>
    </row>
    <row r="1477" spans="1:5" x14ac:dyDescent="0.45">
      <c r="A1477" s="2">
        <v>42717</v>
      </c>
      <c r="B1477" s="3">
        <v>26697.82</v>
      </c>
      <c r="C1477" s="3">
        <v>185.2</v>
      </c>
      <c r="D1477" s="3">
        <f t="shared" si="46"/>
        <v>6.8622521043313301E-3</v>
      </c>
      <c r="E1477" s="3">
        <f t="shared" si="47"/>
        <v>1.621183818999689E-3</v>
      </c>
    </row>
    <row r="1478" spans="1:5" x14ac:dyDescent="0.45">
      <c r="A1478" s="2">
        <v>42718</v>
      </c>
      <c r="B1478" s="3">
        <v>26602.84</v>
      </c>
      <c r="C1478" s="3">
        <v>181.9</v>
      </c>
      <c r="D1478" s="3">
        <f t="shared" ref="D1478:D1541" si="48">LN(B1478/B1477)</f>
        <v>-3.5639371269894052E-3</v>
      </c>
      <c r="E1478" s="3">
        <f t="shared" ref="E1478:E1541" si="49">LN(C1478/C1477)</f>
        <v>-1.7979236688002349E-2</v>
      </c>
    </row>
    <row r="1479" spans="1:5" x14ac:dyDescent="0.45">
      <c r="A1479" s="2">
        <v>42719</v>
      </c>
      <c r="B1479" s="3">
        <v>26519.07</v>
      </c>
      <c r="C1479" s="3">
        <v>183.35</v>
      </c>
      <c r="D1479" s="3">
        <f t="shared" si="48"/>
        <v>-3.1538801762985803E-3</v>
      </c>
      <c r="E1479" s="3">
        <f t="shared" si="49"/>
        <v>7.9398089932583363E-3</v>
      </c>
    </row>
    <row r="1480" spans="1:5" x14ac:dyDescent="0.45">
      <c r="A1480" s="2">
        <v>42720</v>
      </c>
      <c r="B1480" s="3">
        <v>26489.56</v>
      </c>
      <c r="C1480" s="3">
        <v>184.15</v>
      </c>
      <c r="D1480" s="3">
        <f t="shared" si="48"/>
        <v>-1.1134037249612742E-3</v>
      </c>
      <c r="E1480" s="3">
        <f t="shared" si="49"/>
        <v>4.353748373739327E-3</v>
      </c>
    </row>
    <row r="1481" spans="1:5" x14ac:dyDescent="0.45">
      <c r="A1481" s="2">
        <v>42723</v>
      </c>
      <c r="B1481" s="3">
        <v>26374.7</v>
      </c>
      <c r="C1481" s="3">
        <v>184.15</v>
      </c>
      <c r="D1481" s="3">
        <f t="shared" si="48"/>
        <v>-4.3454757805464535E-3</v>
      </c>
      <c r="E1481" s="3">
        <f t="shared" si="49"/>
        <v>0</v>
      </c>
    </row>
    <row r="1482" spans="1:5" x14ac:dyDescent="0.45">
      <c r="A1482" s="2">
        <v>42724</v>
      </c>
      <c r="B1482" s="3">
        <v>26307.98</v>
      </c>
      <c r="C1482" s="3">
        <v>182.05</v>
      </c>
      <c r="D1482" s="3">
        <f t="shared" si="48"/>
        <v>-2.5329021101696131E-3</v>
      </c>
      <c r="E1482" s="3">
        <f t="shared" si="49"/>
        <v>-1.1469268269631827E-2</v>
      </c>
    </row>
    <row r="1483" spans="1:5" x14ac:dyDescent="0.45">
      <c r="A1483" s="2">
        <v>42725</v>
      </c>
      <c r="B1483" s="3">
        <v>26242.38</v>
      </c>
      <c r="C1483" s="3">
        <v>183.4</v>
      </c>
      <c r="D1483" s="3">
        <f t="shared" si="48"/>
        <v>-2.4966540314953181E-3</v>
      </c>
      <c r="E1483" s="3">
        <f t="shared" si="49"/>
        <v>7.3881852009220119E-3</v>
      </c>
    </row>
    <row r="1484" spans="1:5" x14ac:dyDescent="0.45">
      <c r="A1484" s="2">
        <v>42726</v>
      </c>
      <c r="B1484" s="3">
        <v>25979.599999999999</v>
      </c>
      <c r="C1484" s="3">
        <v>181.9</v>
      </c>
      <c r="D1484" s="3">
        <f t="shared" si="48"/>
        <v>-1.0064046517181395E-2</v>
      </c>
      <c r="E1484" s="3">
        <f t="shared" si="49"/>
        <v>-8.2124742982879109E-3</v>
      </c>
    </row>
    <row r="1485" spans="1:5" x14ac:dyDescent="0.45">
      <c r="A1485" s="2">
        <v>42727</v>
      </c>
      <c r="B1485" s="3">
        <v>26040.7</v>
      </c>
      <c r="C1485" s="3">
        <v>182.4</v>
      </c>
      <c r="D1485" s="3">
        <f t="shared" si="48"/>
        <v>2.3490840343793023E-3</v>
      </c>
      <c r="E1485" s="3">
        <f t="shared" si="49"/>
        <v>2.7449921161544519E-3</v>
      </c>
    </row>
    <row r="1486" spans="1:5" x14ac:dyDescent="0.45">
      <c r="A1486" s="2">
        <v>42730</v>
      </c>
      <c r="B1486" s="3">
        <v>25807.1</v>
      </c>
      <c r="C1486" s="3">
        <v>178.65</v>
      </c>
      <c r="D1486" s="3">
        <f t="shared" si="48"/>
        <v>-9.0110508323381477E-3</v>
      </c>
      <c r="E1486" s="3">
        <f t="shared" si="49"/>
        <v>-2.0773493170812243E-2</v>
      </c>
    </row>
    <row r="1487" spans="1:5" x14ac:dyDescent="0.45">
      <c r="A1487" s="2">
        <v>42731</v>
      </c>
      <c r="B1487" s="3">
        <v>26213.439999999999</v>
      </c>
      <c r="C1487" s="3">
        <v>181.1</v>
      </c>
      <c r="D1487" s="3">
        <f t="shared" si="48"/>
        <v>1.5622608471360754E-2</v>
      </c>
      <c r="E1487" s="3">
        <f t="shared" si="49"/>
        <v>1.3620780419948931E-2</v>
      </c>
    </row>
    <row r="1488" spans="1:5" x14ac:dyDescent="0.45">
      <c r="A1488" s="2">
        <v>42732</v>
      </c>
      <c r="B1488" s="3">
        <v>26210.68</v>
      </c>
      <c r="C1488" s="3">
        <v>180</v>
      </c>
      <c r="D1488" s="3">
        <f t="shared" si="48"/>
        <v>-1.0529504367637517E-4</v>
      </c>
      <c r="E1488" s="3">
        <f t="shared" si="49"/>
        <v>-6.0925139991573054E-3</v>
      </c>
    </row>
    <row r="1489" spans="1:5" x14ac:dyDescent="0.45">
      <c r="A1489" s="2">
        <v>42733</v>
      </c>
      <c r="B1489" s="3">
        <v>26366.15</v>
      </c>
      <c r="C1489" s="3">
        <v>179.6</v>
      </c>
      <c r="D1489" s="3">
        <f t="shared" si="48"/>
        <v>5.9140291698685822E-3</v>
      </c>
      <c r="E1489" s="3">
        <f t="shared" si="49"/>
        <v>-2.2246950221111624E-3</v>
      </c>
    </row>
    <row r="1490" spans="1:5" x14ac:dyDescent="0.45">
      <c r="A1490" s="2">
        <v>42734</v>
      </c>
      <c r="B1490" s="3">
        <v>26626.46</v>
      </c>
      <c r="C1490" s="3">
        <v>183.45</v>
      </c>
      <c r="D1490" s="3">
        <f t="shared" si="48"/>
        <v>9.8244677422130618E-3</v>
      </c>
      <c r="E1490" s="3">
        <f t="shared" si="49"/>
        <v>2.1209994933191888E-2</v>
      </c>
    </row>
    <row r="1491" spans="1:5" x14ac:dyDescent="0.45">
      <c r="A1491" s="2">
        <v>42737</v>
      </c>
      <c r="B1491" s="3">
        <v>26595.45</v>
      </c>
      <c r="C1491" s="3">
        <v>183.45</v>
      </c>
      <c r="D1491" s="3">
        <f t="shared" si="48"/>
        <v>-1.1653096820147856E-3</v>
      </c>
      <c r="E1491" s="3">
        <f t="shared" si="49"/>
        <v>0</v>
      </c>
    </row>
    <row r="1492" spans="1:5" x14ac:dyDescent="0.45">
      <c r="A1492" s="2">
        <v>42738</v>
      </c>
      <c r="B1492" s="3">
        <v>26643.24</v>
      </c>
      <c r="C1492" s="3">
        <v>188</v>
      </c>
      <c r="D1492" s="3">
        <f t="shared" si="48"/>
        <v>1.7953113735956357E-3</v>
      </c>
      <c r="E1492" s="3">
        <f t="shared" si="49"/>
        <v>2.4499812028658287E-2</v>
      </c>
    </row>
    <row r="1493" spans="1:5" x14ac:dyDescent="0.45">
      <c r="A1493" s="2">
        <v>42739</v>
      </c>
      <c r="B1493" s="3">
        <v>26633.13</v>
      </c>
      <c r="C1493" s="3">
        <v>186.15</v>
      </c>
      <c r="D1493" s="3">
        <f t="shared" si="48"/>
        <v>-3.7953036670321884E-4</v>
      </c>
      <c r="E1493" s="3">
        <f t="shared" si="49"/>
        <v>-9.8891625112232911E-3</v>
      </c>
    </row>
    <row r="1494" spans="1:5" x14ac:dyDescent="0.45">
      <c r="A1494" s="2">
        <v>42740</v>
      </c>
      <c r="B1494" s="3">
        <v>26878.240000000002</v>
      </c>
      <c r="C1494" s="3">
        <v>190.8</v>
      </c>
      <c r="D1494" s="3">
        <f t="shared" si="48"/>
        <v>9.161107789016151E-3</v>
      </c>
      <c r="E1494" s="3">
        <f t="shared" si="49"/>
        <v>2.467295869546034E-2</v>
      </c>
    </row>
    <row r="1495" spans="1:5" x14ac:dyDescent="0.45">
      <c r="A1495" s="2">
        <v>42741</v>
      </c>
      <c r="B1495" s="3">
        <v>26759.23</v>
      </c>
      <c r="C1495" s="3">
        <v>188.75</v>
      </c>
      <c r="D1495" s="3">
        <f t="shared" si="48"/>
        <v>-4.4375767647585286E-3</v>
      </c>
      <c r="E1495" s="3">
        <f t="shared" si="49"/>
        <v>-1.0802370885052131E-2</v>
      </c>
    </row>
    <row r="1496" spans="1:5" x14ac:dyDescent="0.45">
      <c r="A1496" s="2">
        <v>42744</v>
      </c>
      <c r="B1496" s="3">
        <v>26726.55</v>
      </c>
      <c r="C1496" s="3">
        <v>186.25</v>
      </c>
      <c r="D1496" s="3">
        <f t="shared" si="48"/>
        <v>-1.2220071976798185E-3</v>
      </c>
      <c r="E1496" s="3">
        <f t="shared" si="49"/>
        <v>-1.3333530869465144E-2</v>
      </c>
    </row>
    <row r="1497" spans="1:5" x14ac:dyDescent="0.45">
      <c r="A1497" s="2">
        <v>42745</v>
      </c>
      <c r="B1497" s="3">
        <v>26899.56</v>
      </c>
      <c r="C1497" s="3">
        <v>186.6</v>
      </c>
      <c r="D1497" s="3">
        <f t="shared" si="48"/>
        <v>6.4524762383198408E-3</v>
      </c>
      <c r="E1497" s="3">
        <f t="shared" si="49"/>
        <v>1.8774311535745649E-3</v>
      </c>
    </row>
    <row r="1498" spans="1:5" x14ac:dyDescent="0.45">
      <c r="A1498" s="2">
        <v>42746</v>
      </c>
      <c r="B1498" s="3">
        <v>27140.41</v>
      </c>
      <c r="C1498" s="3">
        <v>189.75</v>
      </c>
      <c r="D1498" s="3">
        <f t="shared" si="48"/>
        <v>8.9138315492737694E-3</v>
      </c>
      <c r="E1498" s="3">
        <f t="shared" si="49"/>
        <v>1.6740127862495853E-2</v>
      </c>
    </row>
    <row r="1499" spans="1:5" x14ac:dyDescent="0.45">
      <c r="A1499" s="2">
        <v>42747</v>
      </c>
      <c r="B1499" s="3">
        <v>27247.16</v>
      </c>
      <c r="C1499" s="3">
        <v>197.6</v>
      </c>
      <c r="D1499" s="3">
        <f t="shared" si="48"/>
        <v>3.9255343484974571E-3</v>
      </c>
      <c r="E1499" s="3">
        <f t="shared" si="49"/>
        <v>4.0537369038028043E-2</v>
      </c>
    </row>
    <row r="1500" spans="1:5" x14ac:dyDescent="0.45">
      <c r="A1500" s="2">
        <v>42748</v>
      </c>
      <c r="B1500" s="3">
        <v>27238.06</v>
      </c>
      <c r="C1500" s="3">
        <v>197.2</v>
      </c>
      <c r="D1500" s="3">
        <f t="shared" si="48"/>
        <v>-3.3403554522178661E-4</v>
      </c>
      <c r="E1500" s="3">
        <f t="shared" si="49"/>
        <v>-2.0263431452324726E-3</v>
      </c>
    </row>
    <row r="1501" spans="1:5" x14ac:dyDescent="0.45">
      <c r="A1501" s="2">
        <v>42751</v>
      </c>
      <c r="B1501" s="3">
        <v>27288.17</v>
      </c>
      <c r="C1501" s="3">
        <v>199.2</v>
      </c>
      <c r="D1501" s="3">
        <f t="shared" si="48"/>
        <v>1.8380149923149776E-3</v>
      </c>
      <c r="E1501" s="3">
        <f t="shared" si="49"/>
        <v>1.009090298196272E-2</v>
      </c>
    </row>
    <row r="1502" spans="1:5" x14ac:dyDescent="0.45">
      <c r="A1502" s="2">
        <v>42752</v>
      </c>
      <c r="B1502" s="3">
        <v>27235.66</v>
      </c>
      <c r="C1502" s="3">
        <v>197.65</v>
      </c>
      <c r="D1502" s="3">
        <f t="shared" si="48"/>
        <v>-1.9261308765086158E-3</v>
      </c>
      <c r="E1502" s="3">
        <f t="shared" si="49"/>
        <v>-7.8115554078032161E-3</v>
      </c>
    </row>
    <row r="1503" spans="1:5" x14ac:dyDescent="0.45">
      <c r="A1503" s="2">
        <v>42753</v>
      </c>
      <c r="B1503" s="3">
        <v>27257.64</v>
      </c>
      <c r="C1503" s="3">
        <v>198.45</v>
      </c>
      <c r="D1503" s="3">
        <f t="shared" si="48"/>
        <v>8.0670472120417135E-4</v>
      </c>
      <c r="E1503" s="3">
        <f t="shared" si="49"/>
        <v>4.03938948637969E-3</v>
      </c>
    </row>
    <row r="1504" spans="1:5" x14ac:dyDescent="0.45">
      <c r="A1504" s="2">
        <v>42754</v>
      </c>
      <c r="B1504" s="3">
        <v>27308.6</v>
      </c>
      <c r="C1504" s="3">
        <v>202</v>
      </c>
      <c r="D1504" s="3">
        <f t="shared" si="48"/>
        <v>1.8678221118257979E-3</v>
      </c>
      <c r="E1504" s="3">
        <f t="shared" si="49"/>
        <v>1.7730518172130477E-2</v>
      </c>
    </row>
    <row r="1505" spans="1:5" x14ac:dyDescent="0.45">
      <c r="A1505" s="2">
        <v>42755</v>
      </c>
      <c r="B1505" s="3">
        <v>27034.5</v>
      </c>
      <c r="C1505" s="3">
        <v>199.05</v>
      </c>
      <c r="D1505" s="3">
        <f t="shared" si="48"/>
        <v>-1.0087842779248358E-2</v>
      </c>
      <c r="E1505" s="3">
        <f t="shared" si="49"/>
        <v>-1.4711647954878454E-2</v>
      </c>
    </row>
    <row r="1506" spans="1:5" x14ac:dyDescent="0.45">
      <c r="A1506" s="2">
        <v>42758</v>
      </c>
      <c r="B1506" s="3">
        <v>27117.34</v>
      </c>
      <c r="C1506" s="3">
        <v>200.1</v>
      </c>
      <c r="D1506" s="3">
        <f t="shared" si="48"/>
        <v>3.0595475470797861E-3</v>
      </c>
      <c r="E1506" s="3">
        <f t="shared" si="49"/>
        <v>5.2611921433615375E-3</v>
      </c>
    </row>
    <row r="1507" spans="1:5" x14ac:dyDescent="0.45">
      <c r="A1507" s="2">
        <v>42759</v>
      </c>
      <c r="B1507" s="3">
        <v>27375.58</v>
      </c>
      <c r="C1507" s="3">
        <v>203.25</v>
      </c>
      <c r="D1507" s="3">
        <f t="shared" si="48"/>
        <v>9.4779994609186582E-3</v>
      </c>
      <c r="E1507" s="3">
        <f t="shared" si="49"/>
        <v>1.5619506838232189E-2</v>
      </c>
    </row>
    <row r="1508" spans="1:5" x14ac:dyDescent="0.45">
      <c r="A1508" s="2">
        <v>42760</v>
      </c>
      <c r="B1508" s="3">
        <v>27708.14</v>
      </c>
      <c r="C1508" s="3">
        <v>203.1</v>
      </c>
      <c r="D1508" s="3">
        <f t="shared" si="48"/>
        <v>1.2074857713126021E-2</v>
      </c>
      <c r="E1508" s="3">
        <f t="shared" si="49"/>
        <v>-7.3827984158096203E-4</v>
      </c>
    </row>
    <row r="1509" spans="1:5" x14ac:dyDescent="0.45">
      <c r="A1509" s="2">
        <v>42762</v>
      </c>
      <c r="B1509" s="3">
        <v>27882.46</v>
      </c>
      <c r="C1509" s="3">
        <v>204.6</v>
      </c>
      <c r="D1509" s="3">
        <f t="shared" si="48"/>
        <v>6.2715844539791878E-3</v>
      </c>
      <c r="E1509" s="3">
        <f t="shared" si="49"/>
        <v>7.3583849311871785E-3</v>
      </c>
    </row>
    <row r="1510" spans="1:5" x14ac:dyDescent="0.45">
      <c r="A1510" s="2">
        <v>42765</v>
      </c>
      <c r="B1510" s="3">
        <v>27849.56</v>
      </c>
      <c r="C1510" s="3">
        <v>205</v>
      </c>
      <c r="D1510" s="3">
        <f t="shared" si="48"/>
        <v>-1.1806499682481416E-3</v>
      </c>
      <c r="E1510" s="3">
        <f t="shared" si="49"/>
        <v>1.9531256208820701E-3</v>
      </c>
    </row>
    <row r="1511" spans="1:5" x14ac:dyDescent="0.45">
      <c r="A1511" s="2">
        <v>42766</v>
      </c>
      <c r="B1511" s="3">
        <v>27655.96</v>
      </c>
      <c r="C1511" s="3">
        <v>206.55</v>
      </c>
      <c r="D1511" s="3">
        <f t="shared" si="48"/>
        <v>-6.9759110481685364E-3</v>
      </c>
      <c r="E1511" s="3">
        <f t="shared" si="49"/>
        <v>7.532534704365372E-3</v>
      </c>
    </row>
    <row r="1512" spans="1:5" x14ac:dyDescent="0.45">
      <c r="A1512" s="2">
        <v>42767</v>
      </c>
      <c r="B1512" s="3">
        <v>28141.64</v>
      </c>
      <c r="C1512" s="3">
        <v>205.8</v>
      </c>
      <c r="D1512" s="3">
        <f t="shared" si="48"/>
        <v>1.7409073738937891E-2</v>
      </c>
      <c r="E1512" s="3">
        <f t="shared" si="49"/>
        <v>-3.6376904428243608E-3</v>
      </c>
    </row>
    <row r="1513" spans="1:5" x14ac:dyDescent="0.45">
      <c r="A1513" s="2">
        <v>42768</v>
      </c>
      <c r="B1513" s="3">
        <v>28226.61</v>
      </c>
      <c r="C1513" s="3">
        <v>203.8</v>
      </c>
      <c r="D1513" s="3">
        <f t="shared" si="48"/>
        <v>3.0148200222173088E-3</v>
      </c>
      <c r="E1513" s="3">
        <f t="shared" si="49"/>
        <v>-9.7657026113247888E-3</v>
      </c>
    </row>
    <row r="1514" spans="1:5" x14ac:dyDescent="0.45">
      <c r="A1514" s="2">
        <v>42769</v>
      </c>
      <c r="B1514" s="3">
        <v>28240.52</v>
      </c>
      <c r="C1514" s="3">
        <v>201.7</v>
      </c>
      <c r="D1514" s="3">
        <f t="shared" si="48"/>
        <v>4.9267601457208664E-4</v>
      </c>
      <c r="E1514" s="3">
        <f t="shared" si="49"/>
        <v>-1.0357675828458507E-2</v>
      </c>
    </row>
    <row r="1515" spans="1:5" x14ac:dyDescent="0.45">
      <c r="A1515" s="2">
        <v>42772</v>
      </c>
      <c r="B1515" s="3">
        <v>28439.279999999999</v>
      </c>
      <c r="C1515" s="3">
        <v>201.3</v>
      </c>
      <c r="D1515" s="3">
        <f t="shared" si="48"/>
        <v>7.0134621056300627E-3</v>
      </c>
      <c r="E1515" s="3">
        <f t="shared" si="49"/>
        <v>-1.985112314420185E-3</v>
      </c>
    </row>
    <row r="1516" spans="1:5" x14ac:dyDescent="0.45">
      <c r="A1516" s="2">
        <v>42773</v>
      </c>
      <c r="B1516" s="3">
        <v>28335.16</v>
      </c>
      <c r="C1516" s="3">
        <v>200.35</v>
      </c>
      <c r="D1516" s="3">
        <f t="shared" si="48"/>
        <v>-3.6678518265740177E-3</v>
      </c>
      <c r="E1516" s="3">
        <f t="shared" si="49"/>
        <v>-4.7304955635923147E-3</v>
      </c>
    </row>
    <row r="1517" spans="1:5" x14ac:dyDescent="0.45">
      <c r="A1517" s="2">
        <v>42774</v>
      </c>
      <c r="B1517" s="3">
        <v>28289.919999999998</v>
      </c>
      <c r="C1517" s="3">
        <v>201.1</v>
      </c>
      <c r="D1517" s="3">
        <f t="shared" si="48"/>
        <v>-1.5978788771911824E-3</v>
      </c>
      <c r="E1517" s="3">
        <f t="shared" si="49"/>
        <v>3.7364596964527931E-3</v>
      </c>
    </row>
    <row r="1518" spans="1:5" x14ac:dyDescent="0.45">
      <c r="A1518" s="2">
        <v>42775</v>
      </c>
      <c r="B1518" s="3">
        <v>28329.7</v>
      </c>
      <c r="C1518" s="3">
        <v>202.05</v>
      </c>
      <c r="D1518" s="3">
        <f t="shared" si="48"/>
        <v>1.4051668501289269E-3</v>
      </c>
      <c r="E1518" s="3">
        <f t="shared" si="49"/>
        <v>4.7128947458763308E-3</v>
      </c>
    </row>
    <row r="1519" spans="1:5" x14ac:dyDescent="0.45">
      <c r="A1519" s="2">
        <v>42776</v>
      </c>
      <c r="B1519" s="3">
        <v>28334.25</v>
      </c>
      <c r="C1519" s="3">
        <v>199.85</v>
      </c>
      <c r="D1519" s="3">
        <f t="shared" si="48"/>
        <v>1.6059593479738704E-4</v>
      </c>
      <c r="E1519" s="3">
        <f t="shared" si="49"/>
        <v>-1.0948106367150209E-2</v>
      </c>
    </row>
    <row r="1520" spans="1:5" x14ac:dyDescent="0.45">
      <c r="A1520" s="2">
        <v>42779</v>
      </c>
      <c r="B1520" s="3">
        <v>28351.62</v>
      </c>
      <c r="C1520" s="3">
        <v>203.05</v>
      </c>
      <c r="D1520" s="3">
        <f t="shared" si="48"/>
        <v>6.1285115827496321E-4</v>
      </c>
      <c r="E1520" s="3">
        <f t="shared" si="49"/>
        <v>1.5885168974974457E-2</v>
      </c>
    </row>
    <row r="1521" spans="1:5" x14ac:dyDescent="0.45">
      <c r="A1521" s="2">
        <v>42780</v>
      </c>
      <c r="B1521" s="3">
        <v>28339.31</v>
      </c>
      <c r="C1521" s="3">
        <v>200.6</v>
      </c>
      <c r="D1521" s="3">
        <f t="shared" si="48"/>
        <v>-4.3428464459742237E-4</v>
      </c>
      <c r="E1521" s="3">
        <f t="shared" si="49"/>
        <v>-1.2139378604471751E-2</v>
      </c>
    </row>
    <row r="1522" spans="1:5" x14ac:dyDescent="0.45">
      <c r="A1522" s="2">
        <v>42781</v>
      </c>
      <c r="B1522" s="3">
        <v>28155.56</v>
      </c>
      <c r="C1522" s="3">
        <v>201.25</v>
      </c>
      <c r="D1522" s="3">
        <f t="shared" si="48"/>
        <v>-6.5050383497121771E-3</v>
      </c>
      <c r="E1522" s="3">
        <f t="shared" si="49"/>
        <v>3.2350407708377038E-3</v>
      </c>
    </row>
    <row r="1523" spans="1:5" x14ac:dyDescent="0.45">
      <c r="A1523" s="2">
        <v>42782</v>
      </c>
      <c r="B1523" s="3">
        <v>28301.27</v>
      </c>
      <c r="C1523" s="3">
        <v>200.8</v>
      </c>
      <c r="D1523" s="3">
        <f t="shared" si="48"/>
        <v>5.1618315633646479E-3</v>
      </c>
      <c r="E1523" s="3">
        <f t="shared" si="49"/>
        <v>-2.2385284810985322E-3</v>
      </c>
    </row>
    <row r="1524" spans="1:5" x14ac:dyDescent="0.45">
      <c r="A1524" s="2">
        <v>42783</v>
      </c>
      <c r="B1524" s="3">
        <v>28468.75</v>
      </c>
      <c r="C1524" s="3">
        <v>202.45</v>
      </c>
      <c r="D1524" s="3">
        <f t="shared" si="48"/>
        <v>5.9003144928636148E-3</v>
      </c>
      <c r="E1524" s="3">
        <f t="shared" si="49"/>
        <v>8.1835546605959365E-3</v>
      </c>
    </row>
    <row r="1525" spans="1:5" x14ac:dyDescent="0.45">
      <c r="A1525" s="2">
        <v>42786</v>
      </c>
      <c r="B1525" s="3">
        <v>28661.58</v>
      </c>
      <c r="C1525" s="3">
        <v>206.4</v>
      </c>
      <c r="D1525" s="3">
        <f t="shared" si="48"/>
        <v>6.7505555200317903E-3</v>
      </c>
      <c r="E1525" s="3">
        <f t="shared" si="49"/>
        <v>1.9323091129237639E-2</v>
      </c>
    </row>
    <row r="1526" spans="1:5" x14ac:dyDescent="0.45">
      <c r="A1526" s="2">
        <v>42787</v>
      </c>
      <c r="B1526" s="3">
        <v>28761.59</v>
      </c>
      <c r="C1526" s="3">
        <v>205.8</v>
      </c>
      <c r="D1526" s="3">
        <f t="shared" si="48"/>
        <v>3.483266462636264E-3</v>
      </c>
      <c r="E1526" s="3">
        <f t="shared" si="49"/>
        <v>-2.9112102074584415E-3</v>
      </c>
    </row>
    <row r="1527" spans="1:5" x14ac:dyDescent="0.45">
      <c r="A1527" s="2">
        <v>42788</v>
      </c>
      <c r="B1527" s="3">
        <v>28864.71</v>
      </c>
      <c r="C1527" s="3">
        <v>201.3</v>
      </c>
      <c r="D1527" s="3">
        <f t="shared" si="48"/>
        <v>3.5789252500838865E-3</v>
      </c>
      <c r="E1527" s="3">
        <f t="shared" si="49"/>
        <v>-2.2108490754203392E-2</v>
      </c>
    </row>
    <row r="1528" spans="1:5" x14ac:dyDescent="0.45">
      <c r="A1528" s="2">
        <v>42789</v>
      </c>
      <c r="B1528" s="3">
        <v>28892.97</v>
      </c>
      <c r="C1528" s="3">
        <v>199.1</v>
      </c>
      <c r="D1528" s="3">
        <f t="shared" si="48"/>
        <v>9.7857123953573339E-4</v>
      </c>
      <c r="E1528" s="3">
        <f t="shared" si="49"/>
        <v>-1.0989121575595317E-2</v>
      </c>
    </row>
    <row r="1529" spans="1:5" x14ac:dyDescent="0.45">
      <c r="A1529" s="2">
        <v>42793</v>
      </c>
      <c r="B1529" s="3">
        <v>28812.880000000001</v>
      </c>
      <c r="C1529" s="3">
        <v>192.85</v>
      </c>
      <c r="D1529" s="3">
        <f t="shared" si="48"/>
        <v>-2.7758035424490426E-3</v>
      </c>
      <c r="E1529" s="3">
        <f t="shared" si="49"/>
        <v>-3.1894526415913844E-2</v>
      </c>
    </row>
    <row r="1530" spans="1:5" x14ac:dyDescent="0.45">
      <c r="A1530" s="2">
        <v>42794</v>
      </c>
      <c r="B1530" s="3">
        <v>28743.32</v>
      </c>
      <c r="C1530" s="3">
        <v>192</v>
      </c>
      <c r="D1530" s="3">
        <f t="shared" si="48"/>
        <v>-2.4171169697359408E-3</v>
      </c>
      <c r="E1530" s="3">
        <f t="shared" si="49"/>
        <v>-4.4173126264552103E-3</v>
      </c>
    </row>
    <row r="1531" spans="1:5" x14ac:dyDescent="0.45">
      <c r="A1531" s="2">
        <v>42795</v>
      </c>
      <c r="B1531" s="3">
        <v>28984.49</v>
      </c>
      <c r="C1531" s="3">
        <v>192.55</v>
      </c>
      <c r="D1531" s="3">
        <f t="shared" si="48"/>
        <v>8.3554669086446081E-3</v>
      </c>
      <c r="E1531" s="3">
        <f t="shared" si="49"/>
        <v>2.8604882331364082E-3</v>
      </c>
    </row>
    <row r="1532" spans="1:5" x14ac:dyDescent="0.45">
      <c r="A1532" s="2">
        <v>42796</v>
      </c>
      <c r="B1532" s="3">
        <v>28839.79</v>
      </c>
      <c r="C1532" s="3">
        <v>189.75</v>
      </c>
      <c r="D1532" s="3">
        <f t="shared" si="48"/>
        <v>-5.0048284921394058E-3</v>
      </c>
      <c r="E1532" s="3">
        <f t="shared" si="49"/>
        <v>-1.4648443985178668E-2</v>
      </c>
    </row>
    <row r="1533" spans="1:5" x14ac:dyDescent="0.45">
      <c r="A1533" s="2">
        <v>42797</v>
      </c>
      <c r="B1533" s="3">
        <v>28832.45</v>
      </c>
      <c r="C1533" s="3">
        <v>190.9</v>
      </c>
      <c r="D1533" s="3">
        <f t="shared" si="48"/>
        <v>-2.545418745528255E-4</v>
      </c>
      <c r="E1533" s="3">
        <f t="shared" si="49"/>
        <v>6.0423144559626617E-3</v>
      </c>
    </row>
    <row r="1534" spans="1:5" x14ac:dyDescent="0.45">
      <c r="A1534" s="2">
        <v>42800</v>
      </c>
      <c r="B1534" s="3">
        <v>29048.19</v>
      </c>
      <c r="C1534" s="3">
        <v>193.9</v>
      </c>
      <c r="D1534" s="3">
        <f t="shared" si="48"/>
        <v>7.4546860261805155E-3</v>
      </c>
      <c r="E1534" s="3">
        <f t="shared" si="49"/>
        <v>1.5592831516904212E-2</v>
      </c>
    </row>
    <row r="1535" spans="1:5" x14ac:dyDescent="0.45">
      <c r="A1535" s="2">
        <v>42801</v>
      </c>
      <c r="B1535" s="3">
        <v>28999.56</v>
      </c>
      <c r="C1535" s="3">
        <v>194.55</v>
      </c>
      <c r="D1535" s="3">
        <f t="shared" si="48"/>
        <v>-1.6755175308885456E-3</v>
      </c>
      <c r="E1535" s="3">
        <f t="shared" si="49"/>
        <v>3.34663718195638E-3</v>
      </c>
    </row>
    <row r="1536" spans="1:5" x14ac:dyDescent="0.45">
      <c r="A1536" s="2">
        <v>42802</v>
      </c>
      <c r="B1536" s="3">
        <v>28901.94</v>
      </c>
      <c r="C1536" s="3">
        <v>195.3</v>
      </c>
      <c r="D1536" s="3">
        <f t="shared" si="48"/>
        <v>-3.3719365644958792E-3</v>
      </c>
      <c r="E1536" s="3">
        <f t="shared" si="49"/>
        <v>3.8476384520707363E-3</v>
      </c>
    </row>
    <row r="1537" spans="1:5" x14ac:dyDescent="0.45">
      <c r="A1537" s="2">
        <v>42803</v>
      </c>
      <c r="B1537" s="3">
        <v>28929.13</v>
      </c>
      <c r="C1537" s="3">
        <v>194.25</v>
      </c>
      <c r="D1537" s="3">
        <f t="shared" si="48"/>
        <v>9.4032505376349072E-4</v>
      </c>
      <c r="E1537" s="3">
        <f t="shared" si="49"/>
        <v>-5.3908486348765343E-3</v>
      </c>
    </row>
    <row r="1538" spans="1:5" x14ac:dyDescent="0.45">
      <c r="A1538" s="2">
        <v>42804</v>
      </c>
      <c r="B1538" s="3">
        <v>28946.23</v>
      </c>
      <c r="C1538" s="3">
        <v>192.55</v>
      </c>
      <c r="D1538" s="3">
        <f t="shared" si="48"/>
        <v>5.9092506716503044E-4</v>
      </c>
      <c r="E1538" s="3">
        <f t="shared" si="49"/>
        <v>-8.7901289868389139E-3</v>
      </c>
    </row>
    <row r="1539" spans="1:5" x14ac:dyDescent="0.45">
      <c r="A1539" s="2">
        <v>42808</v>
      </c>
      <c r="B1539" s="3">
        <v>29442.63</v>
      </c>
      <c r="C1539" s="3">
        <v>193.65</v>
      </c>
      <c r="D1539" s="3">
        <f t="shared" si="48"/>
        <v>1.7003653095728974E-2</v>
      </c>
      <c r="E1539" s="3">
        <f t="shared" si="49"/>
        <v>5.6965456998432319E-3</v>
      </c>
    </row>
    <row r="1540" spans="1:5" x14ac:dyDescent="0.45">
      <c r="A1540" s="2">
        <v>42809</v>
      </c>
      <c r="B1540" s="3">
        <v>29398.11</v>
      </c>
      <c r="C1540" s="3">
        <v>193</v>
      </c>
      <c r="D1540" s="3">
        <f t="shared" si="48"/>
        <v>-1.5132375458052725E-3</v>
      </c>
      <c r="E1540" s="3">
        <f t="shared" si="49"/>
        <v>-3.3622170558757001E-3</v>
      </c>
    </row>
    <row r="1541" spans="1:5" x14ac:dyDescent="0.45">
      <c r="A1541" s="2">
        <v>42810</v>
      </c>
      <c r="B1541" s="3">
        <v>29585.85</v>
      </c>
      <c r="C1541" s="3">
        <v>195.35</v>
      </c>
      <c r="D1541" s="3">
        <f t="shared" si="48"/>
        <v>6.3658199277324256E-3</v>
      </c>
      <c r="E1541" s="3">
        <f t="shared" si="49"/>
        <v>1.2102632596193996E-2</v>
      </c>
    </row>
    <row r="1542" spans="1:5" x14ac:dyDescent="0.45">
      <c r="A1542" s="2">
        <v>42811</v>
      </c>
      <c r="B1542" s="3">
        <v>29648.99</v>
      </c>
      <c r="C1542" s="3">
        <v>194.5</v>
      </c>
      <c r="D1542" s="3">
        <f t="shared" ref="D1542:D1605" si="50">LN(B1542/B1541)</f>
        <v>2.1318542909287098E-3</v>
      </c>
      <c r="E1542" s="3">
        <f t="shared" ref="E1542:E1605" si="51">LN(C1542/C1541)</f>
        <v>-4.3606584425785553E-3</v>
      </c>
    </row>
    <row r="1543" spans="1:5" x14ac:dyDescent="0.45">
      <c r="A1543" s="2">
        <v>42814</v>
      </c>
      <c r="B1543" s="3">
        <v>29518.74</v>
      </c>
      <c r="C1543" s="3">
        <v>193.5</v>
      </c>
      <c r="D1543" s="3">
        <f t="shared" si="50"/>
        <v>-4.4027448880957004E-3</v>
      </c>
      <c r="E1543" s="3">
        <f t="shared" si="51"/>
        <v>-5.1546505886645375E-3</v>
      </c>
    </row>
    <row r="1544" spans="1:5" x14ac:dyDescent="0.45">
      <c r="A1544" s="2">
        <v>42815</v>
      </c>
      <c r="B1544" s="3">
        <v>29485.45</v>
      </c>
      <c r="C1544" s="3">
        <v>193.2</v>
      </c>
      <c r="D1544" s="3">
        <f t="shared" si="50"/>
        <v>-1.128394560870237E-3</v>
      </c>
      <c r="E1544" s="3">
        <f t="shared" si="51"/>
        <v>-1.5515906914189443E-3</v>
      </c>
    </row>
    <row r="1545" spans="1:5" x14ac:dyDescent="0.45">
      <c r="A1545" s="2">
        <v>42816</v>
      </c>
      <c r="B1545" s="3">
        <v>29167.68</v>
      </c>
      <c r="C1545" s="3">
        <v>192.1</v>
      </c>
      <c r="D1545" s="3">
        <f t="shared" si="50"/>
        <v>-1.0835674384547467E-2</v>
      </c>
      <c r="E1545" s="3">
        <f t="shared" si="51"/>
        <v>-5.709852003906603E-3</v>
      </c>
    </row>
    <row r="1546" spans="1:5" x14ac:dyDescent="0.45">
      <c r="A1546" s="2">
        <v>42817</v>
      </c>
      <c r="B1546" s="3">
        <v>29332.16</v>
      </c>
      <c r="C1546" s="3">
        <v>193</v>
      </c>
      <c r="D1546" s="3">
        <f t="shared" si="50"/>
        <v>5.6232780609926031E-3</v>
      </c>
      <c r="E1546" s="3">
        <f t="shared" si="51"/>
        <v>4.674119130374711E-3</v>
      </c>
    </row>
    <row r="1547" spans="1:5" x14ac:dyDescent="0.45">
      <c r="A1547" s="2">
        <v>42818</v>
      </c>
      <c r="B1547" s="3">
        <v>29421.4</v>
      </c>
      <c r="C1547" s="3">
        <v>193.7</v>
      </c>
      <c r="D1547" s="3">
        <f t="shared" si="50"/>
        <v>3.0377757067369892E-3</v>
      </c>
      <c r="E1547" s="3">
        <f t="shared" si="51"/>
        <v>3.620381508064477E-3</v>
      </c>
    </row>
    <row r="1548" spans="1:5" x14ac:dyDescent="0.45">
      <c r="A1548" s="2">
        <v>42821</v>
      </c>
      <c r="B1548" s="3">
        <v>29237.15</v>
      </c>
      <c r="C1548" s="3">
        <v>195.4</v>
      </c>
      <c r="D1548" s="3">
        <f t="shared" si="50"/>
        <v>-6.2821398059138851E-3</v>
      </c>
      <c r="E1548" s="3">
        <f t="shared" si="51"/>
        <v>8.7381691957322365E-3</v>
      </c>
    </row>
    <row r="1549" spans="1:5" x14ac:dyDescent="0.45">
      <c r="A1549" s="2">
        <v>42822</v>
      </c>
      <c r="B1549" s="3">
        <v>29409.52</v>
      </c>
      <c r="C1549" s="3">
        <v>196.75</v>
      </c>
      <c r="D1549" s="3">
        <f t="shared" si="50"/>
        <v>5.8782705425579618E-3</v>
      </c>
      <c r="E1549" s="3">
        <f t="shared" si="51"/>
        <v>6.885147688830179E-3</v>
      </c>
    </row>
    <row r="1550" spans="1:5" x14ac:dyDescent="0.45">
      <c r="A1550" s="2">
        <v>42823</v>
      </c>
      <c r="B1550" s="3">
        <v>29531.43</v>
      </c>
      <c r="C1550" s="3">
        <v>196.5</v>
      </c>
      <c r="D1550" s="3">
        <f t="shared" si="50"/>
        <v>4.1366884600792884E-3</v>
      </c>
      <c r="E1550" s="3">
        <f t="shared" si="51"/>
        <v>-1.271455988196721E-3</v>
      </c>
    </row>
    <row r="1551" spans="1:5" x14ac:dyDescent="0.45">
      <c r="A1551" s="2">
        <v>42824</v>
      </c>
      <c r="B1551" s="3">
        <v>29647.42</v>
      </c>
      <c r="C1551" s="3">
        <v>195.65</v>
      </c>
      <c r="D1551" s="3">
        <f t="shared" si="50"/>
        <v>3.9199865670929458E-3</v>
      </c>
      <c r="E1551" s="3">
        <f t="shared" si="51"/>
        <v>-4.3350826528944656E-3</v>
      </c>
    </row>
    <row r="1552" spans="1:5" x14ac:dyDescent="0.45">
      <c r="A1552" s="2">
        <v>42825</v>
      </c>
      <c r="B1552" s="3">
        <v>29620.5</v>
      </c>
      <c r="C1552" s="3">
        <v>197.2</v>
      </c>
      <c r="D1552" s="3">
        <f t="shared" si="50"/>
        <v>-9.0841729729150707E-4</v>
      </c>
      <c r="E1552" s="3">
        <f t="shared" si="51"/>
        <v>7.8910935121135131E-3</v>
      </c>
    </row>
    <row r="1553" spans="1:5" x14ac:dyDescent="0.45">
      <c r="A1553" s="2">
        <v>42828</v>
      </c>
      <c r="B1553" s="3">
        <v>29910.22</v>
      </c>
      <c r="C1553" s="3">
        <v>196.25</v>
      </c>
      <c r="D1553" s="3">
        <f t="shared" si="50"/>
        <v>9.733538831000893E-3</v>
      </c>
      <c r="E1553" s="3">
        <f t="shared" si="51"/>
        <v>-4.8290855060171157E-3</v>
      </c>
    </row>
    <row r="1554" spans="1:5" x14ac:dyDescent="0.45">
      <c r="A1554" s="2">
        <v>42830</v>
      </c>
      <c r="B1554" s="3">
        <v>29974.240000000002</v>
      </c>
      <c r="C1554" s="3">
        <v>194.75</v>
      </c>
      <c r="D1554" s="3">
        <f t="shared" si="50"/>
        <v>2.1381181157586792E-3</v>
      </c>
      <c r="E1554" s="3">
        <f t="shared" si="51"/>
        <v>-7.6726719116601665E-3</v>
      </c>
    </row>
    <row r="1555" spans="1:5" x14ac:dyDescent="0.45">
      <c r="A1555" s="2">
        <v>42831</v>
      </c>
      <c r="B1555" s="3">
        <v>29927.34</v>
      </c>
      <c r="C1555" s="3">
        <v>197.2</v>
      </c>
      <c r="D1555" s="3">
        <f t="shared" si="50"/>
        <v>-1.5659022544456417E-3</v>
      </c>
      <c r="E1555" s="3">
        <f t="shared" si="51"/>
        <v>1.2501757417677419E-2</v>
      </c>
    </row>
    <row r="1556" spans="1:5" x14ac:dyDescent="0.45">
      <c r="A1556" s="2">
        <v>42832</v>
      </c>
      <c r="B1556" s="3">
        <v>29706.61</v>
      </c>
      <c r="C1556" s="3">
        <v>195.25</v>
      </c>
      <c r="D1556" s="3">
        <f t="shared" si="50"/>
        <v>-7.4028639070009353E-3</v>
      </c>
      <c r="E1556" s="3">
        <f t="shared" si="51"/>
        <v>-9.9376534487396456E-3</v>
      </c>
    </row>
    <row r="1557" spans="1:5" x14ac:dyDescent="0.45">
      <c r="A1557" s="2">
        <v>42835</v>
      </c>
      <c r="B1557" s="3">
        <v>29575.74</v>
      </c>
      <c r="C1557" s="3">
        <v>195.1</v>
      </c>
      <c r="D1557" s="3">
        <f t="shared" si="50"/>
        <v>-4.4151492845092366E-3</v>
      </c>
      <c r="E1557" s="3">
        <f t="shared" si="51"/>
        <v>-7.6854109072985893E-4</v>
      </c>
    </row>
    <row r="1558" spans="1:5" x14ac:dyDescent="0.45">
      <c r="A1558" s="2">
        <v>42836</v>
      </c>
      <c r="B1558" s="3">
        <v>29788.35</v>
      </c>
      <c r="C1558" s="3">
        <v>199.45</v>
      </c>
      <c r="D1558" s="3">
        <f t="shared" si="50"/>
        <v>7.1629467930961511E-3</v>
      </c>
      <c r="E1558" s="3">
        <f t="shared" si="51"/>
        <v>2.2051330722350097E-2</v>
      </c>
    </row>
    <row r="1559" spans="1:5" x14ac:dyDescent="0.45">
      <c r="A1559" s="2">
        <v>42837</v>
      </c>
      <c r="B1559" s="3">
        <v>29643.48</v>
      </c>
      <c r="C1559" s="3">
        <v>197.55</v>
      </c>
      <c r="D1559" s="3">
        <f t="shared" si="50"/>
        <v>-4.8751750343543811E-3</v>
      </c>
      <c r="E1559" s="3">
        <f t="shared" si="51"/>
        <v>-9.5718614940157321E-3</v>
      </c>
    </row>
    <row r="1560" spans="1:5" x14ac:dyDescent="0.45">
      <c r="A1560" s="2">
        <v>42838</v>
      </c>
      <c r="B1560" s="3">
        <v>29461.45</v>
      </c>
      <c r="C1560" s="3">
        <v>199.4</v>
      </c>
      <c r="D1560" s="3">
        <f t="shared" si="50"/>
        <v>-6.1595733392470773E-3</v>
      </c>
      <c r="E1560" s="3">
        <f t="shared" si="51"/>
        <v>9.3211406703382921E-3</v>
      </c>
    </row>
    <row r="1561" spans="1:5" x14ac:dyDescent="0.45">
      <c r="A1561" s="2">
        <v>42842</v>
      </c>
      <c r="B1561" s="3">
        <v>29413.66</v>
      </c>
      <c r="C1561" s="3">
        <v>201.7</v>
      </c>
      <c r="D1561" s="3">
        <f t="shared" si="50"/>
        <v>-1.6234368138273252E-3</v>
      </c>
      <c r="E1561" s="3">
        <f t="shared" si="51"/>
        <v>1.146858743242795E-2</v>
      </c>
    </row>
    <row r="1562" spans="1:5" x14ac:dyDescent="0.45">
      <c r="A1562" s="2">
        <v>42843</v>
      </c>
      <c r="B1562" s="3">
        <v>29319.1</v>
      </c>
      <c r="C1562" s="3">
        <v>202.35</v>
      </c>
      <c r="D1562" s="3">
        <f t="shared" si="50"/>
        <v>-3.2200115132870761E-3</v>
      </c>
      <c r="E1562" s="3">
        <f t="shared" si="51"/>
        <v>3.2174263617086286E-3</v>
      </c>
    </row>
    <row r="1563" spans="1:5" x14ac:dyDescent="0.45">
      <c r="A1563" s="2">
        <v>42844</v>
      </c>
      <c r="B1563" s="3">
        <v>29336.57</v>
      </c>
      <c r="C1563" s="3">
        <v>211.15</v>
      </c>
      <c r="D1563" s="3">
        <f t="shared" si="50"/>
        <v>5.9567985555632208E-4</v>
      </c>
      <c r="E1563" s="3">
        <f t="shared" si="51"/>
        <v>4.2569910058078156E-2</v>
      </c>
    </row>
    <row r="1564" spans="1:5" x14ac:dyDescent="0.45">
      <c r="A1564" s="2">
        <v>42845</v>
      </c>
      <c r="B1564" s="3">
        <v>29422.39</v>
      </c>
      <c r="C1564" s="3">
        <v>208.6</v>
      </c>
      <c r="D1564" s="3">
        <f t="shared" si="50"/>
        <v>2.9210884952161438E-3</v>
      </c>
      <c r="E1564" s="3">
        <f t="shared" si="51"/>
        <v>-1.21502388132806E-2</v>
      </c>
    </row>
    <row r="1565" spans="1:5" x14ac:dyDescent="0.45">
      <c r="A1565" s="2">
        <v>42846</v>
      </c>
      <c r="B1565" s="3">
        <v>29365.3</v>
      </c>
      <c r="C1565" s="3">
        <v>205.6</v>
      </c>
      <c r="D1565" s="3">
        <f t="shared" si="50"/>
        <v>-1.9422439611684284E-3</v>
      </c>
      <c r="E1565" s="3">
        <f t="shared" si="51"/>
        <v>-1.4486008985662024E-2</v>
      </c>
    </row>
    <row r="1566" spans="1:5" x14ac:dyDescent="0.45">
      <c r="A1566" s="2">
        <v>42849</v>
      </c>
      <c r="B1566" s="3">
        <v>29655.84</v>
      </c>
      <c r="C1566" s="3">
        <v>205</v>
      </c>
      <c r="D1566" s="3">
        <f t="shared" si="50"/>
        <v>9.8453654694785116E-3</v>
      </c>
      <c r="E1566" s="3">
        <f t="shared" si="51"/>
        <v>-2.9225544426018536E-3</v>
      </c>
    </row>
    <row r="1567" spans="1:5" x14ac:dyDescent="0.45">
      <c r="A1567" s="2">
        <v>42850</v>
      </c>
      <c r="B1567" s="3">
        <v>29943.24</v>
      </c>
      <c r="C1567" s="3">
        <v>207.95</v>
      </c>
      <c r="D1567" s="3">
        <f t="shared" si="50"/>
        <v>9.6445189337687285E-3</v>
      </c>
      <c r="E1567" s="3">
        <f t="shared" si="51"/>
        <v>1.4287687050512511E-2</v>
      </c>
    </row>
    <row r="1568" spans="1:5" x14ac:dyDescent="0.45">
      <c r="A1568" s="2">
        <v>42851</v>
      </c>
      <c r="B1568" s="3">
        <v>30133.35</v>
      </c>
      <c r="C1568" s="3">
        <v>205.25</v>
      </c>
      <c r="D1568" s="3">
        <f t="shared" si="50"/>
        <v>6.3289422578409445E-3</v>
      </c>
      <c r="E1568" s="3">
        <f t="shared" si="51"/>
        <v>-1.3068917856383075E-2</v>
      </c>
    </row>
    <row r="1569" spans="1:5" x14ac:dyDescent="0.45">
      <c r="A1569" s="2">
        <v>42852</v>
      </c>
      <c r="B1569" s="3">
        <v>30029.74</v>
      </c>
      <c r="C1569" s="3">
        <v>207.25</v>
      </c>
      <c r="D1569" s="3">
        <f t="shared" si="50"/>
        <v>-3.4443078781130738E-3</v>
      </c>
      <c r="E1569" s="3">
        <f t="shared" si="51"/>
        <v>9.6970456828667732E-3</v>
      </c>
    </row>
    <row r="1570" spans="1:5" x14ac:dyDescent="0.45">
      <c r="A1570" s="2">
        <v>42853</v>
      </c>
      <c r="B1570" s="3">
        <v>29918.400000000001</v>
      </c>
      <c r="C1570" s="3">
        <v>207.6</v>
      </c>
      <c r="D1570" s="3">
        <f t="shared" si="50"/>
        <v>-3.7145482085413116E-3</v>
      </c>
      <c r="E1570" s="3">
        <f t="shared" si="51"/>
        <v>1.687357276329252E-3</v>
      </c>
    </row>
    <row r="1571" spans="1:5" x14ac:dyDescent="0.45">
      <c r="A1571" s="2">
        <v>42857</v>
      </c>
      <c r="B1571" s="3">
        <v>29921.18</v>
      </c>
      <c r="C1571" s="3">
        <v>206</v>
      </c>
      <c r="D1571" s="3">
        <f t="shared" si="50"/>
        <v>9.291509071407979E-5</v>
      </c>
      <c r="E1571" s="3">
        <f t="shared" si="51"/>
        <v>-7.7369825021524515E-3</v>
      </c>
    </row>
    <row r="1572" spans="1:5" x14ac:dyDescent="0.45">
      <c r="A1572" s="2">
        <v>42858</v>
      </c>
      <c r="B1572" s="3">
        <v>29894.799999999999</v>
      </c>
      <c r="C1572" s="3">
        <v>210.75</v>
      </c>
      <c r="D1572" s="3">
        <f t="shared" si="50"/>
        <v>-8.8203860273750371E-4</v>
      </c>
      <c r="E1572" s="3">
        <f t="shared" si="51"/>
        <v>2.2796428092383803E-2</v>
      </c>
    </row>
    <row r="1573" spans="1:5" x14ac:dyDescent="0.45">
      <c r="A1573" s="2">
        <v>42859</v>
      </c>
      <c r="B1573" s="3">
        <v>30126.21</v>
      </c>
      <c r="C1573" s="3">
        <v>210.45</v>
      </c>
      <c r="D1573" s="3">
        <f t="shared" si="50"/>
        <v>7.7110047507561261E-3</v>
      </c>
      <c r="E1573" s="3">
        <f t="shared" si="51"/>
        <v>-1.4245016653852845E-3</v>
      </c>
    </row>
    <row r="1574" spans="1:5" x14ac:dyDescent="0.45">
      <c r="A1574" s="2">
        <v>42860</v>
      </c>
      <c r="B1574" s="3">
        <v>29858.799999999999</v>
      </c>
      <c r="C1574" s="3">
        <v>208.9</v>
      </c>
      <c r="D1574" s="3">
        <f t="shared" si="50"/>
        <v>-8.9159532176502337E-3</v>
      </c>
      <c r="E1574" s="3">
        <f t="shared" si="51"/>
        <v>-7.3924266540594946E-3</v>
      </c>
    </row>
    <row r="1575" spans="1:5" x14ac:dyDescent="0.45">
      <c r="A1575" s="2">
        <v>42863</v>
      </c>
      <c r="B1575" s="3">
        <v>29926.15</v>
      </c>
      <c r="C1575" s="3">
        <v>209.95</v>
      </c>
      <c r="D1575" s="3">
        <f t="shared" si="50"/>
        <v>2.2530763508553167E-3</v>
      </c>
      <c r="E1575" s="3">
        <f t="shared" si="51"/>
        <v>5.0137385676822027E-3</v>
      </c>
    </row>
    <row r="1576" spans="1:5" x14ac:dyDescent="0.45">
      <c r="A1576" s="2">
        <v>42864</v>
      </c>
      <c r="B1576" s="3">
        <v>29933.25</v>
      </c>
      <c r="C1576" s="3">
        <v>208.15</v>
      </c>
      <c r="D1576" s="3">
        <f t="shared" si="50"/>
        <v>2.3722255930715131E-4</v>
      </c>
      <c r="E1576" s="3">
        <f t="shared" si="51"/>
        <v>-8.6104334892177486E-3</v>
      </c>
    </row>
    <row r="1577" spans="1:5" x14ac:dyDescent="0.45">
      <c r="A1577" s="2">
        <v>42865</v>
      </c>
      <c r="B1577" s="3">
        <v>30248.17</v>
      </c>
      <c r="C1577" s="3">
        <v>210.5</v>
      </c>
      <c r="D1577" s="3">
        <f t="shared" si="50"/>
        <v>1.046578410732917E-2</v>
      </c>
      <c r="E1577" s="3">
        <f t="shared" si="51"/>
        <v>1.1226679481451535E-2</v>
      </c>
    </row>
    <row r="1578" spans="1:5" x14ac:dyDescent="0.45">
      <c r="A1578" s="2">
        <v>42866</v>
      </c>
      <c r="B1578" s="3">
        <v>30250.98</v>
      </c>
      <c r="C1578" s="3">
        <v>208.1</v>
      </c>
      <c r="D1578" s="3">
        <f t="shared" si="50"/>
        <v>9.2893867170810331E-5</v>
      </c>
      <c r="E1578" s="3">
        <f t="shared" si="51"/>
        <v>-1.1466919722847451E-2</v>
      </c>
    </row>
    <row r="1579" spans="1:5" x14ac:dyDescent="0.45">
      <c r="A1579" s="2">
        <v>42867</v>
      </c>
      <c r="B1579" s="3">
        <v>30188.15</v>
      </c>
      <c r="C1579" s="3">
        <v>206.15</v>
      </c>
      <c r="D1579" s="3">
        <f t="shared" si="50"/>
        <v>-2.0791173742271082E-3</v>
      </c>
      <c r="E1579" s="3">
        <f t="shared" si="51"/>
        <v>-9.4146742466796815E-3</v>
      </c>
    </row>
    <row r="1580" spans="1:5" x14ac:dyDescent="0.45">
      <c r="A1580" s="2">
        <v>42870</v>
      </c>
      <c r="B1580" s="3">
        <v>30322.12</v>
      </c>
      <c r="C1580" s="3">
        <v>206.65</v>
      </c>
      <c r="D1580" s="3">
        <f t="shared" si="50"/>
        <v>4.4280159020729975E-3</v>
      </c>
      <c r="E1580" s="3">
        <f t="shared" si="51"/>
        <v>2.4224818048322445E-3</v>
      </c>
    </row>
    <row r="1581" spans="1:5" x14ac:dyDescent="0.45">
      <c r="A1581" s="2">
        <v>42871</v>
      </c>
      <c r="B1581" s="3">
        <v>30582.6</v>
      </c>
      <c r="C1581" s="3">
        <v>207.5</v>
      </c>
      <c r="D1581" s="3">
        <f t="shared" si="50"/>
        <v>8.5537406033036317E-3</v>
      </c>
      <c r="E1581" s="3">
        <f t="shared" si="51"/>
        <v>4.1047987130116599E-3</v>
      </c>
    </row>
    <row r="1582" spans="1:5" x14ac:dyDescent="0.45">
      <c r="A1582" s="2">
        <v>42872</v>
      </c>
      <c r="B1582" s="3">
        <v>30658.77</v>
      </c>
      <c r="C1582" s="3">
        <v>208.25</v>
      </c>
      <c r="D1582" s="3">
        <f t="shared" si="50"/>
        <v>2.4875354446599598E-3</v>
      </c>
      <c r="E1582" s="3">
        <f t="shared" si="51"/>
        <v>3.6079413761990835E-3</v>
      </c>
    </row>
    <row r="1583" spans="1:5" x14ac:dyDescent="0.45">
      <c r="A1583" s="2">
        <v>42873</v>
      </c>
      <c r="B1583" s="3">
        <v>30434.79</v>
      </c>
      <c r="C1583" s="3">
        <v>208.1</v>
      </c>
      <c r="D1583" s="3">
        <f t="shared" si="50"/>
        <v>-7.3323932507448905E-3</v>
      </c>
      <c r="E1583" s="3">
        <f t="shared" si="51"/>
        <v>-7.205476473633915E-4</v>
      </c>
    </row>
    <row r="1584" spans="1:5" x14ac:dyDescent="0.45">
      <c r="A1584" s="2">
        <v>42874</v>
      </c>
      <c r="B1584" s="3">
        <v>30464.92</v>
      </c>
      <c r="C1584" s="3">
        <v>205.9</v>
      </c>
      <c r="D1584" s="3">
        <f t="shared" si="50"/>
        <v>9.8949576142023476E-4</v>
      </c>
      <c r="E1584" s="3">
        <f t="shared" si="51"/>
        <v>-1.0628119365844952E-2</v>
      </c>
    </row>
    <row r="1585" spans="1:5" x14ac:dyDescent="0.45">
      <c r="A1585" s="2">
        <v>42877</v>
      </c>
      <c r="B1585" s="3">
        <v>30570.97</v>
      </c>
      <c r="C1585" s="3">
        <v>202.15</v>
      </c>
      <c r="D1585" s="3">
        <f t="shared" si="50"/>
        <v>3.4750081212484591E-3</v>
      </c>
      <c r="E1585" s="3">
        <f t="shared" si="51"/>
        <v>-1.8380617946963877E-2</v>
      </c>
    </row>
    <row r="1586" spans="1:5" x14ac:dyDescent="0.45">
      <c r="A1586" s="2">
        <v>42878</v>
      </c>
      <c r="B1586" s="3">
        <v>30365.25</v>
      </c>
      <c r="C1586" s="3">
        <v>201.7</v>
      </c>
      <c r="D1586" s="3">
        <f t="shared" si="50"/>
        <v>-6.7520033752094836E-3</v>
      </c>
      <c r="E1586" s="3">
        <f t="shared" si="51"/>
        <v>-2.2285511266138605E-3</v>
      </c>
    </row>
    <row r="1587" spans="1:5" x14ac:dyDescent="0.45">
      <c r="A1587" s="2">
        <v>42879</v>
      </c>
      <c r="B1587" s="3">
        <v>30301.64</v>
      </c>
      <c r="C1587" s="3">
        <v>199.85</v>
      </c>
      <c r="D1587" s="3">
        <f t="shared" si="50"/>
        <v>-2.0970260156902357E-3</v>
      </c>
      <c r="E1587" s="3">
        <f t="shared" si="51"/>
        <v>-9.2143598028334994E-3</v>
      </c>
    </row>
    <row r="1588" spans="1:5" x14ac:dyDescent="0.45">
      <c r="A1588" s="2">
        <v>42880</v>
      </c>
      <c r="B1588" s="3">
        <v>30750.03</v>
      </c>
      <c r="C1588" s="3">
        <v>198.7</v>
      </c>
      <c r="D1588" s="3">
        <f t="shared" si="50"/>
        <v>1.468913339866953E-2</v>
      </c>
      <c r="E1588" s="3">
        <f t="shared" si="51"/>
        <v>-5.7709355995613915E-3</v>
      </c>
    </row>
    <row r="1589" spans="1:5" x14ac:dyDescent="0.45">
      <c r="A1589" s="2">
        <v>42881</v>
      </c>
      <c r="B1589" s="3">
        <v>31028.21</v>
      </c>
      <c r="C1589" s="3">
        <v>202.85</v>
      </c>
      <c r="D1589" s="3">
        <f t="shared" si="50"/>
        <v>9.0058208243581073E-3</v>
      </c>
      <c r="E1589" s="3">
        <f t="shared" si="51"/>
        <v>2.0670640094685212E-2</v>
      </c>
    </row>
    <row r="1590" spans="1:5" x14ac:dyDescent="0.45">
      <c r="A1590" s="2">
        <v>42884</v>
      </c>
      <c r="B1590" s="3">
        <v>31109.279999999999</v>
      </c>
      <c r="C1590" s="3">
        <v>208.45</v>
      </c>
      <c r="D1590" s="3">
        <f t="shared" si="50"/>
        <v>2.6093762718582113E-3</v>
      </c>
      <c r="E1590" s="3">
        <f t="shared" si="51"/>
        <v>2.7232414674349645E-2</v>
      </c>
    </row>
    <row r="1591" spans="1:5" x14ac:dyDescent="0.45">
      <c r="A1591" s="2">
        <v>42885</v>
      </c>
      <c r="B1591" s="3">
        <v>31159.4</v>
      </c>
      <c r="C1591" s="3">
        <v>203.95</v>
      </c>
      <c r="D1591" s="3">
        <f t="shared" si="50"/>
        <v>1.6097984034230046E-3</v>
      </c>
      <c r="E1591" s="3">
        <f t="shared" si="51"/>
        <v>-2.182433856323842E-2</v>
      </c>
    </row>
    <row r="1592" spans="1:5" x14ac:dyDescent="0.45">
      <c r="A1592" s="2">
        <v>42886</v>
      </c>
      <c r="B1592" s="3">
        <v>31145.8</v>
      </c>
      <c r="C1592" s="3">
        <v>207.8</v>
      </c>
      <c r="D1592" s="3">
        <f t="shared" si="50"/>
        <v>-4.3656067923697744E-4</v>
      </c>
      <c r="E1592" s="3">
        <f t="shared" si="51"/>
        <v>1.8701212901559721E-2</v>
      </c>
    </row>
    <row r="1593" spans="1:5" x14ac:dyDescent="0.45">
      <c r="A1593" s="2">
        <v>42887</v>
      </c>
      <c r="B1593" s="3">
        <v>31137.59</v>
      </c>
      <c r="C1593" s="3">
        <v>207.75</v>
      </c>
      <c r="D1593" s="3">
        <f t="shared" si="50"/>
        <v>-2.636336926282006E-4</v>
      </c>
      <c r="E1593" s="3">
        <f t="shared" si="51"/>
        <v>-2.4064492956952816E-4</v>
      </c>
    </row>
    <row r="1594" spans="1:5" x14ac:dyDescent="0.45">
      <c r="A1594" s="2">
        <v>42888</v>
      </c>
      <c r="B1594" s="3">
        <v>31273.29</v>
      </c>
      <c r="C1594" s="3">
        <v>206.15</v>
      </c>
      <c r="D1594" s="3">
        <f t="shared" si="50"/>
        <v>4.3486076095996364E-3</v>
      </c>
      <c r="E1594" s="3">
        <f t="shared" si="51"/>
        <v>-7.7313745826485163E-3</v>
      </c>
    </row>
    <row r="1595" spans="1:5" x14ac:dyDescent="0.45">
      <c r="A1595" s="2">
        <v>42891</v>
      </c>
      <c r="B1595" s="3">
        <v>31309.49</v>
      </c>
      <c r="C1595" s="3">
        <v>205.1</v>
      </c>
      <c r="D1595" s="3">
        <f t="shared" si="50"/>
        <v>1.1568678808239856E-3</v>
      </c>
      <c r="E1595" s="3">
        <f t="shared" si="51"/>
        <v>-5.1063940745741387E-3</v>
      </c>
    </row>
    <row r="1596" spans="1:5" x14ac:dyDescent="0.45">
      <c r="A1596" s="2">
        <v>42892</v>
      </c>
      <c r="B1596" s="3">
        <v>31190.560000000001</v>
      </c>
      <c r="C1596" s="3">
        <v>203.2</v>
      </c>
      <c r="D1596" s="3">
        <f t="shared" si="50"/>
        <v>-3.8057615488852128E-3</v>
      </c>
      <c r="E1596" s="3">
        <f t="shared" si="51"/>
        <v>-9.3069493740080798E-3</v>
      </c>
    </row>
    <row r="1597" spans="1:5" x14ac:dyDescent="0.45">
      <c r="A1597" s="2">
        <v>42893</v>
      </c>
      <c r="B1597" s="3">
        <v>31271.279999999999</v>
      </c>
      <c r="C1597" s="3">
        <v>204.85</v>
      </c>
      <c r="D1597" s="3">
        <f t="shared" si="50"/>
        <v>2.5846195032314203E-3</v>
      </c>
      <c r="E1597" s="3">
        <f t="shared" si="51"/>
        <v>8.0872882885531863E-3</v>
      </c>
    </row>
    <row r="1598" spans="1:5" x14ac:dyDescent="0.45">
      <c r="A1598" s="2">
        <v>42894</v>
      </c>
      <c r="B1598" s="3">
        <v>31213.360000000001</v>
      </c>
      <c r="C1598" s="3">
        <v>206.8</v>
      </c>
      <c r="D1598" s="3">
        <f t="shared" si="50"/>
        <v>-1.853896144361801E-3</v>
      </c>
      <c r="E1598" s="3">
        <f t="shared" si="51"/>
        <v>9.4741386413941704E-3</v>
      </c>
    </row>
    <row r="1599" spans="1:5" x14ac:dyDescent="0.45">
      <c r="A1599" s="2">
        <v>42895</v>
      </c>
      <c r="B1599" s="3">
        <v>31262.06</v>
      </c>
      <c r="C1599" s="3">
        <v>206.75</v>
      </c>
      <c r="D1599" s="3">
        <f t="shared" si="50"/>
        <v>1.559013444451424E-3</v>
      </c>
      <c r="E1599" s="3">
        <f t="shared" si="51"/>
        <v>-2.4180873047341709E-4</v>
      </c>
    </row>
    <row r="1600" spans="1:5" x14ac:dyDescent="0.45">
      <c r="A1600" s="2">
        <v>42898</v>
      </c>
      <c r="B1600" s="3">
        <v>31095.7</v>
      </c>
      <c r="C1600" s="3">
        <v>206</v>
      </c>
      <c r="D1600" s="3">
        <f t="shared" si="50"/>
        <v>-5.3356757741488481E-3</v>
      </c>
      <c r="E1600" s="3">
        <f t="shared" si="51"/>
        <v>-3.6341651142195734E-3</v>
      </c>
    </row>
    <row r="1601" spans="1:5" x14ac:dyDescent="0.45">
      <c r="A1601" s="2">
        <v>42899</v>
      </c>
      <c r="B1601" s="3">
        <v>31103.49</v>
      </c>
      <c r="C1601" s="3">
        <v>210</v>
      </c>
      <c r="D1601" s="3">
        <f t="shared" si="50"/>
        <v>2.5048557837264378E-4</v>
      </c>
      <c r="E1601" s="3">
        <f t="shared" si="51"/>
        <v>1.9231361927887592E-2</v>
      </c>
    </row>
    <row r="1602" spans="1:5" x14ac:dyDescent="0.45">
      <c r="A1602" s="2">
        <v>42900</v>
      </c>
      <c r="B1602" s="3">
        <v>31155.91</v>
      </c>
      <c r="C1602" s="3">
        <v>210.1</v>
      </c>
      <c r="D1602" s="3">
        <f t="shared" si="50"/>
        <v>1.6839228256882301E-3</v>
      </c>
      <c r="E1602" s="3">
        <f t="shared" si="51"/>
        <v>4.7607713348609505E-4</v>
      </c>
    </row>
    <row r="1603" spans="1:5" x14ac:dyDescent="0.45">
      <c r="A1603" s="2">
        <v>42901</v>
      </c>
      <c r="B1603" s="3">
        <v>31075.73</v>
      </c>
      <c r="C1603" s="3">
        <v>210.3</v>
      </c>
      <c r="D1603" s="3">
        <f t="shared" si="50"/>
        <v>-2.576825690805043E-3</v>
      </c>
      <c r="E1603" s="3">
        <f t="shared" si="51"/>
        <v>9.5147485769941638E-4</v>
      </c>
    </row>
    <row r="1604" spans="1:5" x14ac:dyDescent="0.45">
      <c r="A1604" s="2">
        <v>42902</v>
      </c>
      <c r="B1604" s="3">
        <v>31056.400000000001</v>
      </c>
      <c r="C1604" s="3">
        <v>209.5</v>
      </c>
      <c r="D1604" s="3">
        <f t="shared" si="50"/>
        <v>-6.2222237105502651E-4</v>
      </c>
      <c r="E1604" s="3">
        <f t="shared" si="51"/>
        <v>-3.811343346461753E-3</v>
      </c>
    </row>
    <row r="1605" spans="1:5" x14ac:dyDescent="0.45">
      <c r="A1605" s="2">
        <v>42905</v>
      </c>
      <c r="B1605" s="3">
        <v>31311.57</v>
      </c>
      <c r="C1605" s="3">
        <v>212.4</v>
      </c>
      <c r="D1605" s="3">
        <f t="shared" si="50"/>
        <v>8.1827715027169255E-3</v>
      </c>
      <c r="E1605" s="3">
        <f t="shared" si="51"/>
        <v>1.3747550005591433E-2</v>
      </c>
    </row>
    <row r="1606" spans="1:5" x14ac:dyDescent="0.45">
      <c r="A1606" s="2">
        <v>42906</v>
      </c>
      <c r="B1606" s="3">
        <v>31297.53</v>
      </c>
      <c r="C1606" s="3">
        <v>208.15</v>
      </c>
      <c r="D1606" s="3">
        <f t="shared" ref="D1606:D1669" si="52">LN(B1606/B1605)</f>
        <v>-4.4849711097413056E-4</v>
      </c>
      <c r="E1606" s="3">
        <f t="shared" ref="E1606:E1669" si="53">LN(C1606/C1605)</f>
        <v>-2.0212315726799282E-2</v>
      </c>
    </row>
    <row r="1607" spans="1:5" x14ac:dyDescent="0.45">
      <c r="A1607" s="2">
        <v>42907</v>
      </c>
      <c r="B1607" s="3">
        <v>31283.64</v>
      </c>
      <c r="C1607" s="3">
        <v>205.95</v>
      </c>
      <c r="D1607" s="3">
        <f t="shared" si="52"/>
        <v>-4.4390350094403424E-4</v>
      </c>
      <c r="E1607" s="3">
        <f t="shared" si="53"/>
        <v>-1.0625552758894763E-2</v>
      </c>
    </row>
    <row r="1608" spans="1:5" x14ac:dyDescent="0.45">
      <c r="A1608" s="2">
        <v>42908</v>
      </c>
      <c r="B1608" s="3">
        <v>31290.74</v>
      </c>
      <c r="C1608" s="3">
        <v>201.6</v>
      </c>
      <c r="D1608" s="3">
        <f t="shared" si="52"/>
        <v>2.2692993619667851E-4</v>
      </c>
      <c r="E1608" s="3">
        <f t="shared" si="53"/>
        <v>-2.1347884684876157E-2</v>
      </c>
    </row>
    <row r="1609" spans="1:5" x14ac:dyDescent="0.45">
      <c r="A1609" s="2">
        <v>42909</v>
      </c>
      <c r="B1609" s="3">
        <v>31138.21</v>
      </c>
      <c r="C1609" s="3">
        <v>205.3</v>
      </c>
      <c r="D1609" s="3">
        <f t="shared" si="52"/>
        <v>-4.8865247136378812E-3</v>
      </c>
      <c r="E1609" s="3">
        <f t="shared" si="53"/>
        <v>1.818678782767438E-2</v>
      </c>
    </row>
    <row r="1610" spans="1:5" x14ac:dyDescent="0.45">
      <c r="A1610" s="2">
        <v>42913</v>
      </c>
      <c r="B1610" s="3">
        <v>30958.25</v>
      </c>
      <c r="C1610" s="3">
        <v>205.15</v>
      </c>
      <c r="D1610" s="3">
        <f t="shared" si="52"/>
        <v>-5.7961598396998803E-3</v>
      </c>
      <c r="E1610" s="3">
        <f t="shared" si="53"/>
        <v>-7.3090513669281712E-4</v>
      </c>
    </row>
    <row r="1611" spans="1:5" x14ac:dyDescent="0.45">
      <c r="A1611" s="2">
        <v>42914</v>
      </c>
      <c r="B1611" s="3">
        <v>30834.32</v>
      </c>
      <c r="C1611" s="3">
        <v>207.3</v>
      </c>
      <c r="D1611" s="3">
        <f t="shared" si="52"/>
        <v>-4.0111672378695456E-3</v>
      </c>
      <c r="E1611" s="3">
        <f t="shared" si="53"/>
        <v>1.0425600553538899E-2</v>
      </c>
    </row>
    <row r="1612" spans="1:5" x14ac:dyDescent="0.45">
      <c r="A1612" s="2">
        <v>42915</v>
      </c>
      <c r="B1612" s="3">
        <v>30857.52</v>
      </c>
      <c r="C1612" s="3">
        <v>207.85</v>
      </c>
      <c r="D1612" s="3">
        <f t="shared" si="52"/>
        <v>7.5212543810253263E-4</v>
      </c>
      <c r="E1612" s="3">
        <f t="shared" si="53"/>
        <v>2.6496462569125514E-3</v>
      </c>
    </row>
    <row r="1613" spans="1:5" x14ac:dyDescent="0.45">
      <c r="A1613" s="2">
        <v>42916</v>
      </c>
      <c r="B1613" s="3">
        <v>30921.61</v>
      </c>
      <c r="C1613" s="3">
        <v>210.55</v>
      </c>
      <c r="D1613" s="3">
        <f t="shared" si="52"/>
        <v>2.0748114449472541E-3</v>
      </c>
      <c r="E1613" s="3">
        <f t="shared" si="53"/>
        <v>1.2906488909290338E-2</v>
      </c>
    </row>
    <row r="1614" spans="1:5" x14ac:dyDescent="0.45">
      <c r="A1614" s="2">
        <v>42919</v>
      </c>
      <c r="B1614" s="3">
        <v>31221.62</v>
      </c>
      <c r="C1614" s="3">
        <v>211.25</v>
      </c>
      <c r="D1614" s="3">
        <f t="shared" si="52"/>
        <v>9.6555113339472174E-3</v>
      </c>
      <c r="E1614" s="3">
        <f t="shared" si="53"/>
        <v>3.3191116293463177E-3</v>
      </c>
    </row>
    <row r="1615" spans="1:5" x14ac:dyDescent="0.45">
      <c r="A1615" s="2">
        <v>42920</v>
      </c>
      <c r="B1615" s="3">
        <v>31209.79</v>
      </c>
      <c r="C1615" s="3">
        <v>210.25</v>
      </c>
      <c r="D1615" s="3">
        <f t="shared" si="52"/>
        <v>-3.7897590785104557E-4</v>
      </c>
      <c r="E1615" s="3">
        <f t="shared" si="53"/>
        <v>-4.7449673842257494E-3</v>
      </c>
    </row>
    <row r="1616" spans="1:5" x14ac:dyDescent="0.45">
      <c r="A1616" s="2">
        <v>42921</v>
      </c>
      <c r="B1616" s="3">
        <v>31245.56</v>
      </c>
      <c r="C1616" s="3">
        <v>210.2</v>
      </c>
      <c r="D1616" s="3">
        <f t="shared" si="52"/>
        <v>1.1454584406644112E-3</v>
      </c>
      <c r="E1616" s="3">
        <f t="shared" si="53"/>
        <v>-2.3784041020669266E-4</v>
      </c>
    </row>
    <row r="1617" spans="1:5" x14ac:dyDescent="0.45">
      <c r="A1617" s="2">
        <v>42922</v>
      </c>
      <c r="B1617" s="3">
        <v>31369.34</v>
      </c>
      <c r="C1617" s="3">
        <v>209.85</v>
      </c>
      <c r="D1617" s="3">
        <f t="shared" si="52"/>
        <v>3.9536966837324713E-3</v>
      </c>
      <c r="E1617" s="3">
        <f t="shared" si="53"/>
        <v>-1.666468663250847E-3</v>
      </c>
    </row>
    <row r="1618" spans="1:5" x14ac:dyDescent="0.45">
      <c r="A1618" s="2">
        <v>42923</v>
      </c>
      <c r="B1618" s="3">
        <v>31360.63</v>
      </c>
      <c r="C1618" s="3">
        <v>209.3</v>
      </c>
      <c r="D1618" s="3">
        <f t="shared" si="52"/>
        <v>-2.7769820568927697E-4</v>
      </c>
      <c r="E1618" s="3">
        <f t="shared" si="53"/>
        <v>-2.6243603276457613E-3</v>
      </c>
    </row>
    <row r="1619" spans="1:5" x14ac:dyDescent="0.45">
      <c r="A1619" s="2">
        <v>42926</v>
      </c>
      <c r="B1619" s="3">
        <v>31715.64</v>
      </c>
      <c r="C1619" s="3">
        <v>211.35</v>
      </c>
      <c r="D1619" s="3">
        <f t="shared" si="52"/>
        <v>1.1256650041799911E-2</v>
      </c>
      <c r="E1619" s="3">
        <f t="shared" si="53"/>
        <v>9.7468975608448142E-3</v>
      </c>
    </row>
    <row r="1620" spans="1:5" x14ac:dyDescent="0.45">
      <c r="A1620" s="2">
        <v>42927</v>
      </c>
      <c r="B1620" s="3">
        <v>31747.09</v>
      </c>
      <c r="C1620" s="3">
        <v>211.9</v>
      </c>
      <c r="D1620" s="3">
        <f t="shared" si="52"/>
        <v>9.9113298701658872E-4</v>
      </c>
      <c r="E1620" s="3">
        <f t="shared" si="53"/>
        <v>2.5989382614544383E-3</v>
      </c>
    </row>
    <row r="1621" spans="1:5" x14ac:dyDescent="0.45">
      <c r="A1621" s="2">
        <v>42928</v>
      </c>
      <c r="B1621" s="3">
        <v>31804.82</v>
      </c>
      <c r="C1621" s="3">
        <v>214.05</v>
      </c>
      <c r="D1621" s="3">
        <f t="shared" si="52"/>
        <v>1.8167830322997158E-3</v>
      </c>
      <c r="E1621" s="3">
        <f t="shared" si="53"/>
        <v>1.0095167316701688E-2</v>
      </c>
    </row>
    <row r="1622" spans="1:5" x14ac:dyDescent="0.45">
      <c r="A1622" s="2">
        <v>42929</v>
      </c>
      <c r="B1622" s="3">
        <v>32037.38</v>
      </c>
      <c r="C1622" s="3">
        <v>215.1</v>
      </c>
      <c r="D1622" s="3">
        <f t="shared" si="52"/>
        <v>7.2854954453114374E-3</v>
      </c>
      <c r="E1622" s="3">
        <f t="shared" si="53"/>
        <v>4.8934036827291364E-3</v>
      </c>
    </row>
    <row r="1623" spans="1:5" x14ac:dyDescent="0.45">
      <c r="A1623" s="2">
        <v>42930</v>
      </c>
      <c r="B1623" s="3">
        <v>32020.75</v>
      </c>
      <c r="C1623" s="3">
        <v>215</v>
      </c>
      <c r="D1623" s="3">
        <f t="shared" si="52"/>
        <v>-5.1921591759240555E-4</v>
      </c>
      <c r="E1623" s="3">
        <f t="shared" si="53"/>
        <v>-4.6500814602158739E-4</v>
      </c>
    </row>
    <row r="1624" spans="1:5" x14ac:dyDescent="0.45">
      <c r="A1624" s="2">
        <v>42933</v>
      </c>
      <c r="B1624" s="3">
        <v>32074.78</v>
      </c>
      <c r="C1624" s="3">
        <v>216.6</v>
      </c>
      <c r="D1624" s="3">
        <f t="shared" si="52"/>
        <v>1.6859213988118132E-3</v>
      </c>
      <c r="E1624" s="3">
        <f t="shared" si="53"/>
        <v>7.4143064392274607E-3</v>
      </c>
    </row>
    <row r="1625" spans="1:5" x14ac:dyDescent="0.45">
      <c r="A1625" s="2">
        <v>42934</v>
      </c>
      <c r="B1625" s="3">
        <v>31710.99</v>
      </c>
      <c r="C1625" s="3">
        <v>215.4</v>
      </c>
      <c r="D1625" s="3">
        <f t="shared" si="52"/>
        <v>-1.140674305567933E-2</v>
      </c>
      <c r="E1625" s="3">
        <f t="shared" si="53"/>
        <v>-5.555569844601994E-3</v>
      </c>
    </row>
    <row r="1626" spans="1:5" x14ac:dyDescent="0.45">
      <c r="A1626" s="2">
        <v>42935</v>
      </c>
      <c r="B1626" s="3">
        <v>31955.35</v>
      </c>
      <c r="C1626" s="3">
        <v>218.6</v>
      </c>
      <c r="D1626" s="3">
        <f t="shared" si="52"/>
        <v>7.6763074466794125E-3</v>
      </c>
      <c r="E1626" s="3">
        <f t="shared" si="53"/>
        <v>1.474681102014992E-2</v>
      </c>
    </row>
    <row r="1627" spans="1:5" x14ac:dyDescent="0.45">
      <c r="A1627" s="2">
        <v>42936</v>
      </c>
      <c r="B1627" s="3">
        <v>31904.400000000001</v>
      </c>
      <c r="C1627" s="3">
        <v>218.95</v>
      </c>
      <c r="D1627" s="3">
        <f t="shared" si="52"/>
        <v>-1.5956846311104217E-3</v>
      </c>
      <c r="E1627" s="3">
        <f t="shared" si="53"/>
        <v>1.5998175049692224E-3</v>
      </c>
    </row>
    <row r="1628" spans="1:5" x14ac:dyDescent="0.45">
      <c r="A1628" s="2">
        <v>42937</v>
      </c>
      <c r="B1628" s="3">
        <v>32028.89</v>
      </c>
      <c r="C1628" s="3">
        <v>215.45</v>
      </c>
      <c r="D1628" s="3">
        <f t="shared" si="52"/>
        <v>3.8943766959695612E-3</v>
      </c>
      <c r="E1628" s="3">
        <f t="shared" si="53"/>
        <v>-1.611452918556033E-2</v>
      </c>
    </row>
    <row r="1629" spans="1:5" x14ac:dyDescent="0.45">
      <c r="A1629" s="2">
        <v>42940</v>
      </c>
      <c r="B1629" s="3">
        <v>32245.87</v>
      </c>
      <c r="C1629" s="3">
        <v>216.85</v>
      </c>
      <c r="D1629" s="3">
        <f t="shared" si="52"/>
        <v>6.7516650159968059E-3</v>
      </c>
      <c r="E1629" s="3">
        <f t="shared" si="53"/>
        <v>6.4770062195283352E-3</v>
      </c>
    </row>
    <row r="1630" spans="1:5" x14ac:dyDescent="0.45">
      <c r="A1630" s="2">
        <v>42941</v>
      </c>
      <c r="B1630" s="3">
        <v>32228.27</v>
      </c>
      <c r="C1630" s="3">
        <v>216.4</v>
      </c>
      <c r="D1630" s="3">
        <f t="shared" si="52"/>
        <v>-5.4595533766446213E-4</v>
      </c>
      <c r="E1630" s="3">
        <f t="shared" si="53"/>
        <v>-2.0773233090487348E-3</v>
      </c>
    </row>
    <row r="1631" spans="1:5" x14ac:dyDescent="0.45">
      <c r="A1631" s="2">
        <v>42942</v>
      </c>
      <c r="B1631" s="3">
        <v>32382.46</v>
      </c>
      <c r="C1631" s="3">
        <v>216.85</v>
      </c>
      <c r="D1631" s="3">
        <f t="shared" si="52"/>
        <v>4.7729004984572252E-3</v>
      </c>
      <c r="E1631" s="3">
        <f t="shared" si="53"/>
        <v>2.0773233090486736E-3</v>
      </c>
    </row>
    <row r="1632" spans="1:5" x14ac:dyDescent="0.45">
      <c r="A1632" s="2">
        <v>42943</v>
      </c>
      <c r="B1632" s="3">
        <v>32383.3</v>
      </c>
      <c r="C1632" s="3">
        <v>216.85</v>
      </c>
      <c r="D1632" s="3">
        <f t="shared" si="52"/>
        <v>2.5939632300950751E-5</v>
      </c>
      <c r="E1632" s="3">
        <f t="shared" si="53"/>
        <v>0</v>
      </c>
    </row>
    <row r="1633" spans="1:5" x14ac:dyDescent="0.45">
      <c r="A1633" s="2">
        <v>42944</v>
      </c>
      <c r="B1633" s="3">
        <v>32309.88</v>
      </c>
      <c r="C1633" s="3">
        <v>214</v>
      </c>
      <c r="D1633" s="3">
        <f t="shared" si="52"/>
        <v>-2.2697920096485498E-3</v>
      </c>
      <c r="E1633" s="3">
        <f t="shared" si="53"/>
        <v>-1.3229855259523733E-2</v>
      </c>
    </row>
    <row r="1634" spans="1:5" x14ac:dyDescent="0.45">
      <c r="A1634" s="2">
        <v>42947</v>
      </c>
      <c r="B1634" s="3">
        <v>32514.94</v>
      </c>
      <c r="C1634" s="3">
        <v>223.05</v>
      </c>
      <c r="D1634" s="3">
        <f t="shared" si="52"/>
        <v>6.3266102081614818E-3</v>
      </c>
      <c r="E1634" s="3">
        <f t="shared" si="53"/>
        <v>4.1419946552422295E-2</v>
      </c>
    </row>
    <row r="1635" spans="1:5" x14ac:dyDescent="0.45">
      <c r="A1635" s="2">
        <v>42948</v>
      </c>
      <c r="B1635" s="3">
        <v>32575.17</v>
      </c>
      <c r="C1635" s="3">
        <v>224.25</v>
      </c>
      <c r="D1635" s="3">
        <f t="shared" si="52"/>
        <v>1.8506657060637297E-3</v>
      </c>
      <c r="E1635" s="3">
        <f t="shared" si="53"/>
        <v>5.365539364631685E-3</v>
      </c>
    </row>
    <row r="1636" spans="1:5" x14ac:dyDescent="0.45">
      <c r="A1636" s="2">
        <v>42949</v>
      </c>
      <c r="B1636" s="3">
        <v>32476.74</v>
      </c>
      <c r="C1636" s="3">
        <v>221.5</v>
      </c>
      <c r="D1636" s="3">
        <f t="shared" si="52"/>
        <v>-3.0262009253101069E-3</v>
      </c>
      <c r="E1636" s="3">
        <f t="shared" si="53"/>
        <v>-1.23389114537152E-2</v>
      </c>
    </row>
    <row r="1637" spans="1:5" x14ac:dyDescent="0.45">
      <c r="A1637" s="2">
        <v>42950</v>
      </c>
      <c r="B1637" s="3">
        <v>32237.88</v>
      </c>
      <c r="C1637" s="3">
        <v>221.9</v>
      </c>
      <c r="D1637" s="3">
        <f t="shared" si="52"/>
        <v>-7.3819821454665716E-3</v>
      </c>
      <c r="E1637" s="3">
        <f t="shared" si="53"/>
        <v>1.8042404533580127E-3</v>
      </c>
    </row>
    <row r="1638" spans="1:5" x14ac:dyDescent="0.45">
      <c r="A1638" s="2">
        <v>42951</v>
      </c>
      <c r="B1638" s="3">
        <v>32325.41</v>
      </c>
      <c r="C1638" s="3">
        <v>224.85</v>
      </c>
      <c r="D1638" s="3">
        <f t="shared" si="52"/>
        <v>2.7114496063136936E-3</v>
      </c>
      <c r="E1638" s="3">
        <f t="shared" si="53"/>
        <v>1.3206683278168149E-2</v>
      </c>
    </row>
    <row r="1639" spans="1:5" x14ac:dyDescent="0.45">
      <c r="A1639" s="2">
        <v>42954</v>
      </c>
      <c r="B1639" s="3">
        <v>32273.67</v>
      </c>
      <c r="C1639" s="3">
        <v>225.9</v>
      </c>
      <c r="D1639" s="3">
        <f t="shared" si="52"/>
        <v>-1.6018807408350888E-3</v>
      </c>
      <c r="E1639" s="3">
        <f t="shared" si="53"/>
        <v>4.6589102572412704E-3</v>
      </c>
    </row>
    <row r="1640" spans="1:5" x14ac:dyDescent="0.45">
      <c r="A1640" s="2">
        <v>42955</v>
      </c>
      <c r="B1640" s="3">
        <v>32014.19</v>
      </c>
      <c r="C1640" s="3">
        <v>222.2</v>
      </c>
      <c r="D1640" s="3">
        <f t="shared" si="52"/>
        <v>-8.0724855076360173E-3</v>
      </c>
      <c r="E1640" s="3">
        <f t="shared" si="53"/>
        <v>-1.6514546268428024E-2</v>
      </c>
    </row>
    <row r="1641" spans="1:5" x14ac:dyDescent="0.45">
      <c r="A1641" s="2">
        <v>42956</v>
      </c>
      <c r="B1641" s="3">
        <v>31797.84</v>
      </c>
      <c r="C1641" s="3">
        <v>221.9</v>
      </c>
      <c r="D1641" s="3">
        <f t="shared" si="52"/>
        <v>-6.780879059520027E-3</v>
      </c>
      <c r="E1641" s="3">
        <f t="shared" si="53"/>
        <v>-1.351047266981265E-3</v>
      </c>
    </row>
    <row r="1642" spans="1:5" x14ac:dyDescent="0.45">
      <c r="A1642" s="2">
        <v>42957</v>
      </c>
      <c r="B1642" s="3">
        <v>31531.33</v>
      </c>
      <c r="C1642" s="3">
        <v>217.8</v>
      </c>
      <c r="D1642" s="3">
        <f t="shared" si="52"/>
        <v>-8.4167082346797498E-3</v>
      </c>
      <c r="E1642" s="3">
        <f t="shared" si="53"/>
        <v>-1.8649619439688167E-2</v>
      </c>
    </row>
    <row r="1643" spans="1:5" x14ac:dyDescent="0.45">
      <c r="A1643" s="2">
        <v>42958</v>
      </c>
      <c r="B1643" s="3">
        <v>31213.59</v>
      </c>
      <c r="C1643" s="3">
        <v>218.75</v>
      </c>
      <c r="D1643" s="3">
        <f t="shared" si="52"/>
        <v>-1.0128077813750682E-2</v>
      </c>
      <c r="E1643" s="3">
        <f t="shared" si="53"/>
        <v>4.3523147388636564E-3</v>
      </c>
    </row>
    <row r="1644" spans="1:5" x14ac:dyDescent="0.45">
      <c r="A1644" s="2">
        <v>42961</v>
      </c>
      <c r="B1644" s="3">
        <v>31449.03</v>
      </c>
      <c r="C1644" s="3">
        <v>222.45</v>
      </c>
      <c r="D1644" s="3">
        <f t="shared" si="52"/>
        <v>7.5145631610697835E-3</v>
      </c>
      <c r="E1644" s="3">
        <f t="shared" si="53"/>
        <v>1.677283201432693E-2</v>
      </c>
    </row>
    <row r="1645" spans="1:5" x14ac:dyDescent="0.45">
      <c r="A1645" s="2">
        <v>42963</v>
      </c>
      <c r="B1645" s="3">
        <v>31770.89</v>
      </c>
      <c r="C1645" s="3">
        <v>220.65</v>
      </c>
      <c r="D1645" s="3">
        <f t="shared" si="52"/>
        <v>1.0182321675094587E-2</v>
      </c>
      <c r="E1645" s="3">
        <f t="shared" si="53"/>
        <v>-8.1246215364945227E-3</v>
      </c>
    </row>
    <row r="1646" spans="1:5" x14ac:dyDescent="0.45">
      <c r="A1646" s="2">
        <v>42964</v>
      </c>
      <c r="B1646" s="3">
        <v>31795.46</v>
      </c>
      <c r="C1646" s="3">
        <v>219.45</v>
      </c>
      <c r="D1646" s="3">
        <f t="shared" si="52"/>
        <v>7.7305055972544802E-4</v>
      </c>
      <c r="E1646" s="3">
        <f t="shared" si="53"/>
        <v>-5.4533195813132873E-3</v>
      </c>
    </row>
    <row r="1647" spans="1:5" x14ac:dyDescent="0.45">
      <c r="A1647" s="2">
        <v>42965</v>
      </c>
      <c r="B1647" s="3">
        <v>31524.68</v>
      </c>
      <c r="C1647" s="3">
        <v>222.85</v>
      </c>
      <c r="D1647" s="3">
        <f t="shared" si="52"/>
        <v>-8.5527811729165931E-3</v>
      </c>
      <c r="E1647" s="3">
        <f t="shared" si="53"/>
        <v>1.5374483258321879E-2</v>
      </c>
    </row>
    <row r="1648" spans="1:5" x14ac:dyDescent="0.45">
      <c r="A1648" s="2">
        <v>42968</v>
      </c>
      <c r="B1648" s="3">
        <v>31258.85</v>
      </c>
      <c r="C1648" s="3">
        <v>220</v>
      </c>
      <c r="D1648" s="3">
        <f t="shared" si="52"/>
        <v>-8.4681950365367107E-3</v>
      </c>
      <c r="E1648" s="3">
        <f t="shared" si="53"/>
        <v>-1.2871353040203246E-2</v>
      </c>
    </row>
    <row r="1649" spans="1:5" x14ac:dyDescent="0.45">
      <c r="A1649" s="2">
        <v>42969</v>
      </c>
      <c r="B1649" s="3">
        <v>31291.85</v>
      </c>
      <c r="C1649" s="3">
        <v>219.45</v>
      </c>
      <c r="D1649" s="3">
        <f t="shared" si="52"/>
        <v>1.0551441650261922E-3</v>
      </c>
      <c r="E1649" s="3">
        <f t="shared" si="53"/>
        <v>-2.5031302181185884E-3</v>
      </c>
    </row>
    <row r="1650" spans="1:5" x14ac:dyDescent="0.45">
      <c r="A1650" s="2">
        <v>42970</v>
      </c>
      <c r="B1650" s="3">
        <v>31568.01</v>
      </c>
      <c r="C1650" s="3">
        <v>219.3</v>
      </c>
      <c r="D1650" s="3">
        <f t="shared" si="52"/>
        <v>8.7865858028056253E-3</v>
      </c>
      <c r="E1650" s="3">
        <f t="shared" si="53"/>
        <v>-6.8376071040042029E-4</v>
      </c>
    </row>
    <row r="1651" spans="1:5" x14ac:dyDescent="0.45">
      <c r="A1651" s="2">
        <v>42971</v>
      </c>
      <c r="B1651" s="3">
        <v>31596.06</v>
      </c>
      <c r="C1651" s="3">
        <v>219.95</v>
      </c>
      <c r="D1651" s="3">
        <f t="shared" si="52"/>
        <v>8.8816321823157428E-4</v>
      </c>
      <c r="E1651" s="3">
        <f t="shared" si="53"/>
        <v>2.9595923708862324E-3</v>
      </c>
    </row>
    <row r="1652" spans="1:5" x14ac:dyDescent="0.45">
      <c r="A1652" s="2">
        <v>42975</v>
      </c>
      <c r="B1652" s="3">
        <v>31750.82</v>
      </c>
      <c r="C1652" s="3">
        <v>217.75</v>
      </c>
      <c r="D1652" s="3">
        <f t="shared" si="52"/>
        <v>4.8861225019254228E-3</v>
      </c>
      <c r="E1652" s="3">
        <f t="shared" si="53"/>
        <v>-1.0052632062116516E-2</v>
      </c>
    </row>
    <row r="1653" spans="1:5" x14ac:dyDescent="0.45">
      <c r="A1653" s="2">
        <v>42976</v>
      </c>
      <c r="B1653" s="3">
        <v>31388.39</v>
      </c>
      <c r="C1653" s="3">
        <v>215.8</v>
      </c>
      <c r="D1653" s="3">
        <f t="shared" si="52"/>
        <v>-1.1480472458190227E-2</v>
      </c>
      <c r="E1653" s="3">
        <f t="shared" si="53"/>
        <v>-8.995562908577873E-3</v>
      </c>
    </row>
    <row r="1654" spans="1:5" x14ac:dyDescent="0.45">
      <c r="A1654" s="2">
        <v>42977</v>
      </c>
      <c r="B1654" s="3">
        <v>31646.46</v>
      </c>
      <c r="C1654" s="3">
        <v>215.85</v>
      </c>
      <c r="D1654" s="3">
        <f t="shared" si="52"/>
        <v>8.1882146748021318E-3</v>
      </c>
      <c r="E1654" s="3">
        <f t="shared" si="53"/>
        <v>2.3166917745221576E-4</v>
      </c>
    </row>
    <row r="1655" spans="1:5" x14ac:dyDescent="0.45">
      <c r="A1655" s="2">
        <v>42978</v>
      </c>
      <c r="B1655" s="3">
        <v>31730.49</v>
      </c>
      <c r="C1655" s="3">
        <v>218.35</v>
      </c>
      <c r="D1655" s="3">
        <f t="shared" si="52"/>
        <v>2.6517542810180652E-3</v>
      </c>
      <c r="E1655" s="3">
        <f t="shared" si="53"/>
        <v>1.1515557930083473E-2</v>
      </c>
    </row>
    <row r="1656" spans="1:5" x14ac:dyDescent="0.45">
      <c r="A1656" s="2">
        <v>42979</v>
      </c>
      <c r="B1656" s="3">
        <v>31892.23</v>
      </c>
      <c r="C1656" s="3">
        <v>216.6</v>
      </c>
      <c r="D1656" s="3">
        <f t="shared" si="52"/>
        <v>5.0843581797249526E-3</v>
      </c>
      <c r="E1656" s="3">
        <f t="shared" si="53"/>
        <v>-8.0469453646796751E-3</v>
      </c>
    </row>
    <row r="1657" spans="1:5" x14ac:dyDescent="0.45">
      <c r="A1657" s="2">
        <v>42982</v>
      </c>
      <c r="B1657" s="3">
        <v>31702.25</v>
      </c>
      <c r="C1657" s="3">
        <v>216.9</v>
      </c>
      <c r="D1657" s="3">
        <f t="shared" si="52"/>
        <v>-5.9747501718008739E-3</v>
      </c>
      <c r="E1657" s="3">
        <f t="shared" si="53"/>
        <v>1.3840832659385552E-3</v>
      </c>
    </row>
    <row r="1658" spans="1:5" x14ac:dyDescent="0.45">
      <c r="A1658" s="2">
        <v>42983</v>
      </c>
      <c r="B1658" s="3">
        <v>31809.55</v>
      </c>
      <c r="C1658" s="3">
        <v>215.9</v>
      </c>
      <c r="D1658" s="3">
        <f t="shared" si="52"/>
        <v>3.3789028837743745E-3</v>
      </c>
      <c r="E1658" s="3">
        <f t="shared" si="53"/>
        <v>-4.6210803120670082E-3</v>
      </c>
    </row>
    <row r="1659" spans="1:5" x14ac:dyDescent="0.45">
      <c r="A1659" s="2">
        <v>42984</v>
      </c>
      <c r="B1659" s="3">
        <v>31661.97</v>
      </c>
      <c r="C1659" s="3">
        <v>213.95</v>
      </c>
      <c r="D1659" s="3">
        <f t="shared" si="52"/>
        <v>-4.650283023094056E-3</v>
      </c>
      <c r="E1659" s="3">
        <f t="shared" si="53"/>
        <v>-9.072994657935889E-3</v>
      </c>
    </row>
    <row r="1660" spans="1:5" x14ac:dyDescent="0.45">
      <c r="A1660" s="2">
        <v>42985</v>
      </c>
      <c r="B1660" s="3">
        <v>31662.74</v>
      </c>
      <c r="C1660" s="3">
        <v>215.8</v>
      </c>
      <c r="D1660" s="3">
        <f t="shared" si="52"/>
        <v>2.4319100712494776E-5</v>
      </c>
      <c r="E1660" s="3">
        <f t="shared" si="53"/>
        <v>8.6097099612086562E-3</v>
      </c>
    </row>
    <row r="1661" spans="1:5" x14ac:dyDescent="0.45">
      <c r="A1661" s="2">
        <v>42986</v>
      </c>
      <c r="B1661" s="3">
        <v>31687.52</v>
      </c>
      <c r="C1661" s="3">
        <v>213.15</v>
      </c>
      <c r="D1661" s="3">
        <f t="shared" si="52"/>
        <v>7.8231727111518112E-4</v>
      </c>
      <c r="E1661" s="3">
        <f t="shared" si="53"/>
        <v>-1.2355909612814974E-2</v>
      </c>
    </row>
    <row r="1662" spans="1:5" x14ac:dyDescent="0.45">
      <c r="A1662" s="2">
        <v>42989</v>
      </c>
      <c r="B1662" s="3">
        <v>31882.16</v>
      </c>
      <c r="C1662" s="3">
        <v>215.5</v>
      </c>
      <c r="D1662" s="3">
        <f t="shared" si="52"/>
        <v>6.1236931896913784E-3</v>
      </c>
      <c r="E1662" s="3">
        <f t="shared" si="53"/>
        <v>1.0964766332583208E-2</v>
      </c>
    </row>
    <row r="1663" spans="1:5" x14ac:dyDescent="0.45">
      <c r="A1663" s="2">
        <v>42990</v>
      </c>
      <c r="B1663" s="3">
        <v>32158.66</v>
      </c>
      <c r="C1663" s="3">
        <v>215.25</v>
      </c>
      <c r="D1663" s="3">
        <f t="shared" si="52"/>
        <v>8.6351710714171227E-3</v>
      </c>
      <c r="E1663" s="3">
        <f t="shared" si="53"/>
        <v>-1.1607662359622759E-3</v>
      </c>
    </row>
    <row r="1664" spans="1:5" x14ac:dyDescent="0.45">
      <c r="A1664" s="2">
        <v>42991</v>
      </c>
      <c r="B1664" s="3">
        <v>32186.41</v>
      </c>
      <c r="C1664" s="3">
        <v>213.75</v>
      </c>
      <c r="D1664" s="3">
        <f t="shared" si="52"/>
        <v>8.6253699686482193E-4</v>
      </c>
      <c r="E1664" s="3">
        <f t="shared" si="53"/>
        <v>-6.9930354909706373E-3</v>
      </c>
    </row>
    <row r="1665" spans="1:5" x14ac:dyDescent="0.45">
      <c r="A1665" s="2">
        <v>42992</v>
      </c>
      <c r="B1665" s="3">
        <v>32241.93</v>
      </c>
      <c r="C1665" s="3">
        <v>213.3</v>
      </c>
      <c r="D1665" s="3">
        <f t="shared" si="52"/>
        <v>1.7234655973673648E-3</v>
      </c>
      <c r="E1665" s="3">
        <f t="shared" si="53"/>
        <v>-2.1074823395646983E-3</v>
      </c>
    </row>
    <row r="1666" spans="1:5" x14ac:dyDescent="0.45">
      <c r="A1666" s="2">
        <v>42993</v>
      </c>
      <c r="B1666" s="3">
        <v>32272.61</v>
      </c>
      <c r="C1666" s="3">
        <v>213.45</v>
      </c>
      <c r="D1666" s="3">
        <f t="shared" si="52"/>
        <v>9.5110349737456776E-4</v>
      </c>
      <c r="E1666" s="3">
        <f t="shared" si="53"/>
        <v>7.0298772666598929E-4</v>
      </c>
    </row>
    <row r="1667" spans="1:5" x14ac:dyDescent="0.45">
      <c r="A1667" s="2">
        <v>42996</v>
      </c>
      <c r="B1667" s="3">
        <v>32423.759999999998</v>
      </c>
      <c r="C1667" s="3">
        <v>214.9</v>
      </c>
      <c r="D1667" s="3">
        <f t="shared" si="52"/>
        <v>4.6726045064865024E-3</v>
      </c>
      <c r="E1667" s="3">
        <f t="shared" si="53"/>
        <v>6.7701904444937098E-3</v>
      </c>
    </row>
    <row r="1668" spans="1:5" x14ac:dyDescent="0.45">
      <c r="A1668" s="2">
        <v>42997</v>
      </c>
      <c r="B1668" s="3">
        <v>32402.37</v>
      </c>
      <c r="C1668" s="3">
        <v>215.4</v>
      </c>
      <c r="D1668" s="3">
        <f t="shared" si="52"/>
        <v>-6.5991910287618828E-4</v>
      </c>
      <c r="E1668" s="3">
        <f t="shared" si="53"/>
        <v>2.3239610738233847E-3</v>
      </c>
    </row>
    <row r="1669" spans="1:5" x14ac:dyDescent="0.45">
      <c r="A1669" s="2">
        <v>42998</v>
      </c>
      <c r="B1669" s="3">
        <v>32400.51</v>
      </c>
      <c r="C1669" s="3">
        <v>212.85</v>
      </c>
      <c r="D1669" s="3">
        <f t="shared" si="52"/>
        <v>-5.740485609625554E-5</v>
      </c>
      <c r="E1669" s="3">
        <f t="shared" si="53"/>
        <v>-1.1909072448126877E-2</v>
      </c>
    </row>
    <row r="1670" spans="1:5" x14ac:dyDescent="0.45">
      <c r="A1670" s="2">
        <v>42999</v>
      </c>
      <c r="B1670" s="3">
        <v>32370.04</v>
      </c>
      <c r="C1670" s="3">
        <v>211.25</v>
      </c>
      <c r="D1670" s="3">
        <f t="shared" ref="D1670:D1733" si="54">LN(B1670/B1669)</f>
        <v>-9.4085976567166848E-4</v>
      </c>
      <c r="E1670" s="3">
        <f t="shared" ref="E1670:E1733" si="55">LN(C1670/C1669)</f>
        <v>-7.5454260368781152E-3</v>
      </c>
    </row>
    <row r="1671" spans="1:5" x14ac:dyDescent="0.45">
      <c r="A1671" s="2">
        <v>43000</v>
      </c>
      <c r="B1671" s="3">
        <v>31922.44</v>
      </c>
      <c r="C1671" s="3">
        <v>209.75</v>
      </c>
      <c r="D1671" s="3">
        <f t="shared" si="54"/>
        <v>-1.3924092886575935E-2</v>
      </c>
      <c r="E1671" s="3">
        <f t="shared" si="55"/>
        <v>-7.1259208899676612E-3</v>
      </c>
    </row>
    <row r="1672" spans="1:5" x14ac:dyDescent="0.45">
      <c r="A1672" s="2">
        <v>43003</v>
      </c>
      <c r="B1672" s="3">
        <v>31626.63</v>
      </c>
      <c r="C1672" s="3">
        <v>210.15</v>
      </c>
      <c r="D1672" s="3">
        <f t="shared" si="54"/>
        <v>-9.3097235414496583E-3</v>
      </c>
      <c r="E1672" s="3">
        <f t="shared" si="55"/>
        <v>1.905216103810141E-3</v>
      </c>
    </row>
    <row r="1673" spans="1:5" x14ac:dyDescent="0.45">
      <c r="A1673" s="2">
        <v>43004</v>
      </c>
      <c r="B1673" s="3">
        <v>31599.759999999998</v>
      </c>
      <c r="C1673" s="3">
        <v>210.75</v>
      </c>
      <c r="D1673" s="3">
        <f t="shared" si="54"/>
        <v>-8.499615941271909E-4</v>
      </c>
      <c r="E1673" s="3">
        <f t="shared" si="55"/>
        <v>2.8510354308390845E-3</v>
      </c>
    </row>
    <row r="1674" spans="1:5" x14ac:dyDescent="0.45">
      <c r="A1674" s="2">
        <v>43005</v>
      </c>
      <c r="B1674" s="3">
        <v>31159.81</v>
      </c>
      <c r="C1674" s="3">
        <v>207.45</v>
      </c>
      <c r="D1674" s="3">
        <f t="shared" si="54"/>
        <v>-1.4020402204334077E-2</v>
      </c>
      <c r="E1674" s="3">
        <f t="shared" si="55"/>
        <v>-1.578225010308797E-2</v>
      </c>
    </row>
    <row r="1675" spans="1:5" x14ac:dyDescent="0.45">
      <c r="A1675" s="2">
        <v>43006</v>
      </c>
      <c r="B1675" s="3">
        <v>31282.48</v>
      </c>
      <c r="C1675" s="3">
        <v>209.3</v>
      </c>
      <c r="D1675" s="3">
        <f t="shared" si="54"/>
        <v>3.9290729987953429E-3</v>
      </c>
      <c r="E1675" s="3">
        <f t="shared" si="55"/>
        <v>8.878282673077326E-3</v>
      </c>
    </row>
    <row r="1676" spans="1:5" x14ac:dyDescent="0.45">
      <c r="A1676" s="2">
        <v>43007</v>
      </c>
      <c r="B1676" s="3">
        <v>31283.72</v>
      </c>
      <c r="C1676" s="3">
        <v>210.65</v>
      </c>
      <c r="D1676" s="3">
        <f t="shared" si="54"/>
        <v>3.963801541924924E-5</v>
      </c>
      <c r="E1676" s="3">
        <f t="shared" si="55"/>
        <v>6.4293589730714407E-3</v>
      </c>
    </row>
    <row r="1677" spans="1:5" x14ac:dyDescent="0.45">
      <c r="A1677" s="2">
        <v>43011</v>
      </c>
      <c r="B1677" s="3">
        <v>31497.38</v>
      </c>
      <c r="C1677" s="3">
        <v>206.1</v>
      </c>
      <c r="D1677" s="3">
        <f t="shared" si="54"/>
        <v>6.8065333320172245E-3</v>
      </c>
      <c r="E1677" s="3">
        <f t="shared" si="55"/>
        <v>-2.1836500528612274E-2</v>
      </c>
    </row>
    <row r="1678" spans="1:5" x14ac:dyDescent="0.45">
      <c r="A1678" s="2">
        <v>43012</v>
      </c>
      <c r="B1678" s="3">
        <v>31671.71</v>
      </c>
      <c r="C1678" s="3">
        <v>209</v>
      </c>
      <c r="D1678" s="3">
        <f t="shared" si="54"/>
        <v>5.5194856400817248E-3</v>
      </c>
      <c r="E1678" s="3">
        <f t="shared" si="55"/>
        <v>1.397276406839775E-2</v>
      </c>
    </row>
    <row r="1679" spans="1:5" x14ac:dyDescent="0.45">
      <c r="A1679" s="2">
        <v>43013</v>
      </c>
      <c r="B1679" s="3">
        <v>31592.03</v>
      </c>
      <c r="C1679" s="3">
        <v>204.85</v>
      </c>
      <c r="D1679" s="3">
        <f t="shared" si="54"/>
        <v>-2.5189798179026E-3</v>
      </c>
      <c r="E1679" s="3">
        <f t="shared" si="55"/>
        <v>-2.0056247971930955E-2</v>
      </c>
    </row>
    <row r="1680" spans="1:5" x14ac:dyDescent="0.45">
      <c r="A1680" s="2">
        <v>43014</v>
      </c>
      <c r="B1680" s="3">
        <v>31814.22</v>
      </c>
      <c r="C1680" s="3">
        <v>204.8</v>
      </c>
      <c r="D1680" s="3">
        <f t="shared" si="54"/>
        <v>7.0084860554343867E-3</v>
      </c>
      <c r="E1680" s="3">
        <f t="shared" si="55"/>
        <v>-2.4411082752725079E-4</v>
      </c>
    </row>
    <row r="1681" spans="1:5" x14ac:dyDescent="0.45">
      <c r="A1681" s="2">
        <v>43017</v>
      </c>
      <c r="B1681" s="3">
        <v>31846.89</v>
      </c>
      <c r="C1681" s="3">
        <v>201.35</v>
      </c>
      <c r="D1681" s="3">
        <f t="shared" si="54"/>
        <v>1.0263723918100881E-3</v>
      </c>
      <c r="E1681" s="3">
        <f t="shared" si="55"/>
        <v>-1.698920586788966E-2</v>
      </c>
    </row>
    <row r="1682" spans="1:5" x14ac:dyDescent="0.45">
      <c r="A1682" s="2">
        <v>43018</v>
      </c>
      <c r="B1682" s="3">
        <v>31924.41</v>
      </c>
      <c r="C1682" s="3">
        <v>204.6</v>
      </c>
      <c r="D1682" s="3">
        <f t="shared" si="54"/>
        <v>2.4311888947844995E-3</v>
      </c>
      <c r="E1682" s="3">
        <f t="shared" si="55"/>
        <v>1.6012166220062851E-2</v>
      </c>
    </row>
    <row r="1683" spans="1:5" x14ac:dyDescent="0.45">
      <c r="A1683" s="2">
        <v>43019</v>
      </c>
      <c r="B1683" s="3">
        <v>31833.99</v>
      </c>
      <c r="C1683" s="3">
        <v>202.75</v>
      </c>
      <c r="D1683" s="3">
        <f t="shared" si="54"/>
        <v>-2.8363340553555177E-3</v>
      </c>
      <c r="E1683" s="3">
        <f t="shared" si="55"/>
        <v>-9.0831605220037959E-3</v>
      </c>
    </row>
    <row r="1684" spans="1:5" x14ac:dyDescent="0.45">
      <c r="A1684" s="2">
        <v>43020</v>
      </c>
      <c r="B1684" s="3">
        <v>32182.22</v>
      </c>
      <c r="C1684" s="3">
        <v>202.7</v>
      </c>
      <c r="D1684" s="3">
        <f t="shared" si="54"/>
        <v>1.087953925509602E-2</v>
      </c>
      <c r="E1684" s="3">
        <f t="shared" si="55"/>
        <v>-2.4663953756800925E-4</v>
      </c>
    </row>
    <row r="1685" spans="1:5" x14ac:dyDescent="0.45">
      <c r="A1685" s="2">
        <v>43021</v>
      </c>
      <c r="B1685" s="3">
        <v>32432.69</v>
      </c>
      <c r="C1685" s="3">
        <v>205.55</v>
      </c>
      <c r="D1685" s="3">
        <f t="shared" si="54"/>
        <v>7.7527386338367933E-3</v>
      </c>
      <c r="E1685" s="3">
        <f t="shared" si="55"/>
        <v>1.3962259885933182E-2</v>
      </c>
    </row>
    <row r="1686" spans="1:5" x14ac:dyDescent="0.45">
      <c r="A1686" s="2">
        <v>43024</v>
      </c>
      <c r="B1686" s="3">
        <v>32633.64</v>
      </c>
      <c r="C1686" s="3">
        <v>205.55</v>
      </c>
      <c r="D1686" s="3">
        <f t="shared" si="54"/>
        <v>6.1767934014300228E-3</v>
      </c>
      <c r="E1686" s="3">
        <f t="shared" si="55"/>
        <v>0</v>
      </c>
    </row>
    <row r="1687" spans="1:5" x14ac:dyDescent="0.45">
      <c r="A1687" s="2">
        <v>43025</v>
      </c>
      <c r="B1687" s="3">
        <v>32609.16</v>
      </c>
      <c r="C1687" s="3">
        <v>204.9</v>
      </c>
      <c r="D1687" s="3">
        <f t="shared" si="54"/>
        <v>-7.5042766861040729E-4</v>
      </c>
      <c r="E1687" s="3">
        <f t="shared" si="55"/>
        <v>-3.1672580990333645E-3</v>
      </c>
    </row>
    <row r="1688" spans="1:5" x14ac:dyDescent="0.45">
      <c r="A1688" s="2">
        <v>43026</v>
      </c>
      <c r="B1688" s="3">
        <v>32584.35</v>
      </c>
      <c r="C1688" s="3">
        <v>213.1</v>
      </c>
      <c r="D1688" s="3">
        <f t="shared" si="54"/>
        <v>-7.6111874319103939E-4</v>
      </c>
      <c r="E1688" s="3">
        <f t="shared" si="55"/>
        <v>3.9239483859717331E-2</v>
      </c>
    </row>
    <row r="1689" spans="1:5" x14ac:dyDescent="0.45">
      <c r="A1689" s="2">
        <v>43027</v>
      </c>
      <c r="B1689" s="3">
        <v>32389.96</v>
      </c>
      <c r="C1689" s="3">
        <v>210.6</v>
      </c>
      <c r="D1689" s="3">
        <f t="shared" si="54"/>
        <v>-5.9836135232105058E-3</v>
      </c>
      <c r="E1689" s="3">
        <f t="shared" si="55"/>
        <v>-1.1800939404696301E-2</v>
      </c>
    </row>
    <row r="1690" spans="1:5" x14ac:dyDescent="0.45">
      <c r="A1690" s="2">
        <v>43031</v>
      </c>
      <c r="B1690" s="3">
        <v>32506.720000000001</v>
      </c>
      <c r="C1690" s="3">
        <v>212.7</v>
      </c>
      <c r="D1690" s="3">
        <f t="shared" si="54"/>
        <v>3.5983389592329374E-3</v>
      </c>
      <c r="E1690" s="3">
        <f t="shared" si="55"/>
        <v>9.9221225063162704E-3</v>
      </c>
    </row>
    <row r="1691" spans="1:5" x14ac:dyDescent="0.45">
      <c r="A1691" s="2">
        <v>43032</v>
      </c>
      <c r="B1691" s="3">
        <v>32607.34</v>
      </c>
      <c r="C1691" s="3">
        <v>214.75</v>
      </c>
      <c r="D1691" s="3">
        <f t="shared" si="54"/>
        <v>3.0905792110281155E-3</v>
      </c>
      <c r="E1691" s="3">
        <f t="shared" si="55"/>
        <v>9.5918386581733406E-3</v>
      </c>
    </row>
    <row r="1692" spans="1:5" x14ac:dyDescent="0.45">
      <c r="A1692" s="2">
        <v>43033</v>
      </c>
      <c r="B1692" s="3">
        <v>33042.5</v>
      </c>
      <c r="C1692" s="3">
        <v>215.55</v>
      </c>
      <c r="D1692" s="3">
        <f t="shared" si="54"/>
        <v>1.3257195246146488E-2</v>
      </c>
      <c r="E1692" s="3">
        <f t="shared" si="55"/>
        <v>3.7183403287789287E-3</v>
      </c>
    </row>
    <row r="1693" spans="1:5" x14ac:dyDescent="0.45">
      <c r="A1693" s="2">
        <v>43034</v>
      </c>
      <c r="B1693" s="3">
        <v>33147.129999999997</v>
      </c>
      <c r="C1693" s="3">
        <v>212</v>
      </c>
      <c r="D1693" s="3">
        <f t="shared" si="54"/>
        <v>3.1615250651847774E-3</v>
      </c>
      <c r="E1693" s="3">
        <f t="shared" si="55"/>
        <v>-1.6606626521131238E-2</v>
      </c>
    </row>
    <row r="1694" spans="1:5" x14ac:dyDescent="0.45">
      <c r="A1694" s="2">
        <v>43035</v>
      </c>
      <c r="B1694" s="3">
        <v>33157.22</v>
      </c>
      <c r="C1694" s="3">
        <v>211.2</v>
      </c>
      <c r="D1694" s="3">
        <f t="shared" si="54"/>
        <v>3.0435409073135218E-4</v>
      </c>
      <c r="E1694" s="3">
        <f t="shared" si="55"/>
        <v>-3.7807228399060443E-3</v>
      </c>
    </row>
    <row r="1695" spans="1:5" x14ac:dyDescent="0.45">
      <c r="A1695" s="2">
        <v>43038</v>
      </c>
      <c r="B1695" s="3">
        <v>33266.160000000003</v>
      </c>
      <c r="C1695" s="3">
        <v>212.5</v>
      </c>
      <c r="D1695" s="3">
        <f t="shared" si="54"/>
        <v>3.2801732666614281E-3</v>
      </c>
      <c r="E1695" s="3">
        <f t="shared" si="55"/>
        <v>6.1364365323650655E-3</v>
      </c>
    </row>
    <row r="1696" spans="1:5" x14ac:dyDescent="0.45">
      <c r="A1696" s="2">
        <v>43039</v>
      </c>
      <c r="B1696" s="3">
        <v>33213.129999999997</v>
      </c>
      <c r="C1696" s="3">
        <v>212.75</v>
      </c>
      <c r="D1696" s="3">
        <f t="shared" si="54"/>
        <v>-1.5953844046136477E-3</v>
      </c>
      <c r="E1696" s="3">
        <f t="shared" si="55"/>
        <v>1.1757790890120365E-3</v>
      </c>
    </row>
    <row r="1697" spans="1:5" x14ac:dyDescent="0.45">
      <c r="A1697" s="2">
        <v>43040</v>
      </c>
      <c r="B1697" s="3">
        <v>33600.269999999997</v>
      </c>
      <c r="C1697" s="3">
        <v>210.5</v>
      </c>
      <c r="D1697" s="3">
        <f t="shared" si="54"/>
        <v>1.1588822983369463E-2</v>
      </c>
      <c r="E1697" s="3">
        <f t="shared" si="55"/>
        <v>-1.0632114331047441E-2</v>
      </c>
    </row>
    <row r="1698" spans="1:5" x14ac:dyDescent="0.45">
      <c r="A1698" s="2">
        <v>43041</v>
      </c>
      <c r="B1698" s="3">
        <v>33573.22</v>
      </c>
      <c r="C1698" s="3">
        <v>215</v>
      </c>
      <c r="D1698" s="3">
        <f t="shared" si="54"/>
        <v>-8.0537728386963366E-4</v>
      </c>
      <c r="E1698" s="3">
        <f t="shared" si="55"/>
        <v>2.1152375005226761E-2</v>
      </c>
    </row>
    <row r="1699" spans="1:5" x14ac:dyDescent="0.45">
      <c r="A1699" s="2">
        <v>43042</v>
      </c>
      <c r="B1699" s="3">
        <v>33685.56</v>
      </c>
      <c r="C1699" s="3">
        <v>210.6</v>
      </c>
      <c r="D1699" s="3">
        <f t="shared" si="54"/>
        <v>3.3405335175081146E-3</v>
      </c>
      <c r="E1699" s="3">
        <f t="shared" si="55"/>
        <v>-2.0677428427787678E-2</v>
      </c>
    </row>
    <row r="1700" spans="1:5" x14ac:dyDescent="0.45">
      <c r="A1700" s="2">
        <v>43045</v>
      </c>
      <c r="B1700" s="3">
        <v>33731.19</v>
      </c>
      <c r="C1700" s="3">
        <v>210.75</v>
      </c>
      <c r="D1700" s="3">
        <f t="shared" si="54"/>
        <v>1.3536697324563641E-3</v>
      </c>
      <c r="E1700" s="3">
        <f t="shared" si="55"/>
        <v>7.1199718208978208E-4</v>
      </c>
    </row>
    <row r="1701" spans="1:5" x14ac:dyDescent="0.45">
      <c r="A1701" s="2">
        <v>43046</v>
      </c>
      <c r="B1701" s="3">
        <v>33370.76</v>
      </c>
      <c r="C1701" s="3">
        <v>208.05</v>
      </c>
      <c r="D1701" s="3">
        <f t="shared" si="54"/>
        <v>-1.0742861165757588E-2</v>
      </c>
      <c r="E1701" s="3">
        <f t="shared" si="55"/>
        <v>-1.2894161453014532E-2</v>
      </c>
    </row>
    <row r="1702" spans="1:5" x14ac:dyDescent="0.45">
      <c r="A1702" s="2">
        <v>43047</v>
      </c>
      <c r="B1702" s="3">
        <v>33218.81</v>
      </c>
      <c r="C1702" s="3">
        <v>209.05</v>
      </c>
      <c r="D1702" s="3">
        <f t="shared" si="54"/>
        <v>-4.5637857020621531E-3</v>
      </c>
      <c r="E1702" s="3">
        <f t="shared" si="55"/>
        <v>4.7950223736237321E-3</v>
      </c>
    </row>
    <row r="1703" spans="1:5" x14ac:dyDescent="0.45">
      <c r="A1703" s="2">
        <v>43048</v>
      </c>
      <c r="B1703" s="3">
        <v>33250.93</v>
      </c>
      <c r="C1703" s="3">
        <v>208.05</v>
      </c>
      <c r="D1703" s="3">
        <f t="shared" si="54"/>
        <v>9.664548860910773E-4</v>
      </c>
      <c r="E1703" s="3">
        <f t="shared" si="55"/>
        <v>-4.795022373623779E-3</v>
      </c>
    </row>
    <row r="1704" spans="1:5" x14ac:dyDescent="0.45">
      <c r="A1704" s="2">
        <v>43049</v>
      </c>
      <c r="B1704" s="3">
        <v>33314.559999999998</v>
      </c>
      <c r="C1704" s="3">
        <v>211.2</v>
      </c>
      <c r="D1704" s="3">
        <f t="shared" si="54"/>
        <v>1.9118020277643683E-3</v>
      </c>
      <c r="E1704" s="3">
        <f t="shared" si="55"/>
        <v>1.5027116403156066E-2</v>
      </c>
    </row>
    <row r="1705" spans="1:5" x14ac:dyDescent="0.45">
      <c r="A1705" s="2">
        <v>43052</v>
      </c>
      <c r="B1705" s="3">
        <v>33033.56</v>
      </c>
      <c r="C1705" s="3">
        <v>211.4</v>
      </c>
      <c r="D1705" s="3">
        <f t="shared" si="54"/>
        <v>-8.4705242631954794E-3</v>
      </c>
      <c r="E1705" s="3">
        <f t="shared" si="55"/>
        <v>9.4652160403087824E-4</v>
      </c>
    </row>
    <row r="1706" spans="1:5" x14ac:dyDescent="0.45">
      <c r="A1706" s="2">
        <v>43053</v>
      </c>
      <c r="B1706" s="3">
        <v>32941.870000000003</v>
      </c>
      <c r="C1706" s="3">
        <v>206.75</v>
      </c>
      <c r="D1706" s="3">
        <f t="shared" si="54"/>
        <v>-2.7795213773088262E-3</v>
      </c>
      <c r="E1706" s="3">
        <f t="shared" si="55"/>
        <v>-2.2241739532336605E-2</v>
      </c>
    </row>
    <row r="1707" spans="1:5" x14ac:dyDescent="0.45">
      <c r="A1707" s="2">
        <v>43054</v>
      </c>
      <c r="B1707" s="3">
        <v>32760.44</v>
      </c>
      <c r="C1707" s="3">
        <v>207.1</v>
      </c>
      <c r="D1707" s="3">
        <f t="shared" si="54"/>
        <v>-5.5228031146797767E-3</v>
      </c>
      <c r="E1707" s="3">
        <f t="shared" si="55"/>
        <v>1.691434497737665E-3</v>
      </c>
    </row>
    <row r="1708" spans="1:5" x14ac:dyDescent="0.45">
      <c r="A1708" s="2">
        <v>43055</v>
      </c>
      <c r="B1708" s="3">
        <v>33106.82</v>
      </c>
      <c r="C1708" s="3">
        <v>208.45</v>
      </c>
      <c r="D1708" s="3">
        <f t="shared" si="54"/>
        <v>1.0517613547186626E-2</v>
      </c>
      <c r="E1708" s="3">
        <f t="shared" si="55"/>
        <v>6.4974359252673777E-3</v>
      </c>
    </row>
    <row r="1709" spans="1:5" x14ac:dyDescent="0.45">
      <c r="A1709" s="2">
        <v>43056</v>
      </c>
      <c r="B1709" s="3">
        <v>33342.800000000003</v>
      </c>
      <c r="C1709" s="3">
        <v>208.55</v>
      </c>
      <c r="D1709" s="3">
        <f t="shared" si="54"/>
        <v>7.1025535443244719E-3</v>
      </c>
      <c r="E1709" s="3">
        <f t="shared" si="55"/>
        <v>4.7961631614848151E-4</v>
      </c>
    </row>
    <row r="1710" spans="1:5" x14ac:dyDescent="0.45">
      <c r="A1710" s="2">
        <v>43059</v>
      </c>
      <c r="B1710" s="3">
        <v>33359.9</v>
      </c>
      <c r="C1710" s="3">
        <v>208.95</v>
      </c>
      <c r="D1710" s="3">
        <f t="shared" si="54"/>
        <v>5.1272288451911568E-4</v>
      </c>
      <c r="E1710" s="3">
        <f t="shared" si="55"/>
        <v>1.9161682509701086E-3</v>
      </c>
    </row>
    <row r="1711" spans="1:5" x14ac:dyDescent="0.45">
      <c r="A1711" s="2">
        <v>43060</v>
      </c>
      <c r="B1711" s="3">
        <v>33478.35</v>
      </c>
      <c r="C1711" s="3">
        <v>206.8</v>
      </c>
      <c r="D1711" s="3">
        <f t="shared" si="54"/>
        <v>3.544381368563413E-3</v>
      </c>
      <c r="E1711" s="3">
        <f t="shared" si="55"/>
        <v>-1.0342846259650238E-2</v>
      </c>
    </row>
    <row r="1712" spans="1:5" x14ac:dyDescent="0.45">
      <c r="A1712" s="2">
        <v>43061</v>
      </c>
      <c r="B1712" s="3">
        <v>33561.550000000003</v>
      </c>
      <c r="C1712" s="3">
        <v>207.05</v>
      </c>
      <c r="D1712" s="3">
        <f t="shared" si="54"/>
        <v>2.4821052154075959E-3</v>
      </c>
      <c r="E1712" s="3">
        <f t="shared" si="55"/>
        <v>1.2081673573020979E-3</v>
      </c>
    </row>
    <row r="1713" spans="1:5" x14ac:dyDescent="0.45">
      <c r="A1713" s="2">
        <v>43062</v>
      </c>
      <c r="B1713" s="3">
        <v>33588.080000000002</v>
      </c>
      <c r="C1713" s="3">
        <v>209.2</v>
      </c>
      <c r="D1713" s="3">
        <f t="shared" si="54"/>
        <v>7.9017565339952562E-4</v>
      </c>
      <c r="E1713" s="3">
        <f t="shared" si="55"/>
        <v>1.0330422199191364E-2</v>
      </c>
    </row>
    <row r="1714" spans="1:5" x14ac:dyDescent="0.45">
      <c r="A1714" s="2">
        <v>43063</v>
      </c>
      <c r="B1714" s="3">
        <v>33679.24</v>
      </c>
      <c r="C1714" s="3">
        <v>211.1</v>
      </c>
      <c r="D1714" s="3">
        <f t="shared" si="54"/>
        <v>2.7103816773548341E-3</v>
      </c>
      <c r="E1714" s="3">
        <f t="shared" si="55"/>
        <v>9.0412226635070096E-3</v>
      </c>
    </row>
    <row r="1715" spans="1:5" x14ac:dyDescent="0.45">
      <c r="A1715" s="2">
        <v>43066</v>
      </c>
      <c r="B1715" s="3">
        <v>33724.44</v>
      </c>
      <c r="C1715" s="3">
        <v>209.9</v>
      </c>
      <c r="D1715" s="3">
        <f t="shared" si="54"/>
        <v>1.3411732645836688E-3</v>
      </c>
      <c r="E1715" s="3">
        <f t="shared" si="55"/>
        <v>-5.7007280276875983E-3</v>
      </c>
    </row>
    <row r="1716" spans="1:5" x14ac:dyDescent="0.45">
      <c r="A1716" s="2">
        <v>43067</v>
      </c>
      <c r="B1716" s="3">
        <v>33618.589999999997</v>
      </c>
      <c r="C1716" s="3">
        <v>208.15</v>
      </c>
      <c r="D1716" s="3">
        <f t="shared" si="54"/>
        <v>-3.1436092842846816E-3</v>
      </c>
      <c r="E1716" s="3">
        <f t="shared" si="55"/>
        <v>-8.3722531856028244E-3</v>
      </c>
    </row>
    <row r="1717" spans="1:5" x14ac:dyDescent="0.45">
      <c r="A1717" s="2">
        <v>43068</v>
      </c>
      <c r="B1717" s="3">
        <v>33602.76</v>
      </c>
      <c r="C1717" s="3">
        <v>208.8</v>
      </c>
      <c r="D1717" s="3">
        <f t="shared" si="54"/>
        <v>-4.7098132639754249E-4</v>
      </c>
      <c r="E1717" s="3">
        <f t="shared" si="55"/>
        <v>3.1178823674992166E-3</v>
      </c>
    </row>
    <row r="1718" spans="1:5" x14ac:dyDescent="0.45">
      <c r="A1718" s="2">
        <v>43069</v>
      </c>
      <c r="B1718" s="3">
        <v>33149.35</v>
      </c>
      <c r="C1718" s="3">
        <v>205.95</v>
      </c>
      <c r="D1718" s="3">
        <f t="shared" si="54"/>
        <v>-1.3585097856263726E-2</v>
      </c>
      <c r="E1718" s="3">
        <f t="shared" si="55"/>
        <v>-1.3743435126394052E-2</v>
      </c>
    </row>
    <row r="1719" spans="1:5" x14ac:dyDescent="0.45">
      <c r="A1719" s="2">
        <v>43070</v>
      </c>
      <c r="B1719" s="3">
        <v>32832.94</v>
      </c>
      <c r="C1719" s="3">
        <v>202.85</v>
      </c>
      <c r="D1719" s="3">
        <f t="shared" si="54"/>
        <v>-9.5908288537530067E-3</v>
      </c>
      <c r="E1719" s="3">
        <f t="shared" si="55"/>
        <v>-1.5166631229633496E-2</v>
      </c>
    </row>
    <row r="1720" spans="1:5" x14ac:dyDescent="0.45">
      <c r="A1720" s="2">
        <v>43073</v>
      </c>
      <c r="B1720" s="3">
        <v>32869.72</v>
      </c>
      <c r="C1720" s="3">
        <v>202.9</v>
      </c>
      <c r="D1720" s="3">
        <f t="shared" si="54"/>
        <v>1.1195894912600407E-3</v>
      </c>
      <c r="E1720" s="3">
        <f t="shared" si="55"/>
        <v>2.4645717931287407E-4</v>
      </c>
    </row>
    <row r="1721" spans="1:5" x14ac:dyDescent="0.45">
      <c r="A1721" s="2">
        <v>43074</v>
      </c>
      <c r="B1721" s="3">
        <v>32802.44</v>
      </c>
      <c r="C1721" s="3">
        <v>200.15</v>
      </c>
      <c r="D1721" s="3">
        <f t="shared" si="54"/>
        <v>-2.0489663668215325E-3</v>
      </c>
      <c r="E1721" s="3">
        <f t="shared" si="55"/>
        <v>-1.3646161393186456E-2</v>
      </c>
    </row>
    <row r="1722" spans="1:5" x14ac:dyDescent="0.45">
      <c r="A1722" s="2">
        <v>43075</v>
      </c>
      <c r="B1722" s="3">
        <v>32597.18</v>
      </c>
      <c r="C1722" s="3">
        <v>200.3</v>
      </c>
      <c r="D1722" s="3">
        <f t="shared" si="54"/>
        <v>-6.27712130361242E-3</v>
      </c>
      <c r="E1722" s="3">
        <f t="shared" si="55"/>
        <v>7.4915723319001924E-4</v>
      </c>
    </row>
    <row r="1723" spans="1:5" x14ac:dyDescent="0.45">
      <c r="A1723" s="2">
        <v>43076</v>
      </c>
      <c r="B1723" s="3">
        <v>32949.21</v>
      </c>
      <c r="C1723" s="3">
        <v>202.35</v>
      </c>
      <c r="D1723" s="3">
        <f t="shared" si="54"/>
        <v>1.0741503376733682E-2</v>
      </c>
      <c r="E1723" s="3">
        <f t="shared" si="55"/>
        <v>1.0182628650101985E-2</v>
      </c>
    </row>
    <row r="1724" spans="1:5" x14ac:dyDescent="0.45">
      <c r="A1724" s="2">
        <v>43077</v>
      </c>
      <c r="B1724" s="3">
        <v>33250.300000000003</v>
      </c>
      <c r="C1724" s="3">
        <v>202.9</v>
      </c>
      <c r="D1724" s="3">
        <f t="shared" si="54"/>
        <v>9.0965046772463164E-3</v>
      </c>
      <c r="E1724" s="3">
        <f t="shared" si="55"/>
        <v>2.7143755098946003E-3</v>
      </c>
    </row>
    <row r="1725" spans="1:5" x14ac:dyDescent="0.45">
      <c r="A1725" s="2">
        <v>43080</v>
      </c>
      <c r="B1725" s="3">
        <v>33455.79</v>
      </c>
      <c r="C1725" s="3">
        <v>203.95</v>
      </c>
      <c r="D1725" s="3">
        <f t="shared" si="54"/>
        <v>6.1610761480224291E-3</v>
      </c>
      <c r="E1725" s="3">
        <f t="shared" si="55"/>
        <v>5.1616189317983943E-3</v>
      </c>
    </row>
    <row r="1726" spans="1:5" x14ac:dyDescent="0.45">
      <c r="A1726" s="2">
        <v>43081</v>
      </c>
      <c r="B1726" s="3">
        <v>33227.99</v>
      </c>
      <c r="C1726" s="3">
        <v>203</v>
      </c>
      <c r="D1726" s="3">
        <f t="shared" si="54"/>
        <v>-6.8322727397990999E-3</v>
      </c>
      <c r="E1726" s="3">
        <f t="shared" si="55"/>
        <v>-4.668886721780092E-3</v>
      </c>
    </row>
    <row r="1727" spans="1:5" x14ac:dyDescent="0.45">
      <c r="A1727" s="2">
        <v>43082</v>
      </c>
      <c r="B1727" s="3">
        <v>33053.040000000001</v>
      </c>
      <c r="C1727" s="3">
        <v>200.75</v>
      </c>
      <c r="D1727" s="3">
        <f t="shared" si="54"/>
        <v>-5.2790491124615167E-3</v>
      </c>
      <c r="E1727" s="3">
        <f t="shared" si="55"/>
        <v>-1.1145626214916292E-2</v>
      </c>
    </row>
    <row r="1728" spans="1:5" x14ac:dyDescent="0.45">
      <c r="A1728" s="2">
        <v>43083</v>
      </c>
      <c r="B1728" s="3">
        <v>33246.699999999997</v>
      </c>
      <c r="C1728" s="3">
        <v>200</v>
      </c>
      <c r="D1728" s="3">
        <f t="shared" si="54"/>
        <v>5.8419701428286423E-3</v>
      </c>
      <c r="E1728" s="3">
        <f t="shared" si="55"/>
        <v>-3.742986278834392E-3</v>
      </c>
    </row>
    <row r="1729" spans="1:5" x14ac:dyDescent="0.45">
      <c r="A1729" s="2">
        <v>43084</v>
      </c>
      <c r="B1729" s="3">
        <v>33462.97</v>
      </c>
      <c r="C1729" s="3">
        <v>199.4</v>
      </c>
      <c r="D1729" s="3">
        <f t="shared" si="54"/>
        <v>6.4839402650940549E-3</v>
      </c>
      <c r="E1729" s="3">
        <f t="shared" si="55"/>
        <v>-3.0045090202987243E-3</v>
      </c>
    </row>
    <row r="1730" spans="1:5" x14ac:dyDescent="0.45">
      <c r="A1730" s="2">
        <v>43087</v>
      </c>
      <c r="B1730" s="3">
        <v>33601.68</v>
      </c>
      <c r="C1730" s="3">
        <v>200.4</v>
      </c>
      <c r="D1730" s="3">
        <f t="shared" si="54"/>
        <v>4.1366113979644757E-3</v>
      </c>
      <c r="E1730" s="3">
        <f t="shared" si="55"/>
        <v>5.0025116829718521E-3</v>
      </c>
    </row>
    <row r="1731" spans="1:5" x14ac:dyDescent="0.45">
      <c r="A1731" s="2">
        <v>43088</v>
      </c>
      <c r="B1731" s="3">
        <v>33836.74</v>
      </c>
      <c r="C1731" s="3">
        <v>202.75</v>
      </c>
      <c r="D1731" s="3">
        <f t="shared" si="54"/>
        <v>6.9711286808413243E-3</v>
      </c>
      <c r="E1731" s="3">
        <f t="shared" si="55"/>
        <v>1.1658323784812519E-2</v>
      </c>
    </row>
    <row r="1732" spans="1:5" x14ac:dyDescent="0.45">
      <c r="A1732" s="2">
        <v>43089</v>
      </c>
      <c r="B1732" s="3">
        <v>33777.379999999997</v>
      </c>
      <c r="C1732" s="3">
        <v>203.05</v>
      </c>
      <c r="D1732" s="3">
        <f t="shared" si="54"/>
        <v>-1.7558467151702363E-3</v>
      </c>
      <c r="E1732" s="3">
        <f t="shared" si="55"/>
        <v>1.4785611367846248E-3</v>
      </c>
    </row>
    <row r="1733" spans="1:5" x14ac:dyDescent="0.45">
      <c r="A1733" s="2">
        <v>43090</v>
      </c>
      <c r="B1733" s="3">
        <v>33756.28</v>
      </c>
      <c r="C1733" s="3">
        <v>203.7</v>
      </c>
      <c r="D1733" s="3">
        <f t="shared" si="54"/>
        <v>-6.2487360189189057E-4</v>
      </c>
      <c r="E1733" s="3">
        <f t="shared" si="55"/>
        <v>3.196069100453254E-3</v>
      </c>
    </row>
    <row r="1734" spans="1:5" x14ac:dyDescent="0.45">
      <c r="A1734" s="2">
        <v>43091</v>
      </c>
      <c r="B1734" s="3">
        <v>33940.300000000003</v>
      </c>
      <c r="C1734" s="3">
        <v>203.2</v>
      </c>
      <c r="D1734" s="3">
        <f t="shared" ref="D1734:D1797" si="56">LN(B1734/B1733)</f>
        <v>5.4366248119086932E-3</v>
      </c>
      <c r="E1734" s="3">
        <f t="shared" ref="E1734:E1797" si="57">LN(C1734/C1733)</f>
        <v>-2.457607528433299E-3</v>
      </c>
    </row>
    <row r="1735" spans="1:5" x14ac:dyDescent="0.45">
      <c r="A1735" s="2">
        <v>43095</v>
      </c>
      <c r="B1735" s="3">
        <v>34010.61</v>
      </c>
      <c r="C1735" s="3">
        <v>202.3</v>
      </c>
      <c r="D1735" s="3">
        <f t="shared" si="56"/>
        <v>2.0694358645751676E-3</v>
      </c>
      <c r="E1735" s="3">
        <f t="shared" si="57"/>
        <v>-4.438971530626926E-3</v>
      </c>
    </row>
    <row r="1736" spans="1:5" x14ac:dyDescent="0.45">
      <c r="A1736" s="2">
        <v>43096</v>
      </c>
      <c r="B1736" s="3">
        <v>33911.81</v>
      </c>
      <c r="C1736" s="3">
        <v>201.3</v>
      </c>
      <c r="D1736" s="3">
        <f t="shared" si="56"/>
        <v>-2.9092034613171637E-3</v>
      </c>
      <c r="E1736" s="3">
        <f t="shared" si="57"/>
        <v>-4.9554115279540093E-3</v>
      </c>
    </row>
    <row r="1737" spans="1:5" x14ac:dyDescent="0.45">
      <c r="A1737" s="2">
        <v>43097</v>
      </c>
      <c r="B1737" s="3">
        <v>33848.03</v>
      </c>
      <c r="C1737" s="3">
        <v>199</v>
      </c>
      <c r="D1737" s="3">
        <f t="shared" si="56"/>
        <v>-1.8825315654806677E-3</v>
      </c>
      <c r="E1737" s="3">
        <f t="shared" si="57"/>
        <v>-1.1491507921253407E-2</v>
      </c>
    </row>
    <row r="1738" spans="1:5" x14ac:dyDescent="0.45">
      <c r="A1738" s="2">
        <v>43098</v>
      </c>
      <c r="B1738" s="3">
        <v>34056.83</v>
      </c>
      <c r="C1738" s="3">
        <v>200.35</v>
      </c>
      <c r="D1738" s="3">
        <f t="shared" si="56"/>
        <v>6.1498001194114941E-3</v>
      </c>
      <c r="E1738" s="3">
        <f t="shared" si="57"/>
        <v>6.7610123576611796E-3</v>
      </c>
    </row>
    <row r="1739" spans="1:5" x14ac:dyDescent="0.45">
      <c r="A1739" s="2">
        <v>43101</v>
      </c>
      <c r="B1739" s="3">
        <v>33812.75</v>
      </c>
      <c r="C1739" s="3">
        <v>200.3</v>
      </c>
      <c r="D1739" s="3">
        <f t="shared" si="56"/>
        <v>-7.1926495573680204E-3</v>
      </c>
      <c r="E1739" s="3">
        <f t="shared" si="57"/>
        <v>-2.4959441038087382E-4</v>
      </c>
    </row>
    <row r="1740" spans="1:5" x14ac:dyDescent="0.45">
      <c r="A1740" s="2">
        <v>43102</v>
      </c>
      <c r="B1740" s="3">
        <v>33812.26</v>
      </c>
      <c r="C1740" s="3">
        <v>200.55</v>
      </c>
      <c r="D1740" s="3">
        <f t="shared" si="56"/>
        <v>-1.4491679927500413E-5</v>
      </c>
      <c r="E1740" s="3">
        <f t="shared" si="57"/>
        <v>1.2473495442893846E-3</v>
      </c>
    </row>
    <row r="1741" spans="1:5" x14ac:dyDescent="0.45">
      <c r="A1741" s="2">
        <v>43103</v>
      </c>
      <c r="B1741" s="3">
        <v>33793.379999999997</v>
      </c>
      <c r="C1741" s="3">
        <v>201.8</v>
      </c>
      <c r="D1741" s="3">
        <f t="shared" si="56"/>
        <v>-5.585332966545868E-4</v>
      </c>
      <c r="E1741" s="3">
        <f t="shared" si="57"/>
        <v>6.2135157034467732E-3</v>
      </c>
    </row>
    <row r="1742" spans="1:5" x14ac:dyDescent="0.45">
      <c r="A1742" s="2">
        <v>43104</v>
      </c>
      <c r="B1742" s="3">
        <v>33969.64</v>
      </c>
      <c r="C1742" s="3">
        <v>200.45</v>
      </c>
      <c r="D1742" s="3">
        <f t="shared" si="56"/>
        <v>5.2022592121054641E-3</v>
      </c>
      <c r="E1742" s="3">
        <f t="shared" si="57"/>
        <v>-6.712268830992677E-3</v>
      </c>
    </row>
    <row r="1743" spans="1:5" x14ac:dyDescent="0.45">
      <c r="A1743" s="2">
        <v>43105</v>
      </c>
      <c r="B1743" s="3">
        <v>34153.85</v>
      </c>
      <c r="C1743" s="3">
        <v>200.9</v>
      </c>
      <c r="D1743" s="3">
        <f t="shared" si="56"/>
        <v>5.4081330530619132E-3</v>
      </c>
      <c r="E1743" s="3">
        <f t="shared" si="57"/>
        <v>2.2424327323729131E-3</v>
      </c>
    </row>
    <row r="1744" spans="1:5" x14ac:dyDescent="0.45">
      <c r="A1744" s="2">
        <v>43108</v>
      </c>
      <c r="B1744" s="3">
        <v>34352.79</v>
      </c>
      <c r="C1744" s="3">
        <v>201</v>
      </c>
      <c r="D1744" s="3">
        <f t="shared" si="56"/>
        <v>5.8079204941020972E-3</v>
      </c>
      <c r="E1744" s="3">
        <f t="shared" si="57"/>
        <v>4.9763623818704862E-4</v>
      </c>
    </row>
    <row r="1745" spans="1:5" x14ac:dyDescent="0.45">
      <c r="A1745" s="2">
        <v>43109</v>
      </c>
      <c r="B1745" s="3">
        <v>34443.19</v>
      </c>
      <c r="C1745" s="3">
        <v>200.7</v>
      </c>
      <c r="D1745" s="3">
        <f t="shared" si="56"/>
        <v>2.6280620475367302E-3</v>
      </c>
      <c r="E1745" s="3">
        <f t="shared" si="57"/>
        <v>-1.4936522567833646E-3</v>
      </c>
    </row>
    <row r="1746" spans="1:5" x14ac:dyDescent="0.45">
      <c r="A1746" s="2">
        <v>43110</v>
      </c>
      <c r="B1746" s="3">
        <v>34433.07</v>
      </c>
      <c r="C1746" s="3">
        <v>199.45</v>
      </c>
      <c r="D1746" s="3">
        <f t="shared" si="56"/>
        <v>-2.9386032496035345E-4</v>
      </c>
      <c r="E1746" s="3">
        <f t="shared" si="57"/>
        <v>-6.2476774508768186E-3</v>
      </c>
    </row>
    <row r="1747" spans="1:5" x14ac:dyDescent="0.45">
      <c r="A1747" s="2">
        <v>43111</v>
      </c>
      <c r="B1747" s="3">
        <v>34503.49</v>
      </c>
      <c r="C1747" s="3">
        <v>198.25</v>
      </c>
      <c r="D1747" s="3">
        <f t="shared" si="56"/>
        <v>2.0430385413620906E-3</v>
      </c>
      <c r="E1747" s="3">
        <f t="shared" si="57"/>
        <v>-6.0347178364582353E-3</v>
      </c>
    </row>
    <row r="1748" spans="1:5" x14ac:dyDescent="0.45">
      <c r="A1748" s="2">
        <v>43112</v>
      </c>
      <c r="B1748" s="3">
        <v>34592.39</v>
      </c>
      <c r="C1748" s="3">
        <v>196.5</v>
      </c>
      <c r="D1748" s="3">
        <f t="shared" si="56"/>
        <v>2.5732373349799911E-3</v>
      </c>
      <c r="E1748" s="3">
        <f t="shared" si="57"/>
        <v>-8.8664292056414677E-3</v>
      </c>
    </row>
    <row r="1749" spans="1:5" x14ac:dyDescent="0.45">
      <c r="A1749" s="2">
        <v>43115</v>
      </c>
      <c r="B1749" s="3">
        <v>34843.51</v>
      </c>
      <c r="C1749" s="3">
        <v>199.15</v>
      </c>
      <c r="D1749" s="3">
        <f t="shared" si="56"/>
        <v>7.2331775020795692E-3</v>
      </c>
      <c r="E1749" s="3">
        <f t="shared" si="57"/>
        <v>1.3395878318337398E-2</v>
      </c>
    </row>
    <row r="1750" spans="1:5" x14ac:dyDescent="0.45">
      <c r="A1750" s="2">
        <v>43116</v>
      </c>
      <c r="B1750" s="3">
        <v>34771.050000000003</v>
      </c>
      <c r="C1750" s="3">
        <v>195.85</v>
      </c>
      <c r="D1750" s="3">
        <f t="shared" si="56"/>
        <v>-2.0817491676511455E-3</v>
      </c>
      <c r="E1750" s="3">
        <f t="shared" si="57"/>
        <v>-1.6709249515812978E-2</v>
      </c>
    </row>
    <row r="1751" spans="1:5" x14ac:dyDescent="0.45">
      <c r="A1751" s="2">
        <v>43117</v>
      </c>
      <c r="B1751" s="3">
        <v>35081.82</v>
      </c>
      <c r="C1751" s="3">
        <v>197</v>
      </c>
      <c r="D1751" s="3">
        <f t="shared" si="56"/>
        <v>8.8979035613561356E-3</v>
      </c>
      <c r="E1751" s="3">
        <f t="shared" si="57"/>
        <v>5.854668626148145E-3</v>
      </c>
    </row>
    <row r="1752" spans="1:5" x14ac:dyDescent="0.45">
      <c r="A1752" s="2">
        <v>43118</v>
      </c>
      <c r="B1752" s="3">
        <v>35260.29</v>
      </c>
      <c r="C1752" s="3">
        <v>197.2</v>
      </c>
      <c r="D1752" s="3">
        <f t="shared" si="56"/>
        <v>5.0743539809327025E-3</v>
      </c>
      <c r="E1752" s="3">
        <f t="shared" si="57"/>
        <v>1.0147134305463833E-3</v>
      </c>
    </row>
    <row r="1753" spans="1:5" x14ac:dyDescent="0.45">
      <c r="A1753" s="2">
        <v>43119</v>
      </c>
      <c r="B1753" s="3">
        <v>35511.58</v>
      </c>
      <c r="C1753" s="3">
        <v>196</v>
      </c>
      <c r="D1753" s="3">
        <f t="shared" si="56"/>
        <v>7.101438920702227E-3</v>
      </c>
      <c r="E1753" s="3">
        <f t="shared" si="57"/>
        <v>-6.1037829380177992E-3</v>
      </c>
    </row>
    <row r="1754" spans="1:5" x14ac:dyDescent="0.45">
      <c r="A1754" s="2">
        <v>43122</v>
      </c>
      <c r="B1754" s="3">
        <v>35798.01</v>
      </c>
      <c r="C1754" s="3">
        <v>195</v>
      </c>
      <c r="D1754" s="3">
        <f t="shared" si="56"/>
        <v>8.0334647957495519E-3</v>
      </c>
      <c r="E1754" s="3">
        <f t="shared" si="57"/>
        <v>-5.1151006667703768E-3</v>
      </c>
    </row>
    <row r="1755" spans="1:5" x14ac:dyDescent="0.45">
      <c r="A1755" s="2">
        <v>43123</v>
      </c>
      <c r="B1755" s="3">
        <v>36139.980000000003</v>
      </c>
      <c r="C1755" s="3">
        <v>196</v>
      </c>
      <c r="D1755" s="3">
        <f t="shared" si="56"/>
        <v>9.5074264910143414E-3</v>
      </c>
      <c r="E1755" s="3">
        <f t="shared" si="57"/>
        <v>5.1151006667704089E-3</v>
      </c>
    </row>
    <row r="1756" spans="1:5" x14ac:dyDescent="0.45">
      <c r="A1756" s="2">
        <v>43124</v>
      </c>
      <c r="B1756" s="3">
        <v>36161.64</v>
      </c>
      <c r="C1756" s="3">
        <v>196</v>
      </c>
      <c r="D1756" s="3">
        <f t="shared" si="56"/>
        <v>5.9915671731762326E-4</v>
      </c>
      <c r="E1756" s="3">
        <f t="shared" si="57"/>
        <v>0</v>
      </c>
    </row>
    <row r="1757" spans="1:5" x14ac:dyDescent="0.45">
      <c r="A1757" s="2">
        <v>43125</v>
      </c>
      <c r="B1757" s="3">
        <v>36050.44</v>
      </c>
      <c r="C1757" s="3">
        <v>193.95</v>
      </c>
      <c r="D1757" s="3">
        <f t="shared" si="56"/>
        <v>-3.0798195508837645E-3</v>
      </c>
      <c r="E1757" s="3">
        <f t="shared" si="57"/>
        <v>-1.0514265344541095E-2</v>
      </c>
    </row>
    <row r="1758" spans="1:5" x14ac:dyDescent="0.45">
      <c r="A1758" s="2">
        <v>43129</v>
      </c>
      <c r="B1758" s="3">
        <v>36283.25</v>
      </c>
      <c r="C1758" s="3">
        <v>194.15</v>
      </c>
      <c r="D1758" s="3">
        <f t="shared" si="56"/>
        <v>6.4371333442458881E-3</v>
      </c>
      <c r="E1758" s="3">
        <f t="shared" si="57"/>
        <v>1.030662291700147E-3</v>
      </c>
    </row>
    <row r="1759" spans="1:5" x14ac:dyDescent="0.45">
      <c r="A1759" s="2">
        <v>43130</v>
      </c>
      <c r="B1759" s="3">
        <v>36033.730000000003</v>
      </c>
      <c r="C1759" s="3">
        <v>194.75</v>
      </c>
      <c r="D1759" s="3">
        <f t="shared" si="56"/>
        <v>-6.9007580290918928E-3</v>
      </c>
      <c r="E1759" s="3">
        <f t="shared" si="57"/>
        <v>3.0856285731813613E-3</v>
      </c>
    </row>
    <row r="1760" spans="1:5" x14ac:dyDescent="0.45">
      <c r="A1760" s="2">
        <v>43131</v>
      </c>
      <c r="B1760" s="3">
        <v>35965.019999999997</v>
      </c>
      <c r="C1760" s="3">
        <v>193.5</v>
      </c>
      <c r="D1760" s="3">
        <f t="shared" si="56"/>
        <v>-1.9086448267168234E-3</v>
      </c>
      <c r="E1760" s="3">
        <f t="shared" si="57"/>
        <v>-6.4391722810212011E-3</v>
      </c>
    </row>
    <row r="1761" spans="1:5" x14ac:dyDescent="0.45">
      <c r="A1761" s="2">
        <v>43132</v>
      </c>
      <c r="B1761" s="3">
        <v>35906.660000000003</v>
      </c>
      <c r="C1761" s="3">
        <v>194.95</v>
      </c>
      <c r="D1761" s="3">
        <f t="shared" si="56"/>
        <v>-1.6240058066410528E-3</v>
      </c>
      <c r="E1761" s="3">
        <f t="shared" si="57"/>
        <v>7.4656029587698205E-3</v>
      </c>
    </row>
    <row r="1762" spans="1:5" x14ac:dyDescent="0.45">
      <c r="A1762" s="2">
        <v>43133</v>
      </c>
      <c r="B1762" s="3">
        <v>35066.75</v>
      </c>
      <c r="C1762" s="3">
        <v>192.5</v>
      </c>
      <c r="D1762" s="3">
        <f t="shared" si="56"/>
        <v>-2.3669405550196834E-2</v>
      </c>
      <c r="E1762" s="3">
        <f t="shared" si="57"/>
        <v>-1.2646961700767309E-2</v>
      </c>
    </row>
    <row r="1763" spans="1:5" x14ac:dyDescent="0.45">
      <c r="A1763" s="2">
        <v>43136</v>
      </c>
      <c r="B1763" s="3">
        <v>34757.160000000003</v>
      </c>
      <c r="C1763" s="3">
        <v>196.5</v>
      </c>
      <c r="D1763" s="3">
        <f t="shared" si="56"/>
        <v>-8.8677941062404279E-3</v>
      </c>
      <c r="E1763" s="3">
        <f t="shared" si="57"/>
        <v>2.056627758147702E-2</v>
      </c>
    </row>
    <row r="1764" spans="1:5" x14ac:dyDescent="0.45">
      <c r="A1764" s="2">
        <v>43137</v>
      </c>
      <c r="B1764" s="3">
        <v>34195.94</v>
      </c>
      <c r="C1764" s="3">
        <v>195</v>
      </c>
      <c r="D1764" s="3">
        <f t="shared" si="56"/>
        <v>-1.627867038102343E-2</v>
      </c>
      <c r="E1764" s="3">
        <f t="shared" si="57"/>
        <v>-7.6628727455691371E-3</v>
      </c>
    </row>
    <row r="1765" spans="1:5" x14ac:dyDescent="0.45">
      <c r="A1765" s="2">
        <v>43138</v>
      </c>
      <c r="B1765" s="3">
        <v>34082.71</v>
      </c>
      <c r="C1765" s="3">
        <v>195.9</v>
      </c>
      <c r="D1765" s="3">
        <f t="shared" si="56"/>
        <v>-3.316705992260614E-3</v>
      </c>
      <c r="E1765" s="3">
        <f t="shared" si="57"/>
        <v>4.6047663867483388E-3</v>
      </c>
    </row>
    <row r="1766" spans="1:5" x14ac:dyDescent="0.45">
      <c r="A1766" s="2">
        <v>43139</v>
      </c>
      <c r="B1766" s="3">
        <v>34413.160000000003</v>
      </c>
      <c r="C1766" s="3">
        <v>193.55</v>
      </c>
      <c r="D1766" s="3">
        <f t="shared" si="56"/>
        <v>9.648831783172572E-3</v>
      </c>
      <c r="E1766" s="3">
        <f t="shared" si="57"/>
        <v>-1.2068447926837925E-2</v>
      </c>
    </row>
    <row r="1767" spans="1:5" x14ac:dyDescent="0.45">
      <c r="A1767" s="2">
        <v>43140</v>
      </c>
      <c r="B1767" s="3">
        <v>34005.760000000002</v>
      </c>
      <c r="C1767" s="3">
        <v>193.2</v>
      </c>
      <c r="D1767" s="3">
        <f t="shared" si="56"/>
        <v>-1.1909127329864964E-2</v>
      </c>
      <c r="E1767" s="3">
        <f t="shared" si="57"/>
        <v>-1.8099552452396416E-3</v>
      </c>
    </row>
    <row r="1768" spans="1:5" x14ac:dyDescent="0.45">
      <c r="A1768" s="2">
        <v>43143</v>
      </c>
      <c r="B1768" s="3">
        <v>34300.47</v>
      </c>
      <c r="C1768" s="3">
        <v>198.05</v>
      </c>
      <c r="D1768" s="3">
        <f t="shared" si="56"/>
        <v>8.6291346696060322E-3</v>
      </c>
      <c r="E1768" s="3">
        <f t="shared" si="57"/>
        <v>2.4793602289508217E-2</v>
      </c>
    </row>
    <row r="1769" spans="1:5" x14ac:dyDescent="0.45">
      <c r="A1769" s="2">
        <v>43145</v>
      </c>
      <c r="B1769" s="3">
        <v>34155.949999999997</v>
      </c>
      <c r="C1769" s="3">
        <v>195.45</v>
      </c>
      <c r="D1769" s="3">
        <f t="shared" si="56"/>
        <v>-4.222254529280451E-3</v>
      </c>
      <c r="E1769" s="3">
        <f t="shared" si="57"/>
        <v>-1.3214931828962006E-2</v>
      </c>
    </row>
    <row r="1770" spans="1:5" x14ac:dyDescent="0.45">
      <c r="A1770" s="2">
        <v>43146</v>
      </c>
      <c r="B1770" s="3">
        <v>34297.47</v>
      </c>
      <c r="C1770" s="3">
        <v>198.3</v>
      </c>
      <c r="D1770" s="3">
        <f t="shared" si="56"/>
        <v>4.1347883458379177E-3</v>
      </c>
      <c r="E1770" s="3">
        <f t="shared" si="57"/>
        <v>1.4476443286786525E-2</v>
      </c>
    </row>
    <row r="1771" spans="1:5" x14ac:dyDescent="0.45">
      <c r="A1771" s="2">
        <v>43147</v>
      </c>
      <c r="B1771" s="3">
        <v>34010.76</v>
      </c>
      <c r="C1771" s="3">
        <v>195.65</v>
      </c>
      <c r="D1771" s="3">
        <f t="shared" si="56"/>
        <v>-8.394645380335462E-3</v>
      </c>
      <c r="E1771" s="3">
        <f t="shared" si="57"/>
        <v>-1.3453686869328841E-2</v>
      </c>
    </row>
    <row r="1772" spans="1:5" x14ac:dyDescent="0.45">
      <c r="A1772" s="2">
        <v>43150</v>
      </c>
      <c r="B1772" s="3">
        <v>33774.660000000003</v>
      </c>
      <c r="C1772" s="3">
        <v>193.95</v>
      </c>
      <c r="D1772" s="3">
        <f t="shared" si="56"/>
        <v>-6.9661279598693913E-3</v>
      </c>
      <c r="E1772" s="3">
        <f t="shared" si="57"/>
        <v>-8.7269547704453519E-3</v>
      </c>
    </row>
    <row r="1773" spans="1:5" x14ac:dyDescent="0.45">
      <c r="A1773" s="2">
        <v>43151</v>
      </c>
      <c r="B1773" s="3">
        <v>33703.589999999997</v>
      </c>
      <c r="C1773" s="3">
        <v>195.05</v>
      </c>
      <c r="D1773" s="3">
        <f t="shared" si="56"/>
        <v>-2.1064573037711605E-3</v>
      </c>
      <c r="E1773" s="3">
        <f t="shared" si="57"/>
        <v>5.6555420666894833E-3</v>
      </c>
    </row>
    <row r="1774" spans="1:5" x14ac:dyDescent="0.45">
      <c r="A1774" s="2">
        <v>43152</v>
      </c>
      <c r="B1774" s="3">
        <v>33844.86</v>
      </c>
      <c r="C1774" s="3">
        <v>194.6</v>
      </c>
      <c r="D1774" s="3">
        <f t="shared" si="56"/>
        <v>4.1827815728598793E-3</v>
      </c>
      <c r="E1774" s="3">
        <f t="shared" si="57"/>
        <v>-2.3097662007609382E-3</v>
      </c>
    </row>
    <row r="1775" spans="1:5" x14ac:dyDescent="0.45">
      <c r="A1775" s="2">
        <v>43153</v>
      </c>
      <c r="B1775" s="3">
        <v>33819.5</v>
      </c>
      <c r="C1775" s="3">
        <v>190.95</v>
      </c>
      <c r="D1775" s="3">
        <f t="shared" si="56"/>
        <v>-7.4958223760413151E-4</v>
      </c>
      <c r="E1775" s="3">
        <f t="shared" si="57"/>
        <v>-1.8934556080379514E-2</v>
      </c>
    </row>
    <row r="1776" spans="1:5" x14ac:dyDescent="0.45">
      <c r="A1776" s="2">
        <v>43154</v>
      </c>
      <c r="B1776" s="3">
        <v>34142.15</v>
      </c>
      <c r="C1776" s="3">
        <v>193.25</v>
      </c>
      <c r="D1776" s="3">
        <f t="shared" si="56"/>
        <v>9.4951321548864681E-3</v>
      </c>
      <c r="E1776" s="3">
        <f t="shared" si="57"/>
        <v>1.1973073796006222E-2</v>
      </c>
    </row>
    <row r="1777" spans="1:5" x14ac:dyDescent="0.45">
      <c r="A1777" s="2">
        <v>43157</v>
      </c>
      <c r="B1777" s="3">
        <v>34445.75</v>
      </c>
      <c r="C1777" s="3">
        <v>195.7</v>
      </c>
      <c r="D1777" s="3">
        <f t="shared" si="56"/>
        <v>8.8529312858255053E-3</v>
      </c>
      <c r="E1777" s="3">
        <f t="shared" si="57"/>
        <v>1.2598186934499239E-2</v>
      </c>
    </row>
    <row r="1778" spans="1:5" x14ac:dyDescent="0.45">
      <c r="A1778" s="2">
        <v>43158</v>
      </c>
      <c r="B1778" s="3">
        <v>34346.39</v>
      </c>
      <c r="C1778" s="3">
        <v>197.9</v>
      </c>
      <c r="D1778" s="3">
        <f t="shared" si="56"/>
        <v>-2.8887041192023604E-3</v>
      </c>
      <c r="E1778" s="3">
        <f t="shared" si="57"/>
        <v>1.1178978206489561E-2</v>
      </c>
    </row>
    <row r="1779" spans="1:5" x14ac:dyDescent="0.45">
      <c r="A1779" s="2">
        <v>43159</v>
      </c>
      <c r="B1779" s="3">
        <v>34184.04</v>
      </c>
      <c r="C1779" s="3">
        <v>198.45</v>
      </c>
      <c r="D1779" s="3">
        <f t="shared" si="56"/>
        <v>-4.7380500521519943E-3</v>
      </c>
      <c r="E1779" s="3">
        <f t="shared" si="57"/>
        <v>2.775326620554219E-3</v>
      </c>
    </row>
    <row r="1780" spans="1:5" x14ac:dyDescent="0.45">
      <c r="A1780" s="2">
        <v>43160</v>
      </c>
      <c r="B1780" s="3">
        <v>34046.94</v>
      </c>
      <c r="C1780" s="3">
        <v>197.4</v>
      </c>
      <c r="D1780" s="3">
        <f t="shared" si="56"/>
        <v>-4.0187077633601709E-3</v>
      </c>
      <c r="E1780" s="3">
        <f t="shared" si="57"/>
        <v>-5.3050522296931172E-3</v>
      </c>
    </row>
    <row r="1781" spans="1:5" x14ac:dyDescent="0.45">
      <c r="A1781" s="2">
        <v>43164</v>
      </c>
      <c r="B1781" s="3">
        <v>33746.78</v>
      </c>
      <c r="C1781" s="3">
        <v>196.95</v>
      </c>
      <c r="D1781" s="3">
        <f t="shared" si="56"/>
        <v>-8.8551553562001093E-3</v>
      </c>
      <c r="E1781" s="3">
        <f t="shared" si="57"/>
        <v>-2.2822375824663866E-3</v>
      </c>
    </row>
    <row r="1782" spans="1:5" x14ac:dyDescent="0.45">
      <c r="A1782" s="2">
        <v>43165</v>
      </c>
      <c r="B1782" s="3">
        <v>33317.199999999997</v>
      </c>
      <c r="C1782" s="3">
        <v>193.75</v>
      </c>
      <c r="D1782" s="3">
        <f t="shared" si="56"/>
        <v>-1.2811225205380625E-2</v>
      </c>
      <c r="E1782" s="3">
        <f t="shared" si="57"/>
        <v>-1.6381221183458423E-2</v>
      </c>
    </row>
    <row r="1783" spans="1:5" x14ac:dyDescent="0.45">
      <c r="A1783" s="2">
        <v>43166</v>
      </c>
      <c r="B1783" s="3">
        <v>33033.089999999997</v>
      </c>
      <c r="C1783" s="3">
        <v>193.35</v>
      </c>
      <c r="D1783" s="3">
        <f t="shared" si="56"/>
        <v>-8.5639938101434079E-3</v>
      </c>
      <c r="E1783" s="3">
        <f t="shared" si="57"/>
        <v>-2.0666501801502781E-3</v>
      </c>
    </row>
    <row r="1784" spans="1:5" x14ac:dyDescent="0.45">
      <c r="A1784" s="2">
        <v>43167</v>
      </c>
      <c r="B1784" s="3">
        <v>33351.57</v>
      </c>
      <c r="C1784" s="3">
        <v>195.1</v>
      </c>
      <c r="D1784" s="3">
        <f t="shared" si="56"/>
        <v>9.5950613713088953E-3</v>
      </c>
      <c r="E1784" s="3">
        <f t="shared" si="57"/>
        <v>9.0102295757594781E-3</v>
      </c>
    </row>
    <row r="1785" spans="1:5" x14ac:dyDescent="0.45">
      <c r="A1785" s="2">
        <v>43168</v>
      </c>
      <c r="B1785" s="3">
        <v>33307.14</v>
      </c>
      <c r="C1785" s="3">
        <v>194.85</v>
      </c>
      <c r="D1785" s="3">
        <f t="shared" si="56"/>
        <v>-1.3330592980127683E-3</v>
      </c>
      <c r="E1785" s="3">
        <f t="shared" si="57"/>
        <v>-1.2822158443473429E-3</v>
      </c>
    </row>
    <row r="1786" spans="1:5" x14ac:dyDescent="0.45">
      <c r="A1786" s="2">
        <v>43171</v>
      </c>
      <c r="B1786" s="3">
        <v>33917.94</v>
      </c>
      <c r="C1786" s="3">
        <v>195.25</v>
      </c>
      <c r="D1786" s="3">
        <f t="shared" si="56"/>
        <v>1.8172289530089706E-2</v>
      </c>
      <c r="E1786" s="3">
        <f t="shared" si="57"/>
        <v>2.0507569350771307E-3</v>
      </c>
    </row>
    <row r="1787" spans="1:5" x14ac:dyDescent="0.45">
      <c r="A1787" s="2">
        <v>43172</v>
      </c>
      <c r="B1787" s="3">
        <v>33856.78</v>
      </c>
      <c r="C1787" s="3">
        <v>195.45</v>
      </c>
      <c r="D1787" s="3">
        <f t="shared" si="56"/>
        <v>-1.8048032246079321E-3</v>
      </c>
      <c r="E1787" s="3">
        <f t="shared" si="57"/>
        <v>1.0238035191684476E-3</v>
      </c>
    </row>
    <row r="1788" spans="1:5" x14ac:dyDescent="0.45">
      <c r="A1788" s="2">
        <v>43173</v>
      </c>
      <c r="B1788" s="3">
        <v>33835.74</v>
      </c>
      <c r="C1788" s="3">
        <v>194.7</v>
      </c>
      <c r="D1788" s="3">
        <f t="shared" si="56"/>
        <v>-6.2163443398295887E-4</v>
      </c>
      <c r="E1788" s="3">
        <f t="shared" si="57"/>
        <v>-3.8446798608098324E-3</v>
      </c>
    </row>
    <row r="1789" spans="1:5" x14ac:dyDescent="0.45">
      <c r="A1789" s="2">
        <v>43174</v>
      </c>
      <c r="B1789" s="3">
        <v>33685.54</v>
      </c>
      <c r="C1789" s="3">
        <v>194.65</v>
      </c>
      <c r="D1789" s="3">
        <f t="shared" si="56"/>
        <v>-4.4489751304196724E-3</v>
      </c>
      <c r="E1789" s="3">
        <f t="shared" si="57"/>
        <v>-2.5683832168919883E-4</v>
      </c>
    </row>
    <row r="1790" spans="1:5" x14ac:dyDescent="0.45">
      <c r="A1790" s="2">
        <v>43175</v>
      </c>
      <c r="B1790" s="3">
        <v>33176</v>
      </c>
      <c r="C1790" s="3">
        <v>192.25</v>
      </c>
      <c r="D1790" s="3">
        <f t="shared" si="56"/>
        <v>-1.5241942214326256E-2</v>
      </c>
      <c r="E1790" s="3">
        <f t="shared" si="57"/>
        <v>-1.2406465670711441E-2</v>
      </c>
    </row>
    <row r="1791" spans="1:5" x14ac:dyDescent="0.45">
      <c r="A1791" s="2">
        <v>43178</v>
      </c>
      <c r="B1791" s="3">
        <v>32923.120000000003</v>
      </c>
      <c r="C1791" s="3">
        <v>194.15</v>
      </c>
      <c r="D1791" s="3">
        <f t="shared" si="56"/>
        <v>-7.6515764134610165E-3</v>
      </c>
      <c r="E1791" s="3">
        <f t="shared" si="57"/>
        <v>9.8344477919230597E-3</v>
      </c>
    </row>
    <row r="1792" spans="1:5" x14ac:dyDescent="0.45">
      <c r="A1792" s="2">
        <v>43179</v>
      </c>
      <c r="B1792" s="3">
        <v>32996.76</v>
      </c>
      <c r="C1792" s="3">
        <v>195</v>
      </c>
      <c r="D1792" s="3">
        <f t="shared" si="56"/>
        <v>2.234228297529246E-3</v>
      </c>
      <c r="E1792" s="3">
        <f t="shared" si="57"/>
        <v>4.3685023860705512E-3</v>
      </c>
    </row>
    <row r="1793" spans="1:5" x14ac:dyDescent="0.45">
      <c r="A1793" s="2">
        <v>43180</v>
      </c>
      <c r="B1793" s="3">
        <v>33136.18</v>
      </c>
      <c r="C1793" s="3">
        <v>194.25</v>
      </c>
      <c r="D1793" s="3">
        <f t="shared" si="56"/>
        <v>4.2163619687036061E-3</v>
      </c>
      <c r="E1793" s="3">
        <f t="shared" si="57"/>
        <v>-3.8535693159899662E-3</v>
      </c>
    </row>
    <row r="1794" spans="1:5" x14ac:dyDescent="0.45">
      <c r="A1794" s="2">
        <v>43181</v>
      </c>
      <c r="B1794" s="3">
        <v>33006.269999999997</v>
      </c>
      <c r="C1794" s="3">
        <v>193.2</v>
      </c>
      <c r="D1794" s="3">
        <f t="shared" si="56"/>
        <v>-3.9281933780856695E-3</v>
      </c>
      <c r="E1794" s="3">
        <f t="shared" si="57"/>
        <v>-5.4200674693392556E-3</v>
      </c>
    </row>
    <row r="1795" spans="1:5" x14ac:dyDescent="0.45">
      <c r="A1795" s="2">
        <v>43182</v>
      </c>
      <c r="B1795" s="3">
        <v>32596.54</v>
      </c>
      <c r="C1795" s="3">
        <v>194.25</v>
      </c>
      <c r="D1795" s="3">
        <f t="shared" si="56"/>
        <v>-1.2491395648143744E-2</v>
      </c>
      <c r="E1795" s="3">
        <f t="shared" si="57"/>
        <v>5.4200674693393345E-3</v>
      </c>
    </row>
    <row r="1796" spans="1:5" x14ac:dyDescent="0.45">
      <c r="A1796" s="2">
        <v>43185</v>
      </c>
      <c r="B1796" s="3">
        <v>33066.410000000003</v>
      </c>
      <c r="C1796" s="3">
        <v>194.65</v>
      </c>
      <c r="D1796" s="3">
        <f t="shared" si="56"/>
        <v>1.4311815725195782E-2</v>
      </c>
      <c r="E1796" s="3">
        <f t="shared" si="57"/>
        <v>2.0570848087079238E-3</v>
      </c>
    </row>
    <row r="1797" spans="1:5" x14ac:dyDescent="0.45">
      <c r="A1797" s="2">
        <v>43186</v>
      </c>
      <c r="B1797" s="3">
        <v>33174.39</v>
      </c>
      <c r="C1797" s="3">
        <v>196.1</v>
      </c>
      <c r="D1797" s="3">
        <f t="shared" si="56"/>
        <v>3.2602292135395471E-3</v>
      </c>
      <c r="E1797" s="3">
        <f t="shared" si="57"/>
        <v>7.421659145835857E-3</v>
      </c>
    </row>
    <row r="1798" spans="1:5" x14ac:dyDescent="0.45">
      <c r="A1798" s="2">
        <v>43187</v>
      </c>
      <c r="B1798" s="3">
        <v>32968.68</v>
      </c>
      <c r="C1798" s="3">
        <v>193.85</v>
      </c>
      <c r="D1798" s="3">
        <f t="shared" ref="D1798:D1861" si="58">LN(B1798/B1797)</f>
        <v>-6.2201728239201703E-3</v>
      </c>
      <c r="E1798" s="3">
        <f t="shared" ref="E1798:E1861" si="59">LN(C1798/C1797)</f>
        <v>-1.1540069085362446E-2</v>
      </c>
    </row>
    <row r="1799" spans="1:5" x14ac:dyDescent="0.45">
      <c r="A1799" s="2">
        <v>43192</v>
      </c>
      <c r="B1799" s="3">
        <v>33255.360000000001</v>
      </c>
      <c r="C1799" s="3">
        <v>194.7</v>
      </c>
      <c r="D1799" s="3">
        <f t="shared" si="58"/>
        <v>8.6579372321358133E-3</v>
      </c>
      <c r="E1799" s="3">
        <f t="shared" si="59"/>
        <v>4.3752482612159282E-3</v>
      </c>
    </row>
    <row r="1800" spans="1:5" x14ac:dyDescent="0.45">
      <c r="A1800" s="2">
        <v>43193</v>
      </c>
      <c r="B1800" s="3">
        <v>33370.629999999997</v>
      </c>
      <c r="C1800" s="3">
        <v>198.4</v>
      </c>
      <c r="D1800" s="3">
        <f t="shared" si="58"/>
        <v>3.4602147003425293E-3</v>
      </c>
      <c r="E1800" s="3">
        <f t="shared" si="59"/>
        <v>1.8825282472618492E-2</v>
      </c>
    </row>
    <row r="1801" spans="1:5" x14ac:dyDescent="0.45">
      <c r="A1801" s="2">
        <v>43194</v>
      </c>
      <c r="B1801" s="3">
        <v>33019.07</v>
      </c>
      <c r="C1801" s="3">
        <v>196.1</v>
      </c>
      <c r="D1801" s="3">
        <f t="shared" si="58"/>
        <v>-1.0590898471205187E-2</v>
      </c>
      <c r="E1801" s="3">
        <f t="shared" si="59"/>
        <v>-1.1660461648471827E-2</v>
      </c>
    </row>
    <row r="1802" spans="1:5" x14ac:dyDescent="0.45">
      <c r="A1802" s="2">
        <v>43195</v>
      </c>
      <c r="B1802" s="3">
        <v>33596.800000000003</v>
      </c>
      <c r="C1802" s="3">
        <v>196.55</v>
      </c>
      <c r="D1802" s="3">
        <f t="shared" si="58"/>
        <v>1.7345550991774351E-2</v>
      </c>
      <c r="E1802" s="3">
        <f t="shared" si="59"/>
        <v>2.292118665568887E-3</v>
      </c>
    </row>
    <row r="1803" spans="1:5" x14ac:dyDescent="0.45">
      <c r="A1803" s="2">
        <v>43196</v>
      </c>
      <c r="B1803" s="3">
        <v>33626.97</v>
      </c>
      <c r="C1803" s="3">
        <v>196.2</v>
      </c>
      <c r="D1803" s="3">
        <f t="shared" si="58"/>
        <v>8.9759922794047998E-4</v>
      </c>
      <c r="E1803" s="3">
        <f t="shared" si="59"/>
        <v>-1.7823047366067771E-3</v>
      </c>
    </row>
    <row r="1804" spans="1:5" x14ac:dyDescent="0.45">
      <c r="A1804" s="2">
        <v>43199</v>
      </c>
      <c r="B1804" s="3">
        <v>33788.54</v>
      </c>
      <c r="C1804" s="3">
        <v>195.75</v>
      </c>
      <c r="D1804" s="3">
        <f t="shared" si="58"/>
        <v>4.7932681765594952E-3</v>
      </c>
      <c r="E1804" s="3">
        <f t="shared" si="59"/>
        <v>-2.2962122603501565E-3</v>
      </c>
    </row>
    <row r="1805" spans="1:5" x14ac:dyDescent="0.45">
      <c r="A1805" s="2">
        <v>43200</v>
      </c>
      <c r="B1805" s="3">
        <v>33880.25</v>
      </c>
      <c r="C1805" s="3">
        <v>196.9</v>
      </c>
      <c r="D1805" s="3">
        <f t="shared" si="58"/>
        <v>2.7105569982957783E-3</v>
      </c>
      <c r="E1805" s="3">
        <f t="shared" si="59"/>
        <v>5.8576507741673932E-3</v>
      </c>
    </row>
    <row r="1806" spans="1:5" x14ac:dyDescent="0.45">
      <c r="A1806" s="2">
        <v>43201</v>
      </c>
      <c r="B1806" s="3">
        <v>33940.44</v>
      </c>
      <c r="C1806" s="3">
        <v>197</v>
      </c>
      <c r="D1806" s="3">
        <f t="shared" si="58"/>
        <v>1.7749750349801358E-3</v>
      </c>
      <c r="E1806" s="3">
        <f t="shared" si="59"/>
        <v>5.0774309290865511E-4</v>
      </c>
    </row>
    <row r="1807" spans="1:5" x14ac:dyDescent="0.45">
      <c r="A1807" s="2">
        <v>43202</v>
      </c>
      <c r="B1807" s="3">
        <v>34101.129999999997</v>
      </c>
      <c r="C1807" s="3">
        <v>196.35</v>
      </c>
      <c r="D1807" s="3">
        <f t="shared" si="58"/>
        <v>4.7232977940763294E-3</v>
      </c>
      <c r="E1807" s="3">
        <f t="shared" si="59"/>
        <v>-3.3049477139699395E-3</v>
      </c>
    </row>
    <row r="1808" spans="1:5" x14ac:dyDescent="0.45">
      <c r="A1808" s="2">
        <v>43203</v>
      </c>
      <c r="B1808" s="3">
        <v>34192.65</v>
      </c>
      <c r="C1808" s="3">
        <v>197.55</v>
      </c>
      <c r="D1808" s="3">
        <f t="shared" si="58"/>
        <v>2.6801871205669025E-3</v>
      </c>
      <c r="E1808" s="3">
        <f t="shared" si="59"/>
        <v>6.0929358333812311E-3</v>
      </c>
    </row>
    <row r="1809" spans="1:5" x14ac:dyDescent="0.45">
      <c r="A1809" s="2">
        <v>43206</v>
      </c>
      <c r="B1809" s="3">
        <v>34305.43</v>
      </c>
      <c r="C1809" s="3">
        <v>199.05</v>
      </c>
      <c r="D1809" s="3">
        <f t="shared" si="58"/>
        <v>3.2929419893374988E-3</v>
      </c>
      <c r="E1809" s="3">
        <f t="shared" si="59"/>
        <v>7.5643325889263868E-3</v>
      </c>
    </row>
    <row r="1810" spans="1:5" x14ac:dyDescent="0.45">
      <c r="A1810" s="2">
        <v>43207</v>
      </c>
      <c r="B1810" s="3">
        <v>34395.06</v>
      </c>
      <c r="C1810" s="3">
        <v>204.9</v>
      </c>
      <c r="D1810" s="3">
        <f t="shared" si="58"/>
        <v>2.6092987358130181E-3</v>
      </c>
      <c r="E1810" s="3">
        <f t="shared" si="59"/>
        <v>2.8966005798527816E-2</v>
      </c>
    </row>
    <row r="1811" spans="1:5" x14ac:dyDescent="0.45">
      <c r="A1811" s="2">
        <v>43208</v>
      </c>
      <c r="B1811" s="3">
        <v>34331.68</v>
      </c>
      <c r="C1811" s="3">
        <v>204.9</v>
      </c>
      <c r="D1811" s="3">
        <f t="shared" si="58"/>
        <v>-1.8444063538399277E-3</v>
      </c>
      <c r="E1811" s="3">
        <f t="shared" si="59"/>
        <v>0</v>
      </c>
    </row>
    <row r="1812" spans="1:5" x14ac:dyDescent="0.45">
      <c r="A1812" s="2">
        <v>43209</v>
      </c>
      <c r="B1812" s="3">
        <v>34427.29</v>
      </c>
      <c r="C1812" s="3">
        <v>208.2</v>
      </c>
      <c r="D1812" s="3">
        <f t="shared" si="58"/>
        <v>2.7810207634362894E-3</v>
      </c>
      <c r="E1812" s="3">
        <f t="shared" si="59"/>
        <v>1.5977100936014413E-2</v>
      </c>
    </row>
    <row r="1813" spans="1:5" x14ac:dyDescent="0.45">
      <c r="A1813" s="2">
        <v>43210</v>
      </c>
      <c r="B1813" s="3">
        <v>34415.58</v>
      </c>
      <c r="C1813" s="3">
        <v>207.3</v>
      </c>
      <c r="D1813" s="3">
        <f t="shared" si="58"/>
        <v>-3.4019500096190916E-4</v>
      </c>
      <c r="E1813" s="3">
        <f t="shared" si="59"/>
        <v>-4.332136739134458E-3</v>
      </c>
    </row>
    <row r="1814" spans="1:5" x14ac:dyDescent="0.45">
      <c r="A1814" s="2">
        <v>43213</v>
      </c>
      <c r="B1814" s="3">
        <v>34450.769999999997</v>
      </c>
      <c r="C1814" s="3">
        <v>206.85</v>
      </c>
      <c r="D1814" s="3">
        <f t="shared" si="58"/>
        <v>1.0219796188653163E-3</v>
      </c>
      <c r="E1814" s="3">
        <f t="shared" si="59"/>
        <v>-2.1731265343134607E-3</v>
      </c>
    </row>
    <row r="1815" spans="1:5" x14ac:dyDescent="0.45">
      <c r="A1815" s="2">
        <v>43214</v>
      </c>
      <c r="B1815" s="3">
        <v>34616.639999999999</v>
      </c>
      <c r="C1815" s="3">
        <v>206</v>
      </c>
      <c r="D1815" s="3">
        <f t="shared" si="58"/>
        <v>4.8031428683212992E-3</v>
      </c>
      <c r="E1815" s="3">
        <f t="shared" si="59"/>
        <v>-4.1177241178394315E-3</v>
      </c>
    </row>
    <row r="1816" spans="1:5" x14ac:dyDescent="0.45">
      <c r="A1816" s="2">
        <v>43215</v>
      </c>
      <c r="B1816" s="3">
        <v>34501.269999999997</v>
      </c>
      <c r="C1816" s="3">
        <v>207.2</v>
      </c>
      <c r="D1816" s="3">
        <f t="shared" si="58"/>
        <v>-3.3383563578889739E-3</v>
      </c>
      <c r="E1816" s="3">
        <f t="shared" si="59"/>
        <v>5.8083415957469551E-3</v>
      </c>
    </row>
    <row r="1817" spans="1:5" x14ac:dyDescent="0.45">
      <c r="A1817" s="2">
        <v>43216</v>
      </c>
      <c r="B1817" s="3">
        <v>34713.599999999999</v>
      </c>
      <c r="C1817" s="3">
        <v>206.9</v>
      </c>
      <c r="D1817" s="3">
        <f t="shared" si="58"/>
        <v>6.1354060497338806E-3</v>
      </c>
      <c r="E1817" s="3">
        <f t="shared" si="59"/>
        <v>-1.4489256338305607E-3</v>
      </c>
    </row>
    <row r="1818" spans="1:5" x14ac:dyDescent="0.45">
      <c r="A1818" s="2">
        <v>43217</v>
      </c>
      <c r="B1818" s="3">
        <v>34969.699999999997</v>
      </c>
      <c r="C1818" s="3">
        <v>207.8</v>
      </c>
      <c r="D1818" s="3">
        <f t="shared" si="58"/>
        <v>7.3504312529528897E-3</v>
      </c>
      <c r="E1818" s="3">
        <f t="shared" si="59"/>
        <v>4.3404939136297968E-3</v>
      </c>
    </row>
    <row r="1819" spans="1:5" x14ac:dyDescent="0.45">
      <c r="A1819" s="2">
        <v>43220</v>
      </c>
      <c r="B1819" s="3">
        <v>35160.36</v>
      </c>
      <c r="C1819" s="3">
        <v>207.65</v>
      </c>
      <c r="D1819" s="3">
        <f t="shared" si="58"/>
        <v>5.437339415735363E-3</v>
      </c>
      <c r="E1819" s="3">
        <f t="shared" si="59"/>
        <v>-7.2210858836449792E-4</v>
      </c>
    </row>
    <row r="1820" spans="1:5" x14ac:dyDescent="0.45">
      <c r="A1820" s="2">
        <v>43222</v>
      </c>
      <c r="B1820" s="3">
        <v>35176.42</v>
      </c>
      <c r="C1820" s="3">
        <v>205.05</v>
      </c>
      <c r="D1820" s="3">
        <f t="shared" si="58"/>
        <v>4.566600938824442E-4</v>
      </c>
      <c r="E1820" s="3">
        <f t="shared" si="59"/>
        <v>-1.2600118238694245E-2</v>
      </c>
    </row>
    <row r="1821" spans="1:5" x14ac:dyDescent="0.45">
      <c r="A1821" s="2">
        <v>43223</v>
      </c>
      <c r="B1821" s="3">
        <v>35103.14</v>
      </c>
      <c r="C1821" s="3">
        <v>206.55</v>
      </c>
      <c r="D1821" s="3">
        <f t="shared" si="58"/>
        <v>-2.0853866062023152E-3</v>
      </c>
      <c r="E1821" s="3">
        <f t="shared" si="59"/>
        <v>7.2886620047052514E-3</v>
      </c>
    </row>
    <row r="1822" spans="1:5" x14ac:dyDescent="0.45">
      <c r="A1822" s="2">
        <v>43224</v>
      </c>
      <c r="B1822" s="3">
        <v>34915.379999999997</v>
      </c>
      <c r="C1822" s="3">
        <v>207.75</v>
      </c>
      <c r="D1822" s="3">
        <f t="shared" si="58"/>
        <v>-5.3631653469210731E-3</v>
      </c>
      <c r="E1822" s="3">
        <f t="shared" si="59"/>
        <v>5.7929198927838856E-3</v>
      </c>
    </row>
    <row r="1823" spans="1:5" x14ac:dyDescent="0.45">
      <c r="A1823" s="2">
        <v>43227</v>
      </c>
      <c r="B1823" s="3">
        <v>35208.14</v>
      </c>
      <c r="C1823" s="3">
        <v>209.75</v>
      </c>
      <c r="D1823" s="3">
        <f t="shared" si="58"/>
        <v>8.3498860567236769E-3</v>
      </c>
      <c r="E1823" s="3">
        <f t="shared" si="59"/>
        <v>9.580911611758048E-3</v>
      </c>
    </row>
    <row r="1824" spans="1:5" x14ac:dyDescent="0.45">
      <c r="A1824" s="2">
        <v>43228</v>
      </c>
      <c r="B1824" s="3">
        <v>35216.32</v>
      </c>
      <c r="C1824" s="3">
        <v>212.15</v>
      </c>
      <c r="D1824" s="3">
        <f t="shared" si="58"/>
        <v>2.3230565166673244E-4</v>
      </c>
      <c r="E1824" s="3">
        <f t="shared" si="59"/>
        <v>1.1377226301018294E-2</v>
      </c>
    </row>
    <row r="1825" spans="1:5" x14ac:dyDescent="0.45">
      <c r="A1825" s="2">
        <v>43229</v>
      </c>
      <c r="B1825" s="3">
        <v>35319.35</v>
      </c>
      <c r="C1825" s="3">
        <v>211.7</v>
      </c>
      <c r="D1825" s="3">
        <f t="shared" si="58"/>
        <v>2.9213608738525403E-3</v>
      </c>
      <c r="E1825" s="3">
        <f t="shared" si="59"/>
        <v>-2.1233935075145138E-3</v>
      </c>
    </row>
    <row r="1826" spans="1:5" x14ac:dyDescent="0.45">
      <c r="A1826" s="2">
        <v>43230</v>
      </c>
      <c r="B1826" s="3">
        <v>35246.269999999997</v>
      </c>
      <c r="C1826" s="3">
        <v>207.95</v>
      </c>
      <c r="D1826" s="3">
        <f t="shared" si="58"/>
        <v>-2.0712643388360792E-3</v>
      </c>
      <c r="E1826" s="3">
        <f t="shared" si="59"/>
        <v>-1.7872511951898803E-2</v>
      </c>
    </row>
    <row r="1827" spans="1:5" x14ac:dyDescent="0.45">
      <c r="A1827" s="2">
        <v>43231</v>
      </c>
      <c r="B1827" s="3">
        <v>35535.79</v>
      </c>
      <c r="C1827" s="3">
        <v>207.2</v>
      </c>
      <c r="D1827" s="3">
        <f t="shared" si="58"/>
        <v>8.1806495778105944E-3</v>
      </c>
      <c r="E1827" s="3">
        <f t="shared" si="59"/>
        <v>-3.6131558035926406E-3</v>
      </c>
    </row>
    <row r="1828" spans="1:5" x14ac:dyDescent="0.45">
      <c r="A1828" s="2">
        <v>43234</v>
      </c>
      <c r="B1828" s="3">
        <v>35556.71</v>
      </c>
      <c r="C1828" s="3">
        <v>209.05</v>
      </c>
      <c r="D1828" s="3">
        <f t="shared" si="58"/>
        <v>5.8852904606908655E-4</v>
      </c>
      <c r="E1828" s="3">
        <f t="shared" si="59"/>
        <v>8.8889474172462145E-3</v>
      </c>
    </row>
    <row r="1829" spans="1:5" x14ac:dyDescent="0.45">
      <c r="A1829" s="2">
        <v>43235</v>
      </c>
      <c r="B1829" s="3">
        <v>35543.94</v>
      </c>
      <c r="C1829" s="3">
        <v>213.8</v>
      </c>
      <c r="D1829" s="3">
        <f t="shared" si="58"/>
        <v>-3.5920909688756024E-4</v>
      </c>
      <c r="E1829" s="3">
        <f t="shared" si="59"/>
        <v>2.2467540788370748E-2</v>
      </c>
    </row>
    <row r="1830" spans="1:5" x14ac:dyDescent="0.45">
      <c r="A1830" s="2">
        <v>43236</v>
      </c>
      <c r="B1830" s="3">
        <v>35387.879999999997</v>
      </c>
      <c r="C1830" s="3">
        <v>213.4</v>
      </c>
      <c r="D1830" s="3">
        <f t="shared" si="58"/>
        <v>-4.4002889481700664E-3</v>
      </c>
      <c r="E1830" s="3">
        <f t="shared" si="59"/>
        <v>-1.8726597232918884E-3</v>
      </c>
    </row>
    <row r="1831" spans="1:5" x14ac:dyDescent="0.45">
      <c r="A1831" s="2">
        <v>43237</v>
      </c>
      <c r="B1831" s="3">
        <v>35149.120000000003</v>
      </c>
      <c r="C1831" s="3">
        <v>213.4</v>
      </c>
      <c r="D1831" s="3">
        <f t="shared" si="58"/>
        <v>-6.7698062539954529E-3</v>
      </c>
      <c r="E1831" s="3">
        <f t="shared" si="59"/>
        <v>0</v>
      </c>
    </row>
    <row r="1832" spans="1:5" x14ac:dyDescent="0.45">
      <c r="A1832" s="2">
        <v>43238</v>
      </c>
      <c r="B1832" s="3">
        <v>34848.300000000003</v>
      </c>
      <c r="C1832" s="3">
        <v>212.65</v>
      </c>
      <c r="D1832" s="3">
        <f t="shared" si="58"/>
        <v>-8.5952268524799851E-3</v>
      </c>
      <c r="E1832" s="3">
        <f t="shared" si="59"/>
        <v>-3.5207171680104268E-3</v>
      </c>
    </row>
    <row r="1833" spans="1:5" x14ac:dyDescent="0.45">
      <c r="A1833" s="2">
        <v>43241</v>
      </c>
      <c r="B1833" s="3">
        <v>34616.129999999997</v>
      </c>
      <c r="C1833" s="3">
        <v>212.95</v>
      </c>
      <c r="D1833" s="3">
        <f t="shared" si="58"/>
        <v>-6.6845971245983711E-3</v>
      </c>
      <c r="E1833" s="3">
        <f t="shared" si="59"/>
        <v>1.4097746695797921E-3</v>
      </c>
    </row>
    <row r="1834" spans="1:5" x14ac:dyDescent="0.45">
      <c r="A1834" s="2">
        <v>43242</v>
      </c>
      <c r="B1834" s="3">
        <v>34651.24</v>
      </c>
      <c r="C1834" s="3">
        <v>211.15</v>
      </c>
      <c r="D1834" s="3">
        <f t="shared" si="58"/>
        <v>1.013753027056267E-3</v>
      </c>
      <c r="E1834" s="3">
        <f t="shared" si="59"/>
        <v>-8.4886149892698607E-3</v>
      </c>
    </row>
    <row r="1835" spans="1:5" x14ac:dyDescent="0.45">
      <c r="A1835" s="2">
        <v>43243</v>
      </c>
      <c r="B1835" s="3">
        <v>34344.910000000003</v>
      </c>
      <c r="C1835" s="3">
        <v>211.05</v>
      </c>
      <c r="D1835" s="3">
        <f t="shared" si="58"/>
        <v>-8.8796842377405292E-3</v>
      </c>
      <c r="E1835" s="3">
        <f t="shared" si="59"/>
        <v>-4.7370915144484581E-4</v>
      </c>
    </row>
    <row r="1836" spans="1:5" x14ac:dyDescent="0.45">
      <c r="A1836" s="2">
        <v>43244</v>
      </c>
      <c r="B1836" s="3">
        <v>34663.11</v>
      </c>
      <c r="C1836" s="3">
        <v>211.75</v>
      </c>
      <c r="D1836" s="3">
        <f t="shared" si="58"/>
        <v>9.2221818624325016E-3</v>
      </c>
      <c r="E1836" s="3">
        <f t="shared" si="59"/>
        <v>3.3112613036560051E-3</v>
      </c>
    </row>
    <row r="1837" spans="1:5" x14ac:dyDescent="0.45">
      <c r="A1837" s="2">
        <v>43245</v>
      </c>
      <c r="B1837" s="3">
        <v>34924.870000000003</v>
      </c>
      <c r="C1837" s="3">
        <v>211.95</v>
      </c>
      <c r="D1837" s="3">
        <f t="shared" si="58"/>
        <v>7.5231738180366109E-3</v>
      </c>
      <c r="E1837" s="3">
        <f t="shared" si="59"/>
        <v>9.4406426648230356E-4</v>
      </c>
    </row>
    <row r="1838" spans="1:5" x14ac:dyDescent="0.45">
      <c r="A1838" s="2">
        <v>43248</v>
      </c>
      <c r="B1838" s="3">
        <v>35165.480000000003</v>
      </c>
      <c r="C1838" s="3">
        <v>207.05</v>
      </c>
      <c r="D1838" s="3">
        <f t="shared" si="58"/>
        <v>6.865736728730077E-3</v>
      </c>
      <c r="E1838" s="3">
        <f t="shared" si="59"/>
        <v>-2.3390087807069769E-2</v>
      </c>
    </row>
    <row r="1839" spans="1:5" x14ac:dyDescent="0.45">
      <c r="A1839" s="2">
        <v>43249</v>
      </c>
      <c r="B1839" s="3">
        <v>34949.24</v>
      </c>
      <c r="C1839" s="3">
        <v>207.2</v>
      </c>
      <c r="D1839" s="3">
        <f t="shared" si="58"/>
        <v>-6.1681965099531205E-3</v>
      </c>
      <c r="E1839" s="3">
        <f t="shared" si="59"/>
        <v>7.2420039375173308E-4</v>
      </c>
    </row>
    <row r="1840" spans="1:5" x14ac:dyDescent="0.45">
      <c r="A1840" s="2">
        <v>43250</v>
      </c>
      <c r="B1840" s="3">
        <v>34906.11</v>
      </c>
      <c r="C1840" s="3">
        <v>209.5</v>
      </c>
      <c r="D1840" s="3">
        <f t="shared" si="58"/>
        <v>-1.234837574515541E-3</v>
      </c>
      <c r="E1840" s="3">
        <f t="shared" si="59"/>
        <v>1.1039228976864544E-2</v>
      </c>
    </row>
    <row r="1841" spans="1:5" x14ac:dyDescent="0.45">
      <c r="A1841" s="2">
        <v>43251</v>
      </c>
      <c r="B1841" s="3">
        <v>35322.379999999997</v>
      </c>
      <c r="C1841" s="3">
        <v>208.95</v>
      </c>
      <c r="D1841" s="3">
        <f t="shared" si="58"/>
        <v>1.1854871865655467E-2</v>
      </c>
      <c r="E1841" s="3">
        <f t="shared" si="59"/>
        <v>-2.6287504682680667E-3</v>
      </c>
    </row>
    <row r="1842" spans="1:5" x14ac:dyDescent="0.45">
      <c r="A1842" s="2">
        <v>43252</v>
      </c>
      <c r="B1842" s="3">
        <v>35227.26</v>
      </c>
      <c r="C1842" s="3">
        <v>205.9</v>
      </c>
      <c r="D1842" s="3">
        <f t="shared" si="58"/>
        <v>-2.6965426793813499E-3</v>
      </c>
      <c r="E1842" s="3">
        <f t="shared" si="59"/>
        <v>-1.4704374860180527E-2</v>
      </c>
    </row>
    <row r="1843" spans="1:5" x14ac:dyDescent="0.45">
      <c r="A1843" s="2">
        <v>43255</v>
      </c>
      <c r="B1843" s="3">
        <v>35011.89</v>
      </c>
      <c r="C1843" s="3">
        <v>201.65</v>
      </c>
      <c r="D1843" s="3">
        <f t="shared" si="58"/>
        <v>-6.1324966193483368E-3</v>
      </c>
      <c r="E1843" s="3">
        <f t="shared" si="59"/>
        <v>-2.0857092714366664E-2</v>
      </c>
    </row>
    <row r="1844" spans="1:5" x14ac:dyDescent="0.45">
      <c r="A1844" s="2">
        <v>43256</v>
      </c>
      <c r="B1844" s="3">
        <v>34903.21</v>
      </c>
      <c r="C1844" s="3">
        <v>199.8</v>
      </c>
      <c r="D1844" s="3">
        <f t="shared" si="58"/>
        <v>-3.1089160291816759E-3</v>
      </c>
      <c r="E1844" s="3">
        <f t="shared" si="59"/>
        <v>-9.2166551049239522E-3</v>
      </c>
    </row>
    <row r="1845" spans="1:5" x14ac:dyDescent="0.45">
      <c r="A1845" s="2">
        <v>43257</v>
      </c>
      <c r="B1845" s="3">
        <v>35178.879999999997</v>
      </c>
      <c r="C1845" s="3">
        <v>201.85</v>
      </c>
      <c r="D1845" s="3">
        <f t="shared" si="58"/>
        <v>7.8671004759056449E-3</v>
      </c>
      <c r="E1845" s="3">
        <f t="shared" si="59"/>
        <v>1.0207981084496586E-2</v>
      </c>
    </row>
    <row r="1846" spans="1:5" x14ac:dyDescent="0.45">
      <c r="A1846" s="2">
        <v>43258</v>
      </c>
      <c r="B1846" s="3">
        <v>35463.08</v>
      </c>
      <c r="C1846" s="3">
        <v>202.8</v>
      </c>
      <c r="D1846" s="3">
        <f t="shared" si="58"/>
        <v>8.0462527741038577E-3</v>
      </c>
      <c r="E1846" s="3">
        <f t="shared" si="59"/>
        <v>4.6954244180782752E-3</v>
      </c>
    </row>
    <row r="1847" spans="1:5" x14ac:dyDescent="0.45">
      <c r="A1847" s="2">
        <v>43259</v>
      </c>
      <c r="B1847" s="3">
        <v>35443.67</v>
      </c>
      <c r="C1847" s="3">
        <v>198.5</v>
      </c>
      <c r="D1847" s="3">
        <f t="shared" si="58"/>
        <v>-5.4747962598265777E-4</v>
      </c>
      <c r="E1847" s="3">
        <f t="shared" si="59"/>
        <v>-2.1431171589783048E-2</v>
      </c>
    </row>
    <row r="1848" spans="1:5" x14ac:dyDescent="0.45">
      <c r="A1848" s="2">
        <v>43262</v>
      </c>
      <c r="B1848" s="3">
        <v>35483.47</v>
      </c>
      <c r="C1848" s="3">
        <v>196.1</v>
      </c>
      <c r="D1848" s="3">
        <f t="shared" si="58"/>
        <v>1.1222785573301065E-3</v>
      </c>
      <c r="E1848" s="3">
        <f t="shared" si="59"/>
        <v>-1.2164366924944488E-2</v>
      </c>
    </row>
    <row r="1849" spans="1:5" x14ac:dyDescent="0.45">
      <c r="A1849" s="2">
        <v>43263</v>
      </c>
      <c r="B1849" s="3">
        <v>35692.519999999997</v>
      </c>
      <c r="C1849" s="3">
        <v>195.7</v>
      </c>
      <c r="D1849" s="3">
        <f t="shared" si="58"/>
        <v>5.8741887854194237E-3</v>
      </c>
      <c r="E1849" s="3">
        <f t="shared" si="59"/>
        <v>-2.0418588002700353E-3</v>
      </c>
    </row>
    <row r="1850" spans="1:5" x14ac:dyDescent="0.45">
      <c r="A1850" s="2">
        <v>43264</v>
      </c>
      <c r="B1850" s="3">
        <v>35739.160000000003</v>
      </c>
      <c r="C1850" s="3">
        <v>198.5</v>
      </c>
      <c r="D1850" s="3">
        <f t="shared" si="58"/>
        <v>1.3058633544068686E-3</v>
      </c>
      <c r="E1850" s="3">
        <f t="shared" si="59"/>
        <v>1.4206225725214539E-2</v>
      </c>
    </row>
    <row r="1851" spans="1:5" x14ac:dyDescent="0.45">
      <c r="A1851" s="2">
        <v>43265</v>
      </c>
      <c r="B1851" s="3">
        <v>35599.82</v>
      </c>
      <c r="C1851" s="3">
        <v>199</v>
      </c>
      <c r="D1851" s="3">
        <f t="shared" si="58"/>
        <v>-3.9064247118694882E-3</v>
      </c>
      <c r="E1851" s="3">
        <f t="shared" si="59"/>
        <v>2.5157245972473705E-3</v>
      </c>
    </row>
    <row r="1852" spans="1:5" x14ac:dyDescent="0.45">
      <c r="A1852" s="2">
        <v>43266</v>
      </c>
      <c r="B1852" s="3">
        <v>35622.14</v>
      </c>
      <c r="C1852" s="3">
        <v>198.5</v>
      </c>
      <c r="D1852" s="3">
        <f t="shared" si="58"/>
        <v>6.2677299896527242E-4</v>
      </c>
      <c r="E1852" s="3">
        <f t="shared" si="59"/>
        <v>-2.5157245972472469E-3</v>
      </c>
    </row>
    <row r="1853" spans="1:5" x14ac:dyDescent="0.45">
      <c r="A1853" s="2">
        <v>43269</v>
      </c>
      <c r="B1853" s="3">
        <v>35548.26</v>
      </c>
      <c r="C1853" s="3">
        <v>198.9</v>
      </c>
      <c r="D1853" s="3">
        <f t="shared" si="58"/>
        <v>-2.0761447606744308E-3</v>
      </c>
      <c r="E1853" s="3">
        <f t="shared" si="59"/>
        <v>2.0130857326815187E-3</v>
      </c>
    </row>
    <row r="1854" spans="1:5" x14ac:dyDescent="0.45">
      <c r="A1854" s="2">
        <v>43270</v>
      </c>
      <c r="B1854" s="3">
        <v>35286.74</v>
      </c>
      <c r="C1854" s="3">
        <v>198.35</v>
      </c>
      <c r="D1854" s="3">
        <f t="shared" si="58"/>
        <v>-7.3839539276331096E-3</v>
      </c>
      <c r="E1854" s="3">
        <f t="shared" si="59"/>
        <v>-2.7690388995874715E-3</v>
      </c>
    </row>
    <row r="1855" spans="1:5" x14ac:dyDescent="0.45">
      <c r="A1855" s="2">
        <v>43271</v>
      </c>
      <c r="B1855" s="3">
        <v>35547.33</v>
      </c>
      <c r="C1855" s="3">
        <v>199.6</v>
      </c>
      <c r="D1855" s="3">
        <f t="shared" si="58"/>
        <v>7.3577919673750193E-3</v>
      </c>
      <c r="E1855" s="3">
        <f t="shared" si="59"/>
        <v>6.2822169170244635E-3</v>
      </c>
    </row>
    <row r="1856" spans="1:5" x14ac:dyDescent="0.45">
      <c r="A1856" s="2">
        <v>43272</v>
      </c>
      <c r="B1856" s="3">
        <v>35432.39</v>
      </c>
      <c r="C1856" s="3">
        <v>195.85</v>
      </c>
      <c r="D1856" s="3">
        <f t="shared" si="58"/>
        <v>-3.2386743838165514E-3</v>
      </c>
      <c r="E1856" s="3">
        <f t="shared" si="59"/>
        <v>-1.8966303765523294E-2</v>
      </c>
    </row>
    <row r="1857" spans="1:5" x14ac:dyDescent="0.45">
      <c r="A1857" s="2">
        <v>43273</v>
      </c>
      <c r="B1857" s="3">
        <v>35689.599999999999</v>
      </c>
      <c r="C1857" s="3">
        <v>197.85</v>
      </c>
      <c r="D1857" s="3">
        <f t="shared" si="58"/>
        <v>7.2329562584374672E-3</v>
      </c>
      <c r="E1857" s="3">
        <f t="shared" si="59"/>
        <v>1.0160107719592965E-2</v>
      </c>
    </row>
    <row r="1858" spans="1:5" x14ac:dyDescent="0.45">
      <c r="A1858" s="2">
        <v>43276</v>
      </c>
      <c r="B1858" s="3">
        <v>35470.35</v>
      </c>
      <c r="C1858" s="3">
        <v>195</v>
      </c>
      <c r="D1858" s="3">
        <f t="shared" si="58"/>
        <v>-6.1621935875770962E-3</v>
      </c>
      <c r="E1858" s="3">
        <f t="shared" si="59"/>
        <v>-1.4509609267686513E-2</v>
      </c>
    </row>
    <row r="1859" spans="1:5" x14ac:dyDescent="0.45">
      <c r="A1859" s="2">
        <v>43277</v>
      </c>
      <c r="B1859" s="3">
        <v>35490.04</v>
      </c>
      <c r="C1859" s="3">
        <v>191.45</v>
      </c>
      <c r="D1859" s="3">
        <f t="shared" si="58"/>
        <v>5.549575053163991E-4</v>
      </c>
      <c r="E1859" s="3">
        <f t="shared" si="59"/>
        <v>-1.8372880640443401E-2</v>
      </c>
    </row>
    <row r="1860" spans="1:5" x14ac:dyDescent="0.45">
      <c r="A1860" s="2">
        <v>43278</v>
      </c>
      <c r="B1860" s="3">
        <v>35217.11</v>
      </c>
      <c r="C1860" s="3">
        <v>188.1</v>
      </c>
      <c r="D1860" s="3">
        <f t="shared" si="58"/>
        <v>-7.7200496847077693E-3</v>
      </c>
      <c r="E1860" s="3">
        <f t="shared" si="59"/>
        <v>-1.7652941616318737E-2</v>
      </c>
    </row>
    <row r="1861" spans="1:5" x14ac:dyDescent="0.45">
      <c r="A1861" s="2">
        <v>43279</v>
      </c>
      <c r="B1861" s="3">
        <v>35037.64</v>
      </c>
      <c r="C1861" s="3">
        <v>184.9</v>
      </c>
      <c r="D1861" s="3">
        <f t="shared" si="58"/>
        <v>-5.1091318493158584E-3</v>
      </c>
      <c r="E1861" s="3">
        <f t="shared" si="59"/>
        <v>-1.7158597913905466E-2</v>
      </c>
    </row>
    <row r="1862" spans="1:5" x14ac:dyDescent="0.45">
      <c r="A1862" s="2">
        <v>43280</v>
      </c>
      <c r="B1862" s="3">
        <v>35423.480000000003</v>
      </c>
      <c r="C1862" s="3">
        <v>186.65</v>
      </c>
      <c r="D1862" s="3">
        <f t="shared" ref="D1862:D1925" si="60">LN(B1862/B1861)</f>
        <v>1.0951964903228105E-2</v>
      </c>
      <c r="E1862" s="3">
        <f t="shared" ref="E1862:E1925" si="61">LN(C1862/C1861)</f>
        <v>9.4200669675136191E-3</v>
      </c>
    </row>
    <row r="1863" spans="1:5" x14ac:dyDescent="0.45">
      <c r="A1863" s="2">
        <v>43283</v>
      </c>
      <c r="B1863" s="3">
        <v>35264.410000000003</v>
      </c>
      <c r="C1863" s="3">
        <v>185.25</v>
      </c>
      <c r="D1863" s="3">
        <f t="shared" si="60"/>
        <v>-4.5006370541415368E-3</v>
      </c>
      <c r="E1863" s="3">
        <f t="shared" si="61"/>
        <v>-7.5289411843966203E-3</v>
      </c>
    </row>
    <row r="1864" spans="1:5" x14ac:dyDescent="0.45">
      <c r="A1864" s="2">
        <v>43284</v>
      </c>
      <c r="B1864" s="3">
        <v>35378.6</v>
      </c>
      <c r="C1864" s="3">
        <v>184.5</v>
      </c>
      <c r="D1864" s="3">
        <f t="shared" si="60"/>
        <v>3.2328775190831023E-3</v>
      </c>
      <c r="E1864" s="3">
        <f t="shared" si="61"/>
        <v>-4.0568006956144299E-3</v>
      </c>
    </row>
    <row r="1865" spans="1:5" x14ac:dyDescent="0.45">
      <c r="A1865" s="2">
        <v>43285</v>
      </c>
      <c r="B1865" s="3">
        <v>35645.4</v>
      </c>
      <c r="C1865" s="3">
        <v>183</v>
      </c>
      <c r="D1865" s="3">
        <f t="shared" si="60"/>
        <v>7.5129887068965629E-3</v>
      </c>
      <c r="E1865" s="3">
        <f t="shared" si="61"/>
        <v>-8.1633106391609811E-3</v>
      </c>
    </row>
    <row r="1866" spans="1:5" x14ac:dyDescent="0.45">
      <c r="A1866" s="2">
        <v>43286</v>
      </c>
      <c r="B1866" s="3">
        <v>35574.550000000003</v>
      </c>
      <c r="C1866" s="3">
        <v>181.6</v>
      </c>
      <c r="D1866" s="3">
        <f t="shared" si="60"/>
        <v>-1.9896117133461769E-3</v>
      </c>
      <c r="E1866" s="3">
        <f t="shared" si="61"/>
        <v>-7.6796866742280742E-3</v>
      </c>
    </row>
    <row r="1867" spans="1:5" x14ac:dyDescent="0.45">
      <c r="A1867" s="2">
        <v>43287</v>
      </c>
      <c r="B1867" s="3">
        <v>35657.86</v>
      </c>
      <c r="C1867" s="3">
        <v>181.25</v>
      </c>
      <c r="D1867" s="3">
        <f t="shared" si="60"/>
        <v>2.3391048536829961E-3</v>
      </c>
      <c r="E1867" s="3">
        <f t="shared" si="61"/>
        <v>-1.9291724324086794E-3</v>
      </c>
    </row>
    <row r="1868" spans="1:5" x14ac:dyDescent="0.45">
      <c r="A1868" s="2">
        <v>43290</v>
      </c>
      <c r="B1868" s="3">
        <v>35934.720000000001</v>
      </c>
      <c r="C1868" s="3">
        <v>184.45</v>
      </c>
      <c r="D1868" s="3">
        <f t="shared" si="60"/>
        <v>7.7343596264608083E-3</v>
      </c>
      <c r="E1868" s="3">
        <f t="shared" si="61"/>
        <v>1.7501130307900375E-2</v>
      </c>
    </row>
    <row r="1869" spans="1:5" x14ac:dyDescent="0.45">
      <c r="A1869" s="2">
        <v>43291</v>
      </c>
      <c r="B1869" s="3">
        <v>36239.620000000003</v>
      </c>
      <c r="C1869" s="3">
        <v>184.15</v>
      </c>
      <c r="D1869" s="3">
        <f t="shared" si="60"/>
        <v>8.449036424929569E-3</v>
      </c>
      <c r="E1869" s="3">
        <f t="shared" si="61"/>
        <v>-1.6277811516101997E-3</v>
      </c>
    </row>
    <row r="1870" spans="1:5" x14ac:dyDescent="0.45">
      <c r="A1870" s="2">
        <v>43292</v>
      </c>
      <c r="B1870" s="3">
        <v>36265.93</v>
      </c>
      <c r="C1870" s="3">
        <v>182.85</v>
      </c>
      <c r="D1870" s="3">
        <f t="shared" si="60"/>
        <v>7.2573757884117514E-4</v>
      </c>
      <c r="E1870" s="3">
        <f t="shared" si="61"/>
        <v>-7.084498295684168E-3</v>
      </c>
    </row>
    <row r="1871" spans="1:5" x14ac:dyDescent="0.45">
      <c r="A1871" s="2">
        <v>43293</v>
      </c>
      <c r="B1871" s="3">
        <v>36548.410000000003</v>
      </c>
      <c r="C1871" s="3">
        <v>182.8</v>
      </c>
      <c r="D1871" s="3">
        <f t="shared" si="60"/>
        <v>7.7589501501314712E-3</v>
      </c>
      <c r="E1871" s="3">
        <f t="shared" si="61"/>
        <v>-2.7348557534048745E-4</v>
      </c>
    </row>
    <row r="1872" spans="1:5" x14ac:dyDescent="0.45">
      <c r="A1872" s="2">
        <v>43294</v>
      </c>
      <c r="B1872" s="3">
        <v>36541.629999999997</v>
      </c>
      <c r="C1872" s="3">
        <v>181.65</v>
      </c>
      <c r="D1872" s="3">
        <f t="shared" si="60"/>
        <v>-1.8552459458094601E-4</v>
      </c>
      <c r="E1872" s="3">
        <f t="shared" si="61"/>
        <v>-6.3109003528387005E-3</v>
      </c>
    </row>
    <row r="1873" spans="1:5" x14ac:dyDescent="0.45">
      <c r="A1873" s="2">
        <v>43297</v>
      </c>
      <c r="B1873" s="3">
        <v>36323.769999999997</v>
      </c>
      <c r="C1873" s="3">
        <v>181.35</v>
      </c>
      <c r="D1873" s="3">
        <f t="shared" si="60"/>
        <v>-5.9798106972190528E-3</v>
      </c>
      <c r="E1873" s="3">
        <f t="shared" si="61"/>
        <v>-1.6528929382996255E-3</v>
      </c>
    </row>
    <row r="1874" spans="1:5" x14ac:dyDescent="0.45">
      <c r="A1874" s="2">
        <v>43298</v>
      </c>
      <c r="B1874" s="3">
        <v>36519.96</v>
      </c>
      <c r="C1874" s="3">
        <v>181.3</v>
      </c>
      <c r="D1874" s="3">
        <f t="shared" si="60"/>
        <v>5.3866125301535858E-3</v>
      </c>
      <c r="E1874" s="3">
        <f t="shared" si="61"/>
        <v>-2.7574796810589234E-4</v>
      </c>
    </row>
    <row r="1875" spans="1:5" x14ac:dyDescent="0.45">
      <c r="A1875" s="2">
        <v>43299</v>
      </c>
      <c r="B1875" s="3">
        <v>36373.440000000002</v>
      </c>
      <c r="C1875" s="3">
        <v>178.55</v>
      </c>
      <c r="D1875" s="3">
        <f t="shared" si="60"/>
        <v>-4.0201224618538998E-3</v>
      </c>
      <c r="E1875" s="3">
        <f t="shared" si="61"/>
        <v>-1.5284443720347873E-2</v>
      </c>
    </row>
    <row r="1876" spans="1:5" x14ac:dyDescent="0.45">
      <c r="A1876" s="2">
        <v>43300</v>
      </c>
      <c r="B1876" s="3">
        <v>36351.230000000003</v>
      </c>
      <c r="C1876" s="3">
        <v>177.25</v>
      </c>
      <c r="D1876" s="3">
        <f t="shared" si="60"/>
        <v>-6.1079687788185037E-4</v>
      </c>
      <c r="E1876" s="3">
        <f t="shared" si="61"/>
        <v>-7.3075086282206377E-3</v>
      </c>
    </row>
    <row r="1877" spans="1:5" x14ac:dyDescent="0.45">
      <c r="A1877" s="2">
        <v>43301</v>
      </c>
      <c r="B1877" s="3">
        <v>36496.370000000003</v>
      </c>
      <c r="C1877" s="3">
        <v>176.2</v>
      </c>
      <c r="D1877" s="3">
        <f t="shared" si="60"/>
        <v>3.9847624917876429E-3</v>
      </c>
      <c r="E1877" s="3">
        <f t="shared" si="61"/>
        <v>-5.9414519101578045E-3</v>
      </c>
    </row>
    <row r="1878" spans="1:5" x14ac:dyDescent="0.45">
      <c r="A1878" s="2">
        <v>43304</v>
      </c>
      <c r="B1878" s="3">
        <v>36718.6</v>
      </c>
      <c r="C1878" s="3">
        <v>176.95</v>
      </c>
      <c r="D1878" s="3">
        <f t="shared" si="60"/>
        <v>6.0706350758377775E-3</v>
      </c>
      <c r="E1878" s="3">
        <f t="shared" si="61"/>
        <v>4.2474932893932461E-3</v>
      </c>
    </row>
    <row r="1879" spans="1:5" x14ac:dyDescent="0.45">
      <c r="A1879" s="2">
        <v>43305</v>
      </c>
      <c r="B1879" s="3">
        <v>36825.1</v>
      </c>
      <c r="C1879" s="3">
        <v>177.95</v>
      </c>
      <c r="D1879" s="3">
        <f t="shared" si="60"/>
        <v>2.8962392277048776E-3</v>
      </c>
      <c r="E1879" s="3">
        <f t="shared" si="61"/>
        <v>5.6354051647292455E-3</v>
      </c>
    </row>
    <row r="1880" spans="1:5" x14ac:dyDescent="0.45">
      <c r="A1880" s="2">
        <v>43306</v>
      </c>
      <c r="B1880" s="3">
        <v>36858.230000000003</v>
      </c>
      <c r="C1880" s="3">
        <v>175.65</v>
      </c>
      <c r="D1880" s="3">
        <f t="shared" si="60"/>
        <v>8.9925366382261692E-4</v>
      </c>
      <c r="E1880" s="3">
        <f t="shared" si="61"/>
        <v>-1.3009233244365512E-2</v>
      </c>
    </row>
    <row r="1881" spans="1:5" x14ac:dyDescent="0.45">
      <c r="A1881" s="2">
        <v>43307</v>
      </c>
      <c r="B1881" s="3">
        <v>36984.639999999999</v>
      </c>
      <c r="C1881" s="3">
        <v>182.75</v>
      </c>
      <c r="D1881" s="3">
        <f t="shared" si="60"/>
        <v>3.4237597613107217E-3</v>
      </c>
      <c r="E1881" s="3">
        <f t="shared" si="61"/>
        <v>3.9625719918051791E-2</v>
      </c>
    </row>
    <row r="1882" spans="1:5" x14ac:dyDescent="0.45">
      <c r="A1882" s="2">
        <v>43308</v>
      </c>
      <c r="B1882" s="3">
        <v>37336.85</v>
      </c>
      <c r="C1882" s="3">
        <v>179.6</v>
      </c>
      <c r="D1882" s="3">
        <f t="shared" si="60"/>
        <v>9.4780833027072863E-3</v>
      </c>
      <c r="E1882" s="3">
        <f t="shared" si="61"/>
        <v>-1.7386942761788669E-2</v>
      </c>
    </row>
    <row r="1883" spans="1:5" x14ac:dyDescent="0.45">
      <c r="A1883" s="2">
        <v>43311</v>
      </c>
      <c r="B1883" s="3">
        <v>37494.400000000001</v>
      </c>
      <c r="C1883" s="3">
        <v>183.15</v>
      </c>
      <c r="D1883" s="3">
        <f t="shared" si="60"/>
        <v>4.2108138723482014E-3</v>
      </c>
      <c r="E1883" s="3">
        <f t="shared" si="61"/>
        <v>1.9573333356724242E-2</v>
      </c>
    </row>
    <row r="1884" spans="1:5" x14ac:dyDescent="0.45">
      <c r="A1884" s="2">
        <v>43312</v>
      </c>
      <c r="B1884" s="3">
        <v>37606.58</v>
      </c>
      <c r="C1884" s="3">
        <v>182.2</v>
      </c>
      <c r="D1884" s="3">
        <f t="shared" si="60"/>
        <v>2.987446593435682E-3</v>
      </c>
      <c r="E1884" s="3">
        <f t="shared" si="61"/>
        <v>-5.2005043989655679E-3</v>
      </c>
    </row>
    <row r="1885" spans="1:5" x14ac:dyDescent="0.45">
      <c r="A1885" s="2">
        <v>43313</v>
      </c>
      <c r="B1885" s="3">
        <v>37521.620000000003</v>
      </c>
      <c r="C1885" s="3">
        <v>184.05</v>
      </c>
      <c r="D1885" s="3">
        <f t="shared" si="60"/>
        <v>-2.2617349069283272E-3</v>
      </c>
      <c r="E1885" s="3">
        <f t="shared" si="61"/>
        <v>1.0102474999172271E-2</v>
      </c>
    </row>
    <row r="1886" spans="1:5" x14ac:dyDescent="0.45">
      <c r="A1886" s="2">
        <v>43314</v>
      </c>
      <c r="B1886" s="3">
        <v>37165.160000000003</v>
      </c>
      <c r="C1886" s="3">
        <v>188.2</v>
      </c>
      <c r="D1886" s="3">
        <f t="shared" si="60"/>
        <v>-9.5455368844265722E-3</v>
      </c>
      <c r="E1886" s="3">
        <f t="shared" si="61"/>
        <v>2.2297767326249027E-2</v>
      </c>
    </row>
    <row r="1887" spans="1:5" x14ac:dyDescent="0.45">
      <c r="A1887" s="2">
        <v>43315</v>
      </c>
      <c r="B1887" s="3">
        <v>37556.160000000003</v>
      </c>
      <c r="C1887" s="3">
        <v>189.6</v>
      </c>
      <c r="D1887" s="3">
        <f t="shared" si="60"/>
        <v>1.0465649398057643E-2</v>
      </c>
      <c r="E1887" s="3">
        <f t="shared" si="61"/>
        <v>7.4113626696422335E-3</v>
      </c>
    </row>
    <row r="1888" spans="1:5" x14ac:dyDescent="0.45">
      <c r="A1888" s="2">
        <v>43318</v>
      </c>
      <c r="B1888" s="3">
        <v>37691.89</v>
      </c>
      <c r="C1888" s="3">
        <v>189.55</v>
      </c>
      <c r="D1888" s="3">
        <f t="shared" si="60"/>
        <v>3.6075392572428315E-3</v>
      </c>
      <c r="E1888" s="3">
        <f t="shared" si="61"/>
        <v>-2.6374785857751171E-4</v>
      </c>
    </row>
    <row r="1889" spans="1:5" x14ac:dyDescent="0.45">
      <c r="A1889" s="2">
        <v>43319</v>
      </c>
      <c r="B1889" s="3">
        <v>37665.800000000003</v>
      </c>
      <c r="C1889" s="3">
        <v>189.1</v>
      </c>
      <c r="D1889" s="3">
        <f t="shared" si="60"/>
        <v>-6.9243101911494376E-4</v>
      </c>
      <c r="E1889" s="3">
        <f t="shared" si="61"/>
        <v>-2.3768662979321135E-3</v>
      </c>
    </row>
    <row r="1890" spans="1:5" x14ac:dyDescent="0.45">
      <c r="A1890" s="2">
        <v>43320</v>
      </c>
      <c r="B1890" s="3">
        <v>37887.56</v>
      </c>
      <c r="C1890" s="3">
        <v>189.55</v>
      </c>
      <c r="D1890" s="3">
        <f t="shared" si="60"/>
        <v>5.8703050884654469E-3</v>
      </c>
      <c r="E1890" s="3">
        <f t="shared" si="61"/>
        <v>2.3768662979321053E-3</v>
      </c>
    </row>
    <row r="1891" spans="1:5" x14ac:dyDescent="0.45">
      <c r="A1891" s="2">
        <v>43321</v>
      </c>
      <c r="B1891" s="3">
        <v>38024.370000000003</v>
      </c>
      <c r="C1891" s="3">
        <v>192.75</v>
      </c>
      <c r="D1891" s="3">
        <f t="shared" si="60"/>
        <v>3.6044439423363181E-3</v>
      </c>
      <c r="E1891" s="3">
        <f t="shared" si="61"/>
        <v>1.6741170481094945E-2</v>
      </c>
    </row>
    <row r="1892" spans="1:5" x14ac:dyDescent="0.45">
      <c r="A1892" s="2">
        <v>43322</v>
      </c>
      <c r="B1892" s="3">
        <v>37869.230000000003</v>
      </c>
      <c r="C1892" s="3">
        <v>190.3</v>
      </c>
      <c r="D1892" s="3">
        <f t="shared" si="60"/>
        <v>-4.0883609709670239E-3</v>
      </c>
      <c r="E1892" s="3">
        <f t="shared" si="61"/>
        <v>-1.2792238141335018E-2</v>
      </c>
    </row>
    <row r="1893" spans="1:5" x14ac:dyDescent="0.45">
      <c r="A1893" s="2">
        <v>43325</v>
      </c>
      <c r="B1893" s="3">
        <v>37644.9</v>
      </c>
      <c r="C1893" s="3">
        <v>187.9</v>
      </c>
      <c r="D1893" s="3">
        <f t="shared" si="60"/>
        <v>-5.9414220865148777E-3</v>
      </c>
      <c r="E1893" s="3">
        <f t="shared" si="61"/>
        <v>-1.269186788268423E-2</v>
      </c>
    </row>
    <row r="1894" spans="1:5" x14ac:dyDescent="0.45">
      <c r="A1894" s="2">
        <v>43326</v>
      </c>
      <c r="B1894" s="3">
        <v>37852</v>
      </c>
      <c r="C1894" s="3">
        <v>187.2</v>
      </c>
      <c r="D1894" s="3">
        <f t="shared" si="60"/>
        <v>5.4863317427003844E-3</v>
      </c>
      <c r="E1894" s="3">
        <f t="shared" si="61"/>
        <v>-3.7323423759280439E-3</v>
      </c>
    </row>
    <row r="1895" spans="1:5" x14ac:dyDescent="0.45">
      <c r="A1895" s="2">
        <v>43328</v>
      </c>
      <c r="B1895" s="3">
        <v>37663.56</v>
      </c>
      <c r="C1895" s="3">
        <v>187.3</v>
      </c>
      <c r="D1895" s="3">
        <f t="shared" si="60"/>
        <v>-4.9907698793486841E-3</v>
      </c>
      <c r="E1895" s="3">
        <f t="shared" si="61"/>
        <v>5.340454065513769E-4</v>
      </c>
    </row>
    <row r="1896" spans="1:5" x14ac:dyDescent="0.45">
      <c r="A1896" s="2">
        <v>43329</v>
      </c>
      <c r="B1896" s="3">
        <v>37947.879999999997</v>
      </c>
      <c r="C1896" s="3">
        <v>187.2</v>
      </c>
      <c r="D1896" s="3">
        <f t="shared" si="60"/>
        <v>7.5205905370050227E-3</v>
      </c>
      <c r="E1896" s="3">
        <f t="shared" si="61"/>
        <v>-5.3404540655128854E-4</v>
      </c>
    </row>
    <row r="1897" spans="1:5" x14ac:dyDescent="0.45">
      <c r="A1897" s="2">
        <v>43332</v>
      </c>
      <c r="B1897" s="3">
        <v>38278.75</v>
      </c>
      <c r="C1897" s="3">
        <v>187.45</v>
      </c>
      <c r="D1897" s="3">
        <f t="shared" si="60"/>
        <v>8.6812726204717472E-3</v>
      </c>
      <c r="E1897" s="3">
        <f t="shared" si="61"/>
        <v>1.3345791384294652E-3</v>
      </c>
    </row>
    <row r="1898" spans="1:5" x14ac:dyDescent="0.45">
      <c r="A1898" s="2">
        <v>43333</v>
      </c>
      <c r="B1898" s="3">
        <v>38285.75</v>
      </c>
      <c r="C1898" s="3">
        <v>187.25</v>
      </c>
      <c r="D1898" s="3">
        <f t="shared" si="60"/>
        <v>1.8285236681503638E-4</v>
      </c>
      <c r="E1898" s="3">
        <f t="shared" si="61"/>
        <v>-1.0675207845921657E-3</v>
      </c>
    </row>
    <row r="1899" spans="1:5" x14ac:dyDescent="0.45">
      <c r="A1899" s="2">
        <v>43335</v>
      </c>
      <c r="B1899" s="3">
        <v>38336.76</v>
      </c>
      <c r="C1899" s="3">
        <v>190</v>
      </c>
      <c r="D1899" s="3">
        <f t="shared" si="60"/>
        <v>1.3314627133945874E-3</v>
      </c>
      <c r="E1899" s="3">
        <f t="shared" si="61"/>
        <v>1.4579449763157238E-2</v>
      </c>
    </row>
    <row r="1900" spans="1:5" x14ac:dyDescent="0.45">
      <c r="A1900" s="2">
        <v>43336</v>
      </c>
      <c r="B1900" s="3">
        <v>38251.800000000003</v>
      </c>
      <c r="C1900" s="3">
        <v>190.85</v>
      </c>
      <c r="D1900" s="3">
        <f t="shared" si="60"/>
        <v>-2.2186090154810599E-3</v>
      </c>
      <c r="E1900" s="3">
        <f t="shared" si="61"/>
        <v>4.4637070307524691E-3</v>
      </c>
    </row>
    <row r="1901" spans="1:5" x14ac:dyDescent="0.45">
      <c r="A1901" s="2">
        <v>43339</v>
      </c>
      <c r="B1901" s="3">
        <v>38694.11</v>
      </c>
      <c r="C1901" s="3">
        <v>197.8</v>
      </c>
      <c r="D1901" s="3">
        <f t="shared" si="60"/>
        <v>1.1496774081419851E-2</v>
      </c>
      <c r="E1901" s="3">
        <f t="shared" si="61"/>
        <v>3.576863999737305E-2</v>
      </c>
    </row>
    <row r="1902" spans="1:5" x14ac:dyDescent="0.45">
      <c r="A1902" s="2">
        <v>43340</v>
      </c>
      <c r="B1902" s="3">
        <v>38896.629999999997</v>
      </c>
      <c r="C1902" s="3">
        <v>196.8</v>
      </c>
      <c r="D1902" s="3">
        <f t="shared" si="60"/>
        <v>5.2202224105902329E-3</v>
      </c>
      <c r="E1902" s="3">
        <f t="shared" si="61"/>
        <v>-5.068434570458729E-3</v>
      </c>
    </row>
    <row r="1903" spans="1:5" x14ac:dyDescent="0.45">
      <c r="A1903" s="2">
        <v>43341</v>
      </c>
      <c r="B1903" s="3">
        <v>38722.93</v>
      </c>
      <c r="C1903" s="3">
        <v>193.7</v>
      </c>
      <c r="D1903" s="3">
        <f t="shared" si="60"/>
        <v>-4.4756834478157682E-3</v>
      </c>
      <c r="E1903" s="3">
        <f t="shared" si="61"/>
        <v>-1.5877414205202965E-2</v>
      </c>
    </row>
    <row r="1904" spans="1:5" x14ac:dyDescent="0.45">
      <c r="A1904" s="2">
        <v>43342</v>
      </c>
      <c r="B1904" s="3">
        <v>38690.1</v>
      </c>
      <c r="C1904" s="3">
        <v>195.95</v>
      </c>
      <c r="D1904" s="3">
        <f t="shared" si="60"/>
        <v>-8.4817767675993692E-4</v>
      </c>
      <c r="E1904" s="3">
        <f t="shared" si="61"/>
        <v>1.1548954232690176E-2</v>
      </c>
    </row>
    <row r="1905" spans="1:5" x14ac:dyDescent="0.45">
      <c r="A1905" s="2">
        <v>43343</v>
      </c>
      <c r="B1905" s="3">
        <v>38645.07</v>
      </c>
      <c r="C1905" s="3">
        <v>200.6</v>
      </c>
      <c r="D1905" s="3">
        <f t="shared" si="60"/>
        <v>-1.1645414392695824E-3</v>
      </c>
      <c r="E1905" s="3">
        <f t="shared" si="61"/>
        <v>2.3453350882194721E-2</v>
      </c>
    </row>
    <row r="1906" spans="1:5" x14ac:dyDescent="0.45">
      <c r="A1906" s="2">
        <v>43346</v>
      </c>
      <c r="B1906" s="3">
        <v>38312.519999999997</v>
      </c>
      <c r="C1906" s="3">
        <v>194.75</v>
      </c>
      <c r="D1906" s="3">
        <f t="shared" si="60"/>
        <v>-8.6424761978751326E-3</v>
      </c>
      <c r="E1906" s="3">
        <f t="shared" si="61"/>
        <v>-2.9596190776977491E-2</v>
      </c>
    </row>
    <row r="1907" spans="1:5" x14ac:dyDescent="0.45">
      <c r="A1907" s="2">
        <v>43347</v>
      </c>
      <c r="B1907" s="3">
        <v>38157.919999999998</v>
      </c>
      <c r="C1907" s="3">
        <v>193.9</v>
      </c>
      <c r="D1907" s="3">
        <f t="shared" si="60"/>
        <v>-4.0433979621516897E-3</v>
      </c>
      <c r="E1907" s="3">
        <f t="shared" si="61"/>
        <v>-4.374122502251475E-3</v>
      </c>
    </row>
    <row r="1908" spans="1:5" x14ac:dyDescent="0.45">
      <c r="A1908" s="2">
        <v>43348</v>
      </c>
      <c r="B1908" s="3">
        <v>38018.31</v>
      </c>
      <c r="C1908" s="3">
        <v>194.9</v>
      </c>
      <c r="D1908" s="3">
        <f t="shared" si="60"/>
        <v>-3.6654519739623926E-3</v>
      </c>
      <c r="E1908" s="3">
        <f t="shared" si="61"/>
        <v>5.1440442649089528E-3</v>
      </c>
    </row>
    <row r="1909" spans="1:5" x14ac:dyDescent="0.45">
      <c r="A1909" s="2">
        <v>43349</v>
      </c>
      <c r="B1909" s="3">
        <v>38242.81</v>
      </c>
      <c r="C1909" s="3">
        <v>199.2</v>
      </c>
      <c r="D1909" s="3">
        <f t="shared" si="60"/>
        <v>5.887682964017823E-3</v>
      </c>
      <c r="E1909" s="3">
        <f t="shared" si="61"/>
        <v>2.1822738636982687E-2</v>
      </c>
    </row>
    <row r="1910" spans="1:5" x14ac:dyDescent="0.45">
      <c r="A1910" s="2">
        <v>43350</v>
      </c>
      <c r="B1910" s="3">
        <v>38389.82</v>
      </c>
      <c r="C1910" s="3">
        <v>195.75</v>
      </c>
      <c r="D1910" s="3">
        <f t="shared" si="60"/>
        <v>3.8367515336570498E-3</v>
      </c>
      <c r="E1910" s="3">
        <f t="shared" si="61"/>
        <v>-1.7471010279585371E-2</v>
      </c>
    </row>
    <row r="1911" spans="1:5" x14ac:dyDescent="0.45">
      <c r="A1911" s="2">
        <v>43353</v>
      </c>
      <c r="B1911" s="3">
        <v>37922.17</v>
      </c>
      <c r="C1911" s="3">
        <v>193.05</v>
      </c>
      <c r="D1911" s="3">
        <f t="shared" si="60"/>
        <v>-1.2256418792805665E-2</v>
      </c>
      <c r="E1911" s="3">
        <f t="shared" si="61"/>
        <v>-1.3889112160667037E-2</v>
      </c>
    </row>
    <row r="1912" spans="1:5" x14ac:dyDescent="0.45">
      <c r="A1912" s="2">
        <v>43354</v>
      </c>
      <c r="B1912" s="3">
        <v>37413.129999999997</v>
      </c>
      <c r="C1912" s="3">
        <v>186.85</v>
      </c>
      <c r="D1912" s="3">
        <f t="shared" si="60"/>
        <v>-1.3514189159168981E-2</v>
      </c>
      <c r="E1912" s="3">
        <f t="shared" si="61"/>
        <v>-3.2643066778752547E-2</v>
      </c>
    </row>
    <row r="1913" spans="1:5" x14ac:dyDescent="0.45">
      <c r="A1913" s="2">
        <v>43355</v>
      </c>
      <c r="B1913" s="3">
        <v>37717.96</v>
      </c>
      <c r="C1913" s="3">
        <v>193.2</v>
      </c>
      <c r="D1913" s="3">
        <f t="shared" si="60"/>
        <v>8.114661259275199E-3</v>
      </c>
      <c r="E1913" s="3">
        <f t="shared" si="61"/>
        <v>3.3419765846924784E-2</v>
      </c>
    </row>
    <row r="1914" spans="1:5" x14ac:dyDescent="0.45">
      <c r="A1914" s="2">
        <v>43357</v>
      </c>
      <c r="B1914" s="3">
        <v>38090.639999999999</v>
      </c>
      <c r="C1914" s="3">
        <v>200.1</v>
      </c>
      <c r="D1914" s="3">
        <f t="shared" si="60"/>
        <v>9.832209071679263E-3</v>
      </c>
      <c r="E1914" s="3">
        <f t="shared" si="61"/>
        <v>3.5091319811270193E-2</v>
      </c>
    </row>
    <row r="1915" spans="1:5" x14ac:dyDescent="0.45">
      <c r="A1915" s="2">
        <v>43360</v>
      </c>
      <c r="B1915" s="3">
        <v>37585.51</v>
      </c>
      <c r="C1915" s="3">
        <v>201.5</v>
      </c>
      <c r="D1915" s="3">
        <f t="shared" si="60"/>
        <v>-1.3349978879253129E-2</v>
      </c>
      <c r="E1915" s="3">
        <f t="shared" si="61"/>
        <v>6.9721397970498719E-3</v>
      </c>
    </row>
    <row r="1916" spans="1:5" x14ac:dyDescent="0.45">
      <c r="A1916" s="2">
        <v>43361</v>
      </c>
      <c r="B1916" s="3">
        <v>37290.67</v>
      </c>
      <c r="C1916" s="3">
        <v>198.65</v>
      </c>
      <c r="D1916" s="3">
        <f t="shared" si="60"/>
        <v>-7.8754424676463486E-3</v>
      </c>
      <c r="E1916" s="3">
        <f t="shared" si="61"/>
        <v>-1.4244899126129713E-2</v>
      </c>
    </row>
    <row r="1917" spans="1:5" x14ac:dyDescent="0.45">
      <c r="A1917" s="2">
        <v>43362</v>
      </c>
      <c r="B1917" s="3">
        <v>37121.22</v>
      </c>
      <c r="C1917" s="3">
        <v>198.15</v>
      </c>
      <c r="D1917" s="3">
        <f t="shared" si="60"/>
        <v>-4.5543875555510878E-3</v>
      </c>
      <c r="E1917" s="3">
        <f t="shared" si="61"/>
        <v>-2.5201626241639291E-3</v>
      </c>
    </row>
    <row r="1918" spans="1:5" x14ac:dyDescent="0.45">
      <c r="A1918" s="2">
        <v>43364</v>
      </c>
      <c r="B1918" s="3">
        <v>36841.599999999999</v>
      </c>
      <c r="C1918" s="3">
        <v>200.2</v>
      </c>
      <c r="D1918" s="3">
        <f t="shared" si="60"/>
        <v>-7.5611322600144335E-3</v>
      </c>
      <c r="E1918" s="3">
        <f t="shared" si="61"/>
        <v>1.029254724467612E-2</v>
      </c>
    </row>
    <row r="1919" spans="1:5" x14ac:dyDescent="0.45">
      <c r="A1919" s="2">
        <v>43367</v>
      </c>
      <c r="B1919" s="3">
        <v>36305.019999999997</v>
      </c>
      <c r="C1919" s="3">
        <v>198.45</v>
      </c>
      <c r="D1919" s="3">
        <f t="shared" si="60"/>
        <v>-1.4671617776842619E-2</v>
      </c>
      <c r="E1919" s="3">
        <f t="shared" si="61"/>
        <v>-8.779687652045837E-3</v>
      </c>
    </row>
    <row r="1920" spans="1:5" x14ac:dyDescent="0.45">
      <c r="A1920" s="2">
        <v>43368</v>
      </c>
      <c r="B1920" s="3">
        <v>36652.06</v>
      </c>
      <c r="C1920" s="3">
        <v>192.35</v>
      </c>
      <c r="D1920" s="3">
        <f t="shared" si="60"/>
        <v>9.5136103997048548E-3</v>
      </c>
      <c r="E1920" s="3">
        <f t="shared" si="61"/>
        <v>-3.1220550030770171E-2</v>
      </c>
    </row>
    <row r="1921" spans="1:5" x14ac:dyDescent="0.45">
      <c r="A1921" s="2">
        <v>43369</v>
      </c>
      <c r="B1921" s="3">
        <v>36542.269999999997</v>
      </c>
      <c r="C1921" s="3">
        <v>193</v>
      </c>
      <c r="D1921" s="3">
        <f t="shared" si="60"/>
        <v>-2.9999613997523464E-3</v>
      </c>
      <c r="E1921" s="3">
        <f t="shared" si="61"/>
        <v>3.3735597065813823E-3</v>
      </c>
    </row>
    <row r="1922" spans="1:5" x14ac:dyDescent="0.45">
      <c r="A1922" s="2">
        <v>43370</v>
      </c>
      <c r="B1922" s="3">
        <v>36324.17</v>
      </c>
      <c r="C1922" s="3">
        <v>194.8</v>
      </c>
      <c r="D1922" s="3">
        <f t="shared" si="60"/>
        <v>-5.9863128023774879E-3</v>
      </c>
      <c r="E1922" s="3">
        <f t="shared" si="61"/>
        <v>9.2832023035491623E-3</v>
      </c>
    </row>
    <row r="1923" spans="1:5" x14ac:dyDescent="0.45">
      <c r="A1923" s="2">
        <v>43371</v>
      </c>
      <c r="B1923" s="3">
        <v>36227.14</v>
      </c>
      <c r="C1923" s="3">
        <v>188.45</v>
      </c>
      <c r="D1923" s="3">
        <f t="shared" si="60"/>
        <v>-2.6747982317742868E-3</v>
      </c>
      <c r="E1923" s="3">
        <f t="shared" si="61"/>
        <v>-3.3140671495290423E-2</v>
      </c>
    </row>
    <row r="1924" spans="1:5" x14ac:dyDescent="0.45">
      <c r="A1924" s="2">
        <v>43374</v>
      </c>
      <c r="B1924" s="3">
        <v>36526.14</v>
      </c>
      <c r="C1924" s="3">
        <v>192.25</v>
      </c>
      <c r="D1924" s="3">
        <f t="shared" si="60"/>
        <v>8.2196069625015324E-3</v>
      </c>
      <c r="E1924" s="3">
        <f t="shared" si="61"/>
        <v>1.9963888672609027E-2</v>
      </c>
    </row>
    <row r="1925" spans="1:5" x14ac:dyDescent="0.45">
      <c r="A1925" s="2">
        <v>43376</v>
      </c>
      <c r="B1925" s="3">
        <v>35975.629999999997</v>
      </c>
      <c r="C1925" s="3">
        <v>189.05</v>
      </c>
      <c r="D1925" s="3">
        <f t="shared" si="60"/>
        <v>-1.5186403867349372E-2</v>
      </c>
      <c r="E1925" s="3">
        <f t="shared" si="61"/>
        <v>-1.6785078048811453E-2</v>
      </c>
    </row>
    <row r="1926" spans="1:5" x14ac:dyDescent="0.45">
      <c r="A1926" s="2">
        <v>43377</v>
      </c>
      <c r="B1926" s="3">
        <v>35169.160000000003</v>
      </c>
      <c r="C1926" s="3">
        <v>188.9</v>
      </c>
      <c r="D1926" s="3">
        <f t="shared" ref="D1926:D1989" si="62">LN(B1926/B1925)</f>
        <v>-2.2672202572692958E-2</v>
      </c>
      <c r="E1926" s="3">
        <f t="shared" ref="E1926:E1989" si="63">LN(C1926/C1925)</f>
        <v>-7.9375582947804988E-4</v>
      </c>
    </row>
    <row r="1927" spans="1:5" x14ac:dyDescent="0.45">
      <c r="A1927" s="2">
        <v>43378</v>
      </c>
      <c r="B1927" s="3">
        <v>34376.99</v>
      </c>
      <c r="C1927" s="3">
        <v>187</v>
      </c>
      <c r="D1927" s="3">
        <f t="shared" si="62"/>
        <v>-2.2782116988413217E-2</v>
      </c>
      <c r="E1927" s="3">
        <f t="shared" si="63"/>
        <v>-1.0109157652877324E-2</v>
      </c>
    </row>
    <row r="1928" spans="1:5" x14ac:dyDescent="0.45">
      <c r="A1928" s="2">
        <v>43381</v>
      </c>
      <c r="B1928" s="3">
        <v>34474.379999999997</v>
      </c>
      <c r="C1928" s="3">
        <v>186.55</v>
      </c>
      <c r="D1928" s="3">
        <f t="shared" si="62"/>
        <v>2.8289942510279524E-3</v>
      </c>
      <c r="E1928" s="3">
        <f t="shared" si="63"/>
        <v>-2.4093171874196933E-3</v>
      </c>
    </row>
    <row r="1929" spans="1:5" x14ac:dyDescent="0.45">
      <c r="A1929" s="2">
        <v>43382</v>
      </c>
      <c r="B1929" s="3">
        <v>34299.47</v>
      </c>
      <c r="C1929" s="3">
        <v>186.45</v>
      </c>
      <c r="D1929" s="3">
        <f t="shared" si="62"/>
        <v>-5.0865373137713261E-3</v>
      </c>
      <c r="E1929" s="3">
        <f t="shared" si="63"/>
        <v>-5.3619304233719898E-4</v>
      </c>
    </row>
    <row r="1930" spans="1:5" x14ac:dyDescent="0.45">
      <c r="A1930" s="2">
        <v>43383</v>
      </c>
      <c r="B1930" s="3">
        <v>34760.89</v>
      </c>
      <c r="C1930" s="3">
        <v>187.25</v>
      </c>
      <c r="D1930" s="3">
        <f t="shared" si="62"/>
        <v>1.3363002054634695E-2</v>
      </c>
      <c r="E1930" s="3">
        <f t="shared" si="63"/>
        <v>4.2815157724991294E-3</v>
      </c>
    </row>
    <row r="1931" spans="1:5" x14ac:dyDescent="0.45">
      <c r="A1931" s="2">
        <v>43384</v>
      </c>
      <c r="B1931" s="3">
        <v>34001.15</v>
      </c>
      <c r="C1931" s="3">
        <v>186.05</v>
      </c>
      <c r="D1931" s="3">
        <f t="shared" si="62"/>
        <v>-2.2098556638533062E-2</v>
      </c>
      <c r="E1931" s="3">
        <f t="shared" si="63"/>
        <v>-6.4291676046973213E-3</v>
      </c>
    </row>
    <row r="1932" spans="1:5" x14ac:dyDescent="0.45">
      <c r="A1932" s="2">
        <v>43385</v>
      </c>
      <c r="B1932" s="3">
        <v>34733.58</v>
      </c>
      <c r="C1932" s="3">
        <v>188.65</v>
      </c>
      <c r="D1932" s="3">
        <f t="shared" si="62"/>
        <v>2.1312594779816445E-2</v>
      </c>
      <c r="E1932" s="3">
        <f t="shared" si="63"/>
        <v>1.3877991617687966E-2</v>
      </c>
    </row>
    <row r="1933" spans="1:5" x14ac:dyDescent="0.45">
      <c r="A1933" s="2">
        <v>43388</v>
      </c>
      <c r="B1933" s="3">
        <v>34865.1</v>
      </c>
      <c r="C1933" s="3">
        <v>188.25</v>
      </c>
      <c r="D1933" s="3">
        <f t="shared" si="62"/>
        <v>3.7793865214108334E-3</v>
      </c>
      <c r="E1933" s="3">
        <f t="shared" si="63"/>
        <v>-2.1225797303165285E-3</v>
      </c>
    </row>
    <row r="1934" spans="1:5" x14ac:dyDescent="0.45">
      <c r="A1934" s="2">
        <v>43389</v>
      </c>
      <c r="B1934" s="3">
        <v>35162.480000000003</v>
      </c>
      <c r="C1934" s="3">
        <v>188.05</v>
      </c>
      <c r="D1934" s="3">
        <f t="shared" si="62"/>
        <v>8.493276153244524E-3</v>
      </c>
      <c r="E1934" s="3">
        <f t="shared" si="63"/>
        <v>-1.0629817636575159E-3</v>
      </c>
    </row>
    <row r="1935" spans="1:5" x14ac:dyDescent="0.45">
      <c r="A1935" s="2">
        <v>43390</v>
      </c>
      <c r="B1935" s="3">
        <v>34779.58</v>
      </c>
      <c r="C1935" s="3">
        <v>189.1</v>
      </c>
      <c r="D1935" s="3">
        <f t="shared" si="62"/>
        <v>-1.0949172080512789E-2</v>
      </c>
      <c r="E1935" s="3">
        <f t="shared" si="63"/>
        <v>5.5680907480664303E-3</v>
      </c>
    </row>
    <row r="1936" spans="1:5" x14ac:dyDescent="0.45">
      <c r="A1936" s="2">
        <v>43392</v>
      </c>
      <c r="B1936" s="3">
        <v>34315.629999999997</v>
      </c>
      <c r="C1936" s="3">
        <v>189.5</v>
      </c>
      <c r="D1936" s="3">
        <f t="shared" si="62"/>
        <v>-1.3429497437379579E-2</v>
      </c>
      <c r="E1936" s="3">
        <f t="shared" si="63"/>
        <v>2.113048858069266E-3</v>
      </c>
    </row>
    <row r="1937" spans="1:5" x14ac:dyDescent="0.45">
      <c r="A1937" s="2">
        <v>43395</v>
      </c>
      <c r="B1937" s="3">
        <v>34134.379999999997</v>
      </c>
      <c r="C1937" s="3">
        <v>189.05</v>
      </c>
      <c r="D1937" s="3">
        <f t="shared" si="62"/>
        <v>-5.2958479804852254E-3</v>
      </c>
      <c r="E1937" s="3">
        <f t="shared" si="63"/>
        <v>-2.3774941855391096E-3</v>
      </c>
    </row>
    <row r="1938" spans="1:5" x14ac:dyDescent="0.45">
      <c r="A1938" s="2">
        <v>43396</v>
      </c>
      <c r="B1938" s="3">
        <v>33847.230000000003</v>
      </c>
      <c r="C1938" s="3">
        <v>190.95</v>
      </c>
      <c r="D1938" s="3">
        <f t="shared" si="62"/>
        <v>-8.447923129814008E-3</v>
      </c>
      <c r="E1938" s="3">
        <f t="shared" si="63"/>
        <v>1.0000083334583179E-2</v>
      </c>
    </row>
    <row r="1939" spans="1:5" x14ac:dyDescent="0.45">
      <c r="A1939" s="2">
        <v>43397</v>
      </c>
      <c r="B1939" s="3">
        <v>34033.96</v>
      </c>
      <c r="C1939" s="3">
        <v>190.65</v>
      </c>
      <c r="D1939" s="3">
        <f t="shared" si="62"/>
        <v>5.5016852534103804E-3</v>
      </c>
      <c r="E1939" s="3">
        <f t="shared" si="63"/>
        <v>-1.57232736795241E-3</v>
      </c>
    </row>
    <row r="1940" spans="1:5" x14ac:dyDescent="0.45">
      <c r="A1940" s="2">
        <v>43398</v>
      </c>
      <c r="B1940" s="3">
        <v>33690.089999999997</v>
      </c>
      <c r="C1940" s="3">
        <v>190.95</v>
      </c>
      <c r="D1940" s="3">
        <f t="shared" si="62"/>
        <v>-1.0155120822517729E-2</v>
      </c>
      <c r="E1940" s="3">
        <f t="shared" si="63"/>
        <v>1.5723273679523711E-3</v>
      </c>
    </row>
    <row r="1941" spans="1:5" x14ac:dyDescent="0.45">
      <c r="A1941" s="2">
        <v>43399</v>
      </c>
      <c r="B1941" s="3">
        <v>33349.31</v>
      </c>
      <c r="C1941" s="3">
        <v>188.1</v>
      </c>
      <c r="D1941" s="3">
        <f t="shared" si="62"/>
        <v>-1.0166646338317148E-2</v>
      </c>
      <c r="E1941" s="3">
        <f t="shared" si="63"/>
        <v>-1.5037877364540446E-2</v>
      </c>
    </row>
    <row r="1942" spans="1:5" x14ac:dyDescent="0.45">
      <c r="A1942" s="2">
        <v>43402</v>
      </c>
      <c r="B1942" s="3">
        <v>34067.4</v>
      </c>
      <c r="C1942" s="3">
        <v>189.5</v>
      </c>
      <c r="D1942" s="3">
        <f t="shared" si="62"/>
        <v>2.1303832796164695E-2</v>
      </c>
      <c r="E1942" s="3">
        <f t="shared" si="63"/>
        <v>7.4152882154963256E-3</v>
      </c>
    </row>
    <row r="1943" spans="1:5" x14ac:dyDescent="0.45">
      <c r="A1943" s="2">
        <v>43403</v>
      </c>
      <c r="B1943" s="3">
        <v>33891.129999999997</v>
      </c>
      <c r="C1943" s="3">
        <v>186.8</v>
      </c>
      <c r="D1943" s="3">
        <f t="shared" si="62"/>
        <v>-5.1875870564258748E-3</v>
      </c>
      <c r="E1943" s="3">
        <f t="shared" si="63"/>
        <v>-1.4350498727738725E-2</v>
      </c>
    </row>
    <row r="1944" spans="1:5" x14ac:dyDescent="0.45">
      <c r="A1944" s="2">
        <v>43404</v>
      </c>
      <c r="B1944" s="3">
        <v>34442.050000000003</v>
      </c>
      <c r="C1944" s="3">
        <v>185.7</v>
      </c>
      <c r="D1944" s="3">
        <f t="shared" si="62"/>
        <v>1.6124873365417007E-2</v>
      </c>
      <c r="E1944" s="3">
        <f t="shared" si="63"/>
        <v>-5.9060574360822928E-3</v>
      </c>
    </row>
    <row r="1945" spans="1:5" x14ac:dyDescent="0.45">
      <c r="A1945" s="2">
        <v>43405</v>
      </c>
      <c r="B1945" s="3">
        <v>34431.97</v>
      </c>
      <c r="C1945" s="3">
        <v>188.8</v>
      </c>
      <c r="D1945" s="3">
        <f t="shared" si="62"/>
        <v>-2.9270834117051613E-4</v>
      </c>
      <c r="E1945" s="3">
        <f t="shared" si="63"/>
        <v>1.6555785352740271E-2</v>
      </c>
    </row>
    <row r="1946" spans="1:5" x14ac:dyDescent="0.45">
      <c r="A1946" s="2">
        <v>43406</v>
      </c>
      <c r="B1946" s="3">
        <v>35011.65</v>
      </c>
      <c r="C1946" s="3">
        <v>190</v>
      </c>
      <c r="D1946" s="3">
        <f t="shared" si="62"/>
        <v>1.6695369991209963E-2</v>
      </c>
      <c r="E1946" s="3">
        <f t="shared" si="63"/>
        <v>6.3358184490857035E-3</v>
      </c>
    </row>
    <row r="1947" spans="1:5" x14ac:dyDescent="0.45">
      <c r="A1947" s="2">
        <v>43409</v>
      </c>
      <c r="B1947" s="3">
        <v>34950.92</v>
      </c>
      <c r="C1947" s="3">
        <v>185.85</v>
      </c>
      <c r="D1947" s="3">
        <f t="shared" si="62"/>
        <v>-1.7360715952280043E-3</v>
      </c>
      <c r="E1947" s="3">
        <f t="shared" si="63"/>
        <v>-2.2084175417224988E-2</v>
      </c>
    </row>
    <row r="1948" spans="1:5" x14ac:dyDescent="0.45">
      <c r="A1948" s="2">
        <v>43410</v>
      </c>
      <c r="B1948" s="3">
        <v>34991.910000000003</v>
      </c>
      <c r="C1948" s="3">
        <v>187.85</v>
      </c>
      <c r="D1948" s="3">
        <f t="shared" si="62"/>
        <v>1.1721002622496676E-3</v>
      </c>
      <c r="E1948" s="3">
        <f t="shared" si="63"/>
        <v>1.0703875276716649E-2</v>
      </c>
    </row>
    <row r="1949" spans="1:5" x14ac:dyDescent="0.45">
      <c r="A1949" s="2">
        <v>43411</v>
      </c>
      <c r="B1949" s="3">
        <v>35237.68</v>
      </c>
      <c r="C1949" s="3">
        <v>188.95</v>
      </c>
      <c r="D1949" s="3">
        <f t="shared" si="62"/>
        <v>6.9990727069357012E-3</v>
      </c>
      <c r="E1949" s="3">
        <f t="shared" si="63"/>
        <v>5.8386577755200238E-3</v>
      </c>
    </row>
    <row r="1950" spans="1:5" x14ac:dyDescent="0.45">
      <c r="A1950" s="2">
        <v>43413</v>
      </c>
      <c r="B1950" s="3">
        <v>35158.550000000003</v>
      </c>
      <c r="C1950" s="3">
        <v>191.5</v>
      </c>
      <c r="D1950" s="3">
        <f t="shared" si="62"/>
        <v>-2.2481327005033284E-3</v>
      </c>
      <c r="E1950" s="3">
        <f t="shared" si="63"/>
        <v>1.3405378825202787E-2</v>
      </c>
    </row>
    <row r="1951" spans="1:5" x14ac:dyDescent="0.45">
      <c r="A1951" s="2">
        <v>43416</v>
      </c>
      <c r="B1951" s="3">
        <v>34812.99</v>
      </c>
      <c r="C1951" s="3">
        <v>186</v>
      </c>
      <c r="D1951" s="3">
        <f t="shared" si="62"/>
        <v>-9.8772389286810869E-3</v>
      </c>
      <c r="E1951" s="3">
        <f t="shared" si="63"/>
        <v>-2.9141134907499467E-2</v>
      </c>
    </row>
    <row r="1952" spans="1:5" x14ac:dyDescent="0.45">
      <c r="A1952" s="2">
        <v>43417</v>
      </c>
      <c r="B1952" s="3">
        <v>35144.49</v>
      </c>
      <c r="C1952" s="3">
        <v>184.25</v>
      </c>
      <c r="D1952" s="3">
        <f t="shared" si="62"/>
        <v>9.4772562198977128E-3</v>
      </c>
      <c r="E1952" s="3">
        <f t="shared" si="63"/>
        <v>-9.4531426437552534E-3</v>
      </c>
    </row>
    <row r="1953" spans="1:5" x14ac:dyDescent="0.45">
      <c r="A1953" s="2">
        <v>43418</v>
      </c>
      <c r="B1953" s="3">
        <v>35141.99</v>
      </c>
      <c r="C1953" s="3">
        <v>186</v>
      </c>
      <c r="D1953" s="3">
        <f t="shared" si="62"/>
        <v>-7.1137436418899737E-5</v>
      </c>
      <c r="E1953" s="3">
        <f t="shared" si="63"/>
        <v>9.4531426437553297E-3</v>
      </c>
    </row>
    <row r="1954" spans="1:5" x14ac:dyDescent="0.45">
      <c r="A1954" s="2">
        <v>43419</v>
      </c>
      <c r="B1954" s="3">
        <v>35260.54</v>
      </c>
      <c r="C1954" s="3">
        <v>187.2</v>
      </c>
      <c r="D1954" s="3">
        <f t="shared" si="62"/>
        <v>3.3677798808909218E-3</v>
      </c>
      <c r="E1954" s="3">
        <f t="shared" si="63"/>
        <v>6.4308903302903314E-3</v>
      </c>
    </row>
    <row r="1955" spans="1:5" x14ac:dyDescent="0.45">
      <c r="A1955" s="2">
        <v>43420</v>
      </c>
      <c r="B1955" s="3">
        <v>35457.160000000003</v>
      </c>
      <c r="C1955" s="3">
        <v>187.95</v>
      </c>
      <c r="D1955" s="3">
        <f t="shared" si="62"/>
        <v>5.5607155393757228E-3</v>
      </c>
      <c r="E1955" s="3">
        <f t="shared" si="63"/>
        <v>3.9984059666954234E-3</v>
      </c>
    </row>
    <row r="1956" spans="1:5" x14ac:dyDescent="0.45">
      <c r="A1956" s="2">
        <v>43423</v>
      </c>
      <c r="B1956" s="3">
        <v>35774.879999999997</v>
      </c>
      <c r="C1956" s="3">
        <v>189.7</v>
      </c>
      <c r="D1956" s="3">
        <f t="shared" si="62"/>
        <v>8.9207639430545736E-3</v>
      </c>
      <c r="E1956" s="3">
        <f t="shared" si="63"/>
        <v>9.2679069307814565E-3</v>
      </c>
    </row>
    <row r="1957" spans="1:5" x14ac:dyDescent="0.45">
      <c r="A1957" s="2">
        <v>43424</v>
      </c>
      <c r="B1957" s="3">
        <v>35474.51</v>
      </c>
      <c r="C1957" s="3">
        <v>188</v>
      </c>
      <c r="D1957" s="3">
        <f t="shared" si="62"/>
        <v>-8.4315607325276942E-3</v>
      </c>
      <c r="E1957" s="3">
        <f t="shared" si="63"/>
        <v>-9.0019141110192734E-3</v>
      </c>
    </row>
    <row r="1958" spans="1:5" x14ac:dyDescent="0.45">
      <c r="A1958" s="2">
        <v>43425</v>
      </c>
      <c r="B1958" s="3">
        <v>35199.800000000003</v>
      </c>
      <c r="C1958" s="3">
        <v>182.85</v>
      </c>
      <c r="D1958" s="3">
        <f t="shared" si="62"/>
        <v>-7.7740096369391188E-3</v>
      </c>
      <c r="E1958" s="3">
        <f t="shared" si="63"/>
        <v>-2.7775818234559015E-2</v>
      </c>
    </row>
    <row r="1959" spans="1:5" x14ac:dyDescent="0.45">
      <c r="A1959" s="2">
        <v>43426</v>
      </c>
      <c r="B1959" s="3">
        <v>34981.019999999997</v>
      </c>
      <c r="C1959" s="3">
        <v>179.95</v>
      </c>
      <c r="D1959" s="3">
        <f t="shared" si="62"/>
        <v>-6.2347720846771156E-3</v>
      </c>
      <c r="E1959" s="3">
        <f t="shared" si="63"/>
        <v>-1.5987110070350519E-2</v>
      </c>
    </row>
    <row r="1960" spans="1:5" x14ac:dyDescent="0.45">
      <c r="A1960" s="2">
        <v>43430</v>
      </c>
      <c r="B1960" s="3">
        <v>35354.080000000002</v>
      </c>
      <c r="C1960" s="3">
        <v>181.8</v>
      </c>
      <c r="D1960" s="3">
        <f t="shared" si="62"/>
        <v>1.060817425348308E-2</v>
      </c>
      <c r="E1960" s="3">
        <f t="shared" si="63"/>
        <v>1.0228147218338802E-2</v>
      </c>
    </row>
    <row r="1961" spans="1:5" x14ac:dyDescent="0.45">
      <c r="A1961" s="2">
        <v>43431</v>
      </c>
      <c r="B1961" s="3">
        <v>35513.14</v>
      </c>
      <c r="C1961" s="3">
        <v>181.7</v>
      </c>
      <c r="D1961" s="3">
        <f t="shared" si="62"/>
        <v>4.4889659026828357E-3</v>
      </c>
      <c r="E1961" s="3">
        <f t="shared" si="63"/>
        <v>-5.502063412530573E-4</v>
      </c>
    </row>
    <row r="1962" spans="1:5" x14ac:dyDescent="0.45">
      <c r="A1962" s="2">
        <v>43432</v>
      </c>
      <c r="B1962" s="3">
        <v>35716.949999999997</v>
      </c>
      <c r="C1962" s="3">
        <v>184.05</v>
      </c>
      <c r="D1962" s="3">
        <f t="shared" si="62"/>
        <v>5.7225971832745616E-3</v>
      </c>
      <c r="E1962" s="3">
        <f t="shared" si="63"/>
        <v>1.2850484422904788E-2</v>
      </c>
    </row>
    <row r="1963" spans="1:5" x14ac:dyDescent="0.45">
      <c r="A1963" s="2">
        <v>43433</v>
      </c>
      <c r="B1963" s="3">
        <v>36170.410000000003</v>
      </c>
      <c r="C1963" s="3">
        <v>181.2</v>
      </c>
      <c r="D1963" s="3">
        <f t="shared" si="62"/>
        <v>1.2616015236066785E-2</v>
      </c>
      <c r="E1963" s="3">
        <f t="shared" si="63"/>
        <v>-1.5606066216151309E-2</v>
      </c>
    </row>
    <row r="1964" spans="1:5" x14ac:dyDescent="0.45">
      <c r="A1964" s="2">
        <v>43434</v>
      </c>
      <c r="B1964" s="3">
        <v>36194.300000000003</v>
      </c>
      <c r="C1964" s="3">
        <v>180.1</v>
      </c>
      <c r="D1964" s="3">
        <f t="shared" si="62"/>
        <v>6.6026660973018329E-4</v>
      </c>
      <c r="E1964" s="3">
        <f t="shared" si="63"/>
        <v>-6.0891414269685362E-3</v>
      </c>
    </row>
    <row r="1965" spans="1:5" x14ac:dyDescent="0.45">
      <c r="A1965" s="2">
        <v>43437</v>
      </c>
      <c r="B1965" s="3">
        <v>36241</v>
      </c>
      <c r="C1965" s="3">
        <v>184.45</v>
      </c>
      <c r="D1965" s="3">
        <f t="shared" si="62"/>
        <v>1.289426742772297E-3</v>
      </c>
      <c r="E1965" s="3">
        <f t="shared" si="63"/>
        <v>2.3866171860774221E-2</v>
      </c>
    </row>
    <row r="1966" spans="1:5" x14ac:dyDescent="0.45">
      <c r="A1966" s="2">
        <v>43438</v>
      </c>
      <c r="B1966" s="3">
        <v>36134.31</v>
      </c>
      <c r="C1966" s="3">
        <v>187</v>
      </c>
      <c r="D1966" s="3">
        <f t="shared" si="62"/>
        <v>-2.9482451206202906E-3</v>
      </c>
      <c r="E1966" s="3">
        <f t="shared" si="63"/>
        <v>1.3730192811902037E-2</v>
      </c>
    </row>
    <row r="1967" spans="1:5" x14ac:dyDescent="0.45">
      <c r="A1967" s="2">
        <v>43439</v>
      </c>
      <c r="B1967" s="3">
        <v>35884.410000000003</v>
      </c>
      <c r="C1967" s="3">
        <v>183.4</v>
      </c>
      <c r="D1967" s="3">
        <f t="shared" si="62"/>
        <v>-6.9398901556264499E-3</v>
      </c>
      <c r="E1967" s="3">
        <f t="shared" si="63"/>
        <v>-1.9439057032222068E-2</v>
      </c>
    </row>
    <row r="1968" spans="1:5" x14ac:dyDescent="0.45">
      <c r="A1968" s="2">
        <v>43440</v>
      </c>
      <c r="B1968" s="3">
        <v>35312.129999999997</v>
      </c>
      <c r="C1968" s="3">
        <v>183.3</v>
      </c>
      <c r="D1968" s="3">
        <f t="shared" si="62"/>
        <v>-1.6076408361153822E-2</v>
      </c>
      <c r="E1968" s="3">
        <f t="shared" si="63"/>
        <v>-5.4540497670513732E-4</v>
      </c>
    </row>
    <row r="1969" spans="1:5" x14ac:dyDescent="0.45">
      <c r="A1969" s="2">
        <v>43441</v>
      </c>
      <c r="B1969" s="3">
        <v>35673.25</v>
      </c>
      <c r="C1969" s="3">
        <v>182.55</v>
      </c>
      <c r="D1969" s="3">
        <f t="shared" si="62"/>
        <v>1.0174577224699905E-2</v>
      </c>
      <c r="E1969" s="3">
        <f t="shared" si="63"/>
        <v>-4.1000467440134355E-3</v>
      </c>
    </row>
    <row r="1970" spans="1:5" x14ac:dyDescent="0.45">
      <c r="A1970" s="2">
        <v>43444</v>
      </c>
      <c r="B1970" s="3">
        <v>34959.72</v>
      </c>
      <c r="C1970" s="3">
        <v>179.65</v>
      </c>
      <c r="D1970" s="3">
        <f t="shared" si="62"/>
        <v>-2.0204566598416761E-2</v>
      </c>
      <c r="E1970" s="3">
        <f t="shared" si="63"/>
        <v>-1.6013594542118124E-2</v>
      </c>
    </row>
    <row r="1971" spans="1:5" x14ac:dyDescent="0.45">
      <c r="A1971" s="2">
        <v>43445</v>
      </c>
      <c r="B1971" s="3">
        <v>35150.01</v>
      </c>
      <c r="C1971" s="3">
        <v>180.15</v>
      </c>
      <c r="D1971" s="3">
        <f t="shared" si="62"/>
        <v>5.4283611497116377E-3</v>
      </c>
      <c r="E1971" s="3">
        <f t="shared" si="63"/>
        <v>2.7793236345744414E-3</v>
      </c>
    </row>
    <row r="1972" spans="1:5" x14ac:dyDescent="0.45">
      <c r="A1972" s="2">
        <v>43446</v>
      </c>
      <c r="B1972" s="3">
        <v>35779.07</v>
      </c>
      <c r="C1972" s="3">
        <v>182.45</v>
      </c>
      <c r="D1972" s="3">
        <f t="shared" si="62"/>
        <v>1.7738182816716838E-2</v>
      </c>
      <c r="E1972" s="3">
        <f t="shared" si="63"/>
        <v>1.2686325688354375E-2</v>
      </c>
    </row>
    <row r="1973" spans="1:5" x14ac:dyDescent="0.45">
      <c r="A1973" s="2">
        <v>43447</v>
      </c>
      <c r="B1973" s="3">
        <v>35929.64</v>
      </c>
      <c r="C1973" s="3">
        <v>182.95</v>
      </c>
      <c r="D1973" s="3">
        <f t="shared" si="62"/>
        <v>4.1994960245336161E-3</v>
      </c>
      <c r="E1973" s="3">
        <f t="shared" si="63"/>
        <v>2.7367285827591208E-3</v>
      </c>
    </row>
    <row r="1974" spans="1:5" x14ac:dyDescent="0.45">
      <c r="A1974" s="2">
        <v>43448</v>
      </c>
      <c r="B1974" s="3">
        <v>35962.93</v>
      </c>
      <c r="C1974" s="3">
        <v>185.5</v>
      </c>
      <c r="D1974" s="3">
        <f t="shared" si="62"/>
        <v>9.2610411282607928E-4</v>
      </c>
      <c r="E1974" s="3">
        <f t="shared" si="63"/>
        <v>1.3841990582273969E-2</v>
      </c>
    </row>
    <row r="1975" spans="1:5" x14ac:dyDescent="0.45">
      <c r="A1975" s="2">
        <v>43451</v>
      </c>
      <c r="B1975" s="3">
        <v>36270.07</v>
      </c>
      <c r="C1975" s="3">
        <v>192.5</v>
      </c>
      <c r="D1975" s="3">
        <f t="shared" si="62"/>
        <v>8.5041975568892897E-3</v>
      </c>
      <c r="E1975" s="3">
        <f t="shared" si="63"/>
        <v>3.7041271680349076E-2</v>
      </c>
    </row>
    <row r="1976" spans="1:5" x14ac:dyDescent="0.45">
      <c r="A1976" s="2">
        <v>43452</v>
      </c>
      <c r="B1976" s="3">
        <v>36347.08</v>
      </c>
      <c r="C1976" s="3">
        <v>196.65</v>
      </c>
      <c r="D1976" s="3">
        <f t="shared" si="62"/>
        <v>2.1209873664743547E-3</v>
      </c>
      <c r="E1976" s="3">
        <f t="shared" si="63"/>
        <v>2.1329345149979622E-2</v>
      </c>
    </row>
    <row r="1977" spans="1:5" x14ac:dyDescent="0.45">
      <c r="A1977" s="2">
        <v>43453</v>
      </c>
      <c r="B1977" s="3">
        <v>36484.33</v>
      </c>
      <c r="C1977" s="3">
        <v>198.95</v>
      </c>
      <c r="D1977" s="3">
        <f t="shared" si="62"/>
        <v>3.7689827087594506E-3</v>
      </c>
      <c r="E1977" s="3">
        <f t="shared" si="63"/>
        <v>1.1628037995118993E-2</v>
      </c>
    </row>
    <row r="1978" spans="1:5" x14ac:dyDescent="0.45">
      <c r="A1978" s="2">
        <v>43454</v>
      </c>
      <c r="B1978" s="3">
        <v>36431.67</v>
      </c>
      <c r="C1978" s="3">
        <v>198.15</v>
      </c>
      <c r="D1978" s="3">
        <f t="shared" si="62"/>
        <v>-1.4444020285086839E-3</v>
      </c>
      <c r="E1978" s="3">
        <f t="shared" si="63"/>
        <v>-4.0292172364935043E-3</v>
      </c>
    </row>
    <row r="1979" spans="1:5" x14ac:dyDescent="0.45">
      <c r="A1979" s="2">
        <v>43455</v>
      </c>
      <c r="B1979" s="3">
        <v>35742.07</v>
      </c>
      <c r="C1979" s="3">
        <v>196.9</v>
      </c>
      <c r="D1979" s="3">
        <f t="shared" si="62"/>
        <v>-1.9110024956438692E-2</v>
      </c>
      <c r="E1979" s="3">
        <f t="shared" si="63"/>
        <v>-6.3283339913641559E-3</v>
      </c>
    </row>
    <row r="1980" spans="1:5" x14ac:dyDescent="0.45">
      <c r="A1980" s="2">
        <v>43458</v>
      </c>
      <c r="B1980" s="3">
        <v>35470.15</v>
      </c>
      <c r="C1980" s="3">
        <v>194.7</v>
      </c>
      <c r="D1980" s="3">
        <f t="shared" si="62"/>
        <v>-7.6369286504654483E-3</v>
      </c>
      <c r="E1980" s="3">
        <f t="shared" si="63"/>
        <v>-1.1236073266925954E-2</v>
      </c>
    </row>
    <row r="1981" spans="1:5" x14ac:dyDescent="0.45">
      <c r="A1981" s="2">
        <v>43460</v>
      </c>
      <c r="B1981" s="3">
        <v>35649.94</v>
      </c>
      <c r="C1981" s="3">
        <v>195.9</v>
      </c>
      <c r="D1981" s="3">
        <f t="shared" si="62"/>
        <v>5.0559661269942453E-3</v>
      </c>
      <c r="E1981" s="3">
        <f t="shared" si="63"/>
        <v>6.144412572341211E-3</v>
      </c>
    </row>
    <row r="1982" spans="1:5" x14ac:dyDescent="0.45">
      <c r="A1982" s="2">
        <v>43461</v>
      </c>
      <c r="B1982" s="3">
        <v>35807.279999999999</v>
      </c>
      <c r="C1982" s="3">
        <v>196.4</v>
      </c>
      <c r="D1982" s="3">
        <f t="shared" si="62"/>
        <v>4.4037608593198649E-3</v>
      </c>
      <c r="E1982" s="3">
        <f t="shared" si="63"/>
        <v>2.5490709698704943E-3</v>
      </c>
    </row>
    <row r="1983" spans="1:5" x14ac:dyDescent="0.45">
      <c r="A1983" s="2">
        <v>43462</v>
      </c>
      <c r="B1983" s="3">
        <v>36076.720000000001</v>
      </c>
      <c r="C1983" s="3">
        <v>197.75</v>
      </c>
      <c r="D1983" s="3">
        <f t="shared" si="62"/>
        <v>7.496557282276526E-3</v>
      </c>
      <c r="E1983" s="3">
        <f t="shared" si="63"/>
        <v>6.8502107273976428E-3</v>
      </c>
    </row>
    <row r="1984" spans="1:5" x14ac:dyDescent="0.45">
      <c r="A1984" s="2">
        <v>43465</v>
      </c>
      <c r="B1984" s="3">
        <v>36068.33</v>
      </c>
      <c r="C1984" s="3">
        <v>199</v>
      </c>
      <c r="D1984" s="3">
        <f t="shared" si="62"/>
        <v>-2.325869907311279E-4</v>
      </c>
      <c r="E1984" s="3">
        <f t="shared" si="63"/>
        <v>6.3012180767290553E-3</v>
      </c>
    </row>
    <row r="1985" spans="1:5" x14ac:dyDescent="0.45">
      <c r="A1985" s="2">
        <v>43466</v>
      </c>
      <c r="B1985" s="3">
        <v>36254.57</v>
      </c>
      <c r="C1985" s="3">
        <v>199.9</v>
      </c>
      <c r="D1985" s="3">
        <f t="shared" si="62"/>
        <v>5.1502473398759973E-3</v>
      </c>
      <c r="E1985" s="3">
        <f t="shared" si="63"/>
        <v>4.5124167818619927E-3</v>
      </c>
    </row>
    <row r="1986" spans="1:5" x14ac:dyDescent="0.45">
      <c r="A1986" s="2">
        <v>43467</v>
      </c>
      <c r="B1986" s="3">
        <v>35891.519999999997</v>
      </c>
      <c r="C1986" s="3">
        <v>195.4</v>
      </c>
      <c r="D1986" s="3">
        <f t="shared" si="62"/>
        <v>-1.0064386427485472E-2</v>
      </c>
      <c r="E1986" s="3">
        <f t="shared" si="63"/>
        <v>-2.2768501897671971E-2</v>
      </c>
    </row>
    <row r="1987" spans="1:5" x14ac:dyDescent="0.45">
      <c r="A1987" s="2">
        <v>43468</v>
      </c>
      <c r="B1987" s="3">
        <v>35513.71</v>
      </c>
      <c r="C1987" s="3">
        <v>193.3</v>
      </c>
      <c r="D1987" s="3">
        <f t="shared" si="62"/>
        <v>-1.0582236783160092E-2</v>
      </c>
      <c r="E1987" s="3">
        <f t="shared" si="63"/>
        <v>-1.0805353394397126E-2</v>
      </c>
    </row>
    <row r="1988" spans="1:5" x14ac:dyDescent="0.45">
      <c r="A1988" s="2">
        <v>43469</v>
      </c>
      <c r="B1988" s="3">
        <v>35695.1</v>
      </c>
      <c r="C1988" s="3">
        <v>195.55</v>
      </c>
      <c r="D1988" s="3">
        <f t="shared" si="62"/>
        <v>5.0946053537853477E-3</v>
      </c>
      <c r="E1988" s="3">
        <f t="shared" si="63"/>
        <v>1.1572714987237954E-2</v>
      </c>
    </row>
    <row r="1989" spans="1:5" x14ac:dyDescent="0.45">
      <c r="A1989" s="2">
        <v>43472</v>
      </c>
      <c r="B1989" s="3">
        <v>35850.160000000003</v>
      </c>
      <c r="C1989" s="3">
        <v>198.4</v>
      </c>
      <c r="D1989" s="3">
        <f t="shared" si="62"/>
        <v>4.3346056127998413E-3</v>
      </c>
      <c r="E1989" s="3">
        <f t="shared" si="63"/>
        <v>1.4469093649249231E-2</v>
      </c>
    </row>
    <row r="1990" spans="1:5" x14ac:dyDescent="0.45">
      <c r="A1990" s="2">
        <v>43473</v>
      </c>
      <c r="B1990" s="3">
        <v>35980.93</v>
      </c>
      <c r="C1990" s="3">
        <v>197.35</v>
      </c>
      <c r="D1990" s="3">
        <f t="shared" ref="D1990:D2053" si="64">LN(B1990/B1989)</f>
        <v>3.6410458053875625E-3</v>
      </c>
      <c r="E1990" s="3">
        <f t="shared" ref="E1990:E2053" si="65">LN(C1990/C1989)</f>
        <v>-5.3063927419163713E-3</v>
      </c>
    </row>
    <row r="1991" spans="1:5" x14ac:dyDescent="0.45">
      <c r="A1991" s="2">
        <v>43474</v>
      </c>
      <c r="B1991" s="3">
        <v>36212.910000000003</v>
      </c>
      <c r="C1991" s="3">
        <v>197.2</v>
      </c>
      <c r="D1991" s="3">
        <f t="shared" si="64"/>
        <v>6.4266092071714794E-3</v>
      </c>
      <c r="E1991" s="3">
        <f t="shared" si="65"/>
        <v>-7.6035994032113026E-4</v>
      </c>
    </row>
    <row r="1992" spans="1:5" x14ac:dyDescent="0.45">
      <c r="A1992" s="2">
        <v>43475</v>
      </c>
      <c r="B1992" s="3">
        <v>36106.5</v>
      </c>
      <c r="C1992" s="3">
        <v>196.1</v>
      </c>
      <c r="D1992" s="3">
        <f t="shared" si="64"/>
        <v>-2.9427805562065811E-3</v>
      </c>
      <c r="E1992" s="3">
        <f t="shared" si="65"/>
        <v>-5.5937089662344164E-3</v>
      </c>
    </row>
    <row r="1993" spans="1:5" x14ac:dyDescent="0.45">
      <c r="A1993" s="2">
        <v>43476</v>
      </c>
      <c r="B1993" s="3">
        <v>36009.839999999997</v>
      </c>
      <c r="C1993" s="3">
        <v>194.25</v>
      </c>
      <c r="D1993" s="3">
        <f t="shared" si="64"/>
        <v>-2.6806700917757398E-3</v>
      </c>
      <c r="E1993" s="3">
        <f t="shared" si="65"/>
        <v>-9.47874395454377E-3</v>
      </c>
    </row>
    <row r="1994" spans="1:5" x14ac:dyDescent="0.45">
      <c r="A1994" s="2">
        <v>43479</v>
      </c>
      <c r="B1994" s="3">
        <v>35853.56</v>
      </c>
      <c r="C1994" s="3">
        <v>192.45</v>
      </c>
      <c r="D1994" s="3">
        <f t="shared" si="64"/>
        <v>-4.349369675315534E-3</v>
      </c>
      <c r="E1994" s="3">
        <f t="shared" si="65"/>
        <v>-9.3096095180017456E-3</v>
      </c>
    </row>
    <row r="1995" spans="1:5" x14ac:dyDescent="0.45">
      <c r="A1995" s="2">
        <v>43480</v>
      </c>
      <c r="B1995" s="3">
        <v>36318.33</v>
      </c>
      <c r="C1995" s="3">
        <v>192.4</v>
      </c>
      <c r="D1995" s="3">
        <f t="shared" si="64"/>
        <v>1.287970773438258E-2</v>
      </c>
      <c r="E1995" s="3">
        <f t="shared" si="65"/>
        <v>-2.5984149814892545E-4</v>
      </c>
    </row>
    <row r="1996" spans="1:5" x14ac:dyDescent="0.45">
      <c r="A1996" s="2">
        <v>43481</v>
      </c>
      <c r="B1996" s="3">
        <v>36321.29</v>
      </c>
      <c r="C1996" s="3">
        <v>192.15</v>
      </c>
      <c r="D1996" s="3">
        <f t="shared" si="64"/>
        <v>8.1498223741667322E-5</v>
      </c>
      <c r="E1996" s="3">
        <f t="shared" si="65"/>
        <v>-1.3002212207531374E-3</v>
      </c>
    </row>
    <row r="1997" spans="1:5" x14ac:dyDescent="0.45">
      <c r="A1997" s="2">
        <v>43482</v>
      </c>
      <c r="B1997" s="3">
        <v>36374.080000000002</v>
      </c>
      <c r="C1997" s="3">
        <v>194.25</v>
      </c>
      <c r="D1997" s="3">
        <f t="shared" si="64"/>
        <v>1.4523623520841383E-3</v>
      </c>
      <c r="E1997" s="3">
        <f t="shared" si="65"/>
        <v>1.0869672236903891E-2</v>
      </c>
    </row>
    <row r="1998" spans="1:5" x14ac:dyDescent="0.45">
      <c r="A1998" s="2">
        <v>43483</v>
      </c>
      <c r="B1998" s="3">
        <v>36386.61</v>
      </c>
      <c r="C1998" s="3">
        <v>193.25</v>
      </c>
      <c r="D1998" s="3">
        <f t="shared" si="64"/>
        <v>3.4441674821560043E-4</v>
      </c>
      <c r="E1998" s="3">
        <f t="shared" si="65"/>
        <v>-5.1613017802255058E-3</v>
      </c>
    </row>
    <row r="1999" spans="1:5" x14ac:dyDescent="0.45">
      <c r="A1999" s="2">
        <v>43486</v>
      </c>
      <c r="B1999" s="3">
        <v>36578.959999999999</v>
      </c>
      <c r="C1999" s="3">
        <v>191.35</v>
      </c>
      <c r="D1999" s="3">
        <f t="shared" si="64"/>
        <v>5.2723618982311688E-3</v>
      </c>
      <c r="E1999" s="3">
        <f t="shared" si="65"/>
        <v>-9.8804755958200492E-3</v>
      </c>
    </row>
    <row r="2000" spans="1:5" x14ac:dyDescent="0.45">
      <c r="A2000" s="2">
        <v>43487</v>
      </c>
      <c r="B2000" s="3">
        <v>36444.639999999999</v>
      </c>
      <c r="C2000" s="3">
        <v>189.6</v>
      </c>
      <c r="D2000" s="3">
        <f t="shared" si="64"/>
        <v>-3.6788148348462987E-3</v>
      </c>
      <c r="E2000" s="3">
        <f t="shared" si="65"/>
        <v>-9.1876220507897902E-3</v>
      </c>
    </row>
    <row r="2001" spans="1:5" x14ac:dyDescent="0.45">
      <c r="A2001" s="2">
        <v>43488</v>
      </c>
      <c r="B2001" s="3">
        <v>36108.47</v>
      </c>
      <c r="C2001" s="3">
        <v>186.1</v>
      </c>
      <c r="D2001" s="3">
        <f t="shared" si="64"/>
        <v>-9.2669330299547468E-3</v>
      </c>
      <c r="E2001" s="3">
        <f t="shared" si="65"/>
        <v>-1.863242617271638E-2</v>
      </c>
    </row>
    <row r="2002" spans="1:5" x14ac:dyDescent="0.45">
      <c r="A2002" s="2">
        <v>43489</v>
      </c>
      <c r="B2002" s="3">
        <v>36195.1</v>
      </c>
      <c r="C2002" s="3">
        <v>186.35</v>
      </c>
      <c r="D2002" s="3">
        <f t="shared" si="64"/>
        <v>2.3962866965993898E-3</v>
      </c>
      <c r="E2002" s="3">
        <f t="shared" si="65"/>
        <v>1.3424622770622672E-3</v>
      </c>
    </row>
    <row r="2003" spans="1:5" x14ac:dyDescent="0.45">
      <c r="A2003" s="2">
        <v>43490</v>
      </c>
      <c r="B2003" s="3">
        <v>36025.54</v>
      </c>
      <c r="C2003" s="3">
        <v>186.2</v>
      </c>
      <c r="D2003" s="3">
        <f t="shared" si="64"/>
        <v>-4.6956191900262116E-3</v>
      </c>
      <c r="E2003" s="3">
        <f t="shared" si="65"/>
        <v>-8.0526108230075891E-4</v>
      </c>
    </row>
    <row r="2004" spans="1:5" x14ac:dyDescent="0.45">
      <c r="A2004" s="2">
        <v>43493</v>
      </c>
      <c r="B2004" s="3">
        <v>35656.699999999997</v>
      </c>
      <c r="C2004" s="3">
        <v>187.8</v>
      </c>
      <c r="D2004" s="3">
        <f t="shared" si="64"/>
        <v>-1.0291063872768E-2</v>
      </c>
      <c r="E2004" s="3">
        <f t="shared" si="65"/>
        <v>8.5562019311959635E-3</v>
      </c>
    </row>
    <row r="2005" spans="1:5" x14ac:dyDescent="0.45">
      <c r="A2005" s="2">
        <v>43494</v>
      </c>
      <c r="B2005" s="3">
        <v>35592.5</v>
      </c>
      <c r="C2005" s="3">
        <v>186.15</v>
      </c>
      <c r="D2005" s="3">
        <f t="shared" si="64"/>
        <v>-1.8021259852733433E-3</v>
      </c>
      <c r="E2005" s="3">
        <f t="shared" si="65"/>
        <v>-8.8247664554366567E-3</v>
      </c>
    </row>
    <row r="2006" spans="1:5" x14ac:dyDescent="0.45">
      <c r="A2006" s="2">
        <v>43495</v>
      </c>
      <c r="B2006" s="3">
        <v>35591.25</v>
      </c>
      <c r="C2006" s="3">
        <v>187.05</v>
      </c>
      <c r="D2006" s="3">
        <f t="shared" si="64"/>
        <v>-3.5120375089265484E-5</v>
      </c>
      <c r="E2006" s="3">
        <f t="shared" si="65"/>
        <v>4.8231604754292601E-3</v>
      </c>
    </row>
    <row r="2007" spans="1:5" x14ac:dyDescent="0.45">
      <c r="A2007" s="2">
        <v>43496</v>
      </c>
      <c r="B2007" s="3">
        <v>36256.69</v>
      </c>
      <c r="C2007" s="3">
        <v>188.65</v>
      </c>
      <c r="D2007" s="3">
        <f t="shared" si="64"/>
        <v>1.8524094866572756E-2</v>
      </c>
      <c r="E2007" s="3">
        <f t="shared" si="65"/>
        <v>8.5174856161643175E-3</v>
      </c>
    </row>
    <row r="2008" spans="1:5" x14ac:dyDescent="0.45">
      <c r="A2008" s="2">
        <v>43497</v>
      </c>
      <c r="B2008" s="3">
        <v>36469.43</v>
      </c>
      <c r="C2008" s="3">
        <v>190.35</v>
      </c>
      <c r="D2008" s="3">
        <f t="shared" si="64"/>
        <v>5.8504594168597174E-3</v>
      </c>
      <c r="E2008" s="3">
        <f t="shared" si="65"/>
        <v>8.9710364181867352E-3</v>
      </c>
    </row>
    <row r="2009" spans="1:5" x14ac:dyDescent="0.45">
      <c r="A2009" s="2">
        <v>43500</v>
      </c>
      <c r="B2009" s="3">
        <v>36582.74</v>
      </c>
      <c r="C2009" s="3">
        <v>184.4</v>
      </c>
      <c r="D2009" s="3">
        <f t="shared" si="64"/>
        <v>3.102169062724207E-3</v>
      </c>
      <c r="E2009" s="3">
        <f t="shared" si="65"/>
        <v>-3.1757171706012874E-2</v>
      </c>
    </row>
    <row r="2010" spans="1:5" x14ac:dyDescent="0.45">
      <c r="A2010" s="2">
        <v>43501</v>
      </c>
      <c r="B2010" s="3">
        <v>36616.81</v>
      </c>
      <c r="C2010" s="3">
        <v>185.45</v>
      </c>
      <c r="D2010" s="3">
        <f t="shared" si="64"/>
        <v>9.3088010678328255E-4</v>
      </c>
      <c r="E2010" s="3">
        <f t="shared" si="65"/>
        <v>5.6779928131062557E-3</v>
      </c>
    </row>
    <row r="2011" spans="1:5" x14ac:dyDescent="0.45">
      <c r="A2011" s="2">
        <v>43502</v>
      </c>
      <c r="B2011" s="3">
        <v>36975.230000000003</v>
      </c>
      <c r="C2011" s="3">
        <v>186.85</v>
      </c>
      <c r="D2011" s="3">
        <f t="shared" si="64"/>
        <v>9.7408044131044921E-3</v>
      </c>
      <c r="E2011" s="3">
        <f t="shared" si="65"/>
        <v>7.5208519958931625E-3</v>
      </c>
    </row>
    <row r="2012" spans="1:5" x14ac:dyDescent="0.45">
      <c r="A2012" s="2">
        <v>43503</v>
      </c>
      <c r="B2012" s="3">
        <v>36971.089999999997</v>
      </c>
      <c r="C2012" s="3">
        <v>184.75</v>
      </c>
      <c r="D2012" s="3">
        <f t="shared" si="64"/>
        <v>-1.1197311791396176E-4</v>
      </c>
      <c r="E2012" s="3">
        <f t="shared" si="65"/>
        <v>-1.1302596103181684E-2</v>
      </c>
    </row>
    <row r="2013" spans="1:5" x14ac:dyDescent="0.45">
      <c r="A2013" s="2">
        <v>43504</v>
      </c>
      <c r="B2013" s="3">
        <v>36546.480000000003</v>
      </c>
      <c r="C2013" s="3">
        <v>180.45</v>
      </c>
      <c r="D2013" s="3">
        <f t="shared" si="64"/>
        <v>-1.1551380750327927E-2</v>
      </c>
      <c r="E2013" s="3">
        <f t="shared" si="65"/>
        <v>-2.3549828739513608E-2</v>
      </c>
    </row>
    <row r="2014" spans="1:5" x14ac:dyDescent="0.45">
      <c r="A2014" s="2">
        <v>43507</v>
      </c>
      <c r="B2014" s="3">
        <v>36395.03</v>
      </c>
      <c r="C2014" s="3">
        <v>182.2</v>
      </c>
      <c r="D2014" s="3">
        <f t="shared" si="64"/>
        <v>-4.1526482695448987E-3</v>
      </c>
      <c r="E2014" s="3">
        <f t="shared" si="65"/>
        <v>9.6512537370603713E-3</v>
      </c>
    </row>
    <row r="2015" spans="1:5" x14ac:dyDescent="0.45">
      <c r="A2015" s="2">
        <v>43508</v>
      </c>
      <c r="B2015" s="3">
        <v>36153.620000000003</v>
      </c>
      <c r="C2015" s="3">
        <v>181.3</v>
      </c>
      <c r="D2015" s="3">
        <f t="shared" si="64"/>
        <v>-6.655144955078067E-3</v>
      </c>
      <c r="E2015" s="3">
        <f t="shared" si="65"/>
        <v>-4.9518670650524951E-3</v>
      </c>
    </row>
    <row r="2016" spans="1:5" x14ac:dyDescent="0.45">
      <c r="A2016" s="2">
        <v>43509</v>
      </c>
      <c r="B2016" s="3">
        <v>36034.11</v>
      </c>
      <c r="C2016" s="3">
        <v>176.75</v>
      </c>
      <c r="D2016" s="3">
        <f t="shared" si="64"/>
        <v>-3.311092042529037E-3</v>
      </c>
      <c r="E2016" s="3">
        <f t="shared" si="65"/>
        <v>-2.5416812984123297E-2</v>
      </c>
    </row>
    <row r="2017" spans="1:5" x14ac:dyDescent="0.45">
      <c r="A2017" s="2">
        <v>43510</v>
      </c>
      <c r="B2017" s="3">
        <v>35876.22</v>
      </c>
      <c r="C2017" s="3">
        <v>174.85</v>
      </c>
      <c r="D2017" s="3">
        <f t="shared" si="64"/>
        <v>-4.39130939112258E-3</v>
      </c>
      <c r="E2017" s="3">
        <f t="shared" si="65"/>
        <v>-1.0807841267297282E-2</v>
      </c>
    </row>
    <row r="2018" spans="1:5" x14ac:dyDescent="0.45">
      <c r="A2018" s="2">
        <v>43511</v>
      </c>
      <c r="B2018" s="3">
        <v>35808.949999999997</v>
      </c>
      <c r="C2018" s="3">
        <v>181.5</v>
      </c>
      <c r="D2018" s="3">
        <f t="shared" si="64"/>
        <v>-1.876818308340621E-3</v>
      </c>
      <c r="E2018" s="3">
        <f t="shared" si="65"/>
        <v>3.7327190195520714E-2</v>
      </c>
    </row>
    <row r="2019" spans="1:5" x14ac:dyDescent="0.45">
      <c r="A2019" s="2">
        <v>43514</v>
      </c>
      <c r="B2019" s="3">
        <v>35498.44</v>
      </c>
      <c r="C2019" s="3">
        <v>180.65</v>
      </c>
      <c r="D2019" s="3">
        <f t="shared" si="64"/>
        <v>-8.7091103080145903E-3</v>
      </c>
      <c r="E2019" s="3">
        <f t="shared" si="65"/>
        <v>-4.6941961112562085E-3</v>
      </c>
    </row>
    <row r="2020" spans="1:5" x14ac:dyDescent="0.45">
      <c r="A2020" s="2">
        <v>43515</v>
      </c>
      <c r="B2020" s="3">
        <v>35352.61</v>
      </c>
      <c r="C2020" s="3">
        <v>179.55</v>
      </c>
      <c r="D2020" s="3">
        <f t="shared" si="64"/>
        <v>-4.1165291391990462E-3</v>
      </c>
      <c r="E2020" s="3">
        <f t="shared" si="65"/>
        <v>-6.1077369215573841E-3</v>
      </c>
    </row>
    <row r="2021" spans="1:5" x14ac:dyDescent="0.45">
      <c r="A2021" s="2">
        <v>43516</v>
      </c>
      <c r="B2021" s="3">
        <v>35756.26</v>
      </c>
      <c r="C2021" s="3">
        <v>182</v>
      </c>
      <c r="D2021" s="3">
        <f t="shared" si="64"/>
        <v>1.1353135991400715E-2</v>
      </c>
      <c r="E2021" s="3">
        <f t="shared" si="65"/>
        <v>1.3552966404703449E-2</v>
      </c>
    </row>
    <row r="2022" spans="1:5" x14ac:dyDescent="0.45">
      <c r="A2022" s="2">
        <v>43517</v>
      </c>
      <c r="B2022" s="3">
        <v>35898.35</v>
      </c>
      <c r="C2022" s="3">
        <v>181.75</v>
      </c>
      <c r="D2022" s="3">
        <f t="shared" si="64"/>
        <v>3.9659747291595259E-3</v>
      </c>
      <c r="E2022" s="3">
        <f t="shared" si="65"/>
        <v>-1.3745706631665985E-3</v>
      </c>
    </row>
    <row r="2023" spans="1:5" x14ac:dyDescent="0.45">
      <c r="A2023" s="2">
        <v>43518</v>
      </c>
      <c r="B2023" s="3">
        <v>35871.480000000003</v>
      </c>
      <c r="C2023" s="3">
        <v>181.9</v>
      </c>
      <c r="D2023" s="3">
        <f t="shared" si="64"/>
        <v>-7.4878263625371099E-4</v>
      </c>
      <c r="E2023" s="3">
        <f t="shared" si="65"/>
        <v>8.2496911044775397E-4</v>
      </c>
    </row>
    <row r="2024" spans="1:5" x14ac:dyDescent="0.45">
      <c r="A2024" s="2">
        <v>43521</v>
      </c>
      <c r="B2024" s="3">
        <v>36213.379999999997</v>
      </c>
      <c r="C2024" s="3">
        <v>182.25</v>
      </c>
      <c r="D2024" s="3">
        <f t="shared" si="64"/>
        <v>9.4861130022851434E-3</v>
      </c>
      <c r="E2024" s="3">
        <f t="shared" si="65"/>
        <v>1.9222853646910091E-3</v>
      </c>
    </row>
    <row r="2025" spans="1:5" x14ac:dyDescent="0.45">
      <c r="A2025" s="2">
        <v>43522</v>
      </c>
      <c r="B2025" s="3">
        <v>35973.71</v>
      </c>
      <c r="C2025" s="3">
        <v>181.8</v>
      </c>
      <c r="D2025" s="3">
        <f t="shared" si="64"/>
        <v>-6.6402699056154766E-3</v>
      </c>
      <c r="E2025" s="3">
        <f t="shared" si="65"/>
        <v>-2.4721891453890368E-3</v>
      </c>
    </row>
    <row r="2026" spans="1:5" x14ac:dyDescent="0.45">
      <c r="A2026" s="2">
        <v>43523</v>
      </c>
      <c r="B2026" s="3">
        <v>35905.43</v>
      </c>
      <c r="C2026" s="3">
        <v>181.55</v>
      </c>
      <c r="D2026" s="3">
        <f t="shared" si="64"/>
        <v>-1.8998563571515105E-3</v>
      </c>
      <c r="E2026" s="3">
        <f t="shared" si="65"/>
        <v>-1.3760838830336934E-3</v>
      </c>
    </row>
    <row r="2027" spans="1:5" x14ac:dyDescent="0.45">
      <c r="A2027" s="2">
        <v>43524</v>
      </c>
      <c r="B2027" s="3">
        <v>35867.440000000002</v>
      </c>
      <c r="C2027" s="3">
        <v>182.55</v>
      </c>
      <c r="D2027" s="3">
        <f t="shared" si="64"/>
        <v>-1.0586173730506763E-3</v>
      </c>
      <c r="E2027" s="3">
        <f t="shared" si="65"/>
        <v>5.4930102413010135E-3</v>
      </c>
    </row>
    <row r="2028" spans="1:5" x14ac:dyDescent="0.45">
      <c r="A2028" s="2">
        <v>43525</v>
      </c>
      <c r="B2028" s="3">
        <v>36063.81</v>
      </c>
      <c r="C2028" s="3">
        <v>183.25</v>
      </c>
      <c r="D2028" s="3">
        <f t="shared" si="64"/>
        <v>5.459949266352928E-3</v>
      </c>
      <c r="E2028" s="3">
        <f t="shared" si="65"/>
        <v>3.8272326651150154E-3</v>
      </c>
    </row>
    <row r="2029" spans="1:5" x14ac:dyDescent="0.45">
      <c r="A2029" s="2">
        <v>43529</v>
      </c>
      <c r="B2029" s="3">
        <v>36442.54</v>
      </c>
      <c r="C2029" s="3">
        <v>182.95</v>
      </c>
      <c r="D2029" s="3">
        <f t="shared" si="64"/>
        <v>1.0446904153190929E-2</v>
      </c>
      <c r="E2029" s="3">
        <f t="shared" si="65"/>
        <v>-1.6384493015451449E-3</v>
      </c>
    </row>
    <row r="2030" spans="1:5" x14ac:dyDescent="0.45">
      <c r="A2030" s="2">
        <v>43530</v>
      </c>
      <c r="B2030" s="3">
        <v>36636.1</v>
      </c>
      <c r="C2030" s="3">
        <v>184.7</v>
      </c>
      <c r="D2030" s="3">
        <f t="shared" si="64"/>
        <v>5.2973195076782189E-3</v>
      </c>
      <c r="E2030" s="3">
        <f t="shared" si="65"/>
        <v>9.5199957399785505E-3</v>
      </c>
    </row>
    <row r="2031" spans="1:5" x14ac:dyDescent="0.45">
      <c r="A2031" s="2">
        <v>43531</v>
      </c>
      <c r="B2031" s="3">
        <v>36725.42</v>
      </c>
      <c r="C2031" s="3">
        <v>187.25</v>
      </c>
      <c r="D2031" s="3">
        <f t="shared" si="64"/>
        <v>2.4350652531616506E-3</v>
      </c>
      <c r="E2031" s="3">
        <f t="shared" si="65"/>
        <v>1.371173519213459E-2</v>
      </c>
    </row>
    <row r="2032" spans="1:5" x14ac:dyDescent="0.45">
      <c r="A2032" s="2">
        <v>43532</v>
      </c>
      <c r="B2032" s="3">
        <v>36671.43</v>
      </c>
      <c r="C2032" s="3">
        <v>187.1</v>
      </c>
      <c r="D2032" s="3">
        <f t="shared" si="64"/>
        <v>-1.4711805680452988E-3</v>
      </c>
      <c r="E2032" s="3">
        <f t="shared" si="65"/>
        <v>-8.0138911728493752E-4</v>
      </c>
    </row>
    <row r="2033" spans="1:5" x14ac:dyDescent="0.45">
      <c r="A2033" s="2">
        <v>43535</v>
      </c>
      <c r="B2033" s="3">
        <v>37054.1</v>
      </c>
      <c r="C2033" s="3">
        <v>194.4</v>
      </c>
      <c r="D2033" s="3">
        <f t="shared" si="64"/>
        <v>1.0381029110384883E-2</v>
      </c>
      <c r="E2033" s="3">
        <f t="shared" si="65"/>
        <v>3.8274658746294897E-2</v>
      </c>
    </row>
    <row r="2034" spans="1:5" x14ac:dyDescent="0.45">
      <c r="A2034" s="2">
        <v>43536</v>
      </c>
      <c r="B2034" s="3">
        <v>37535.660000000003</v>
      </c>
      <c r="C2034" s="3">
        <v>196.05</v>
      </c>
      <c r="D2034" s="3">
        <f t="shared" si="64"/>
        <v>1.2912407570881499E-2</v>
      </c>
      <c r="E2034" s="3">
        <f t="shared" si="65"/>
        <v>8.4518367120020362E-3</v>
      </c>
    </row>
    <row r="2035" spans="1:5" x14ac:dyDescent="0.45">
      <c r="A2035" s="2">
        <v>43537</v>
      </c>
      <c r="B2035" s="3">
        <v>37752.17</v>
      </c>
      <c r="C2035" s="3">
        <v>194.55</v>
      </c>
      <c r="D2035" s="3">
        <f t="shared" si="64"/>
        <v>5.7515430276056422E-3</v>
      </c>
      <c r="E2035" s="3">
        <f t="shared" si="65"/>
        <v>-7.6805293077780437E-3</v>
      </c>
    </row>
    <row r="2036" spans="1:5" x14ac:dyDescent="0.45">
      <c r="A2036" s="2">
        <v>43538</v>
      </c>
      <c r="B2036" s="3">
        <v>37754.89</v>
      </c>
      <c r="C2036" s="3">
        <v>187.45</v>
      </c>
      <c r="D2036" s="3">
        <f t="shared" si="64"/>
        <v>7.2046243124177116E-5</v>
      </c>
      <c r="E2036" s="3">
        <f t="shared" si="65"/>
        <v>-3.7177056248641656E-2</v>
      </c>
    </row>
    <row r="2037" spans="1:5" x14ac:dyDescent="0.45">
      <c r="A2037" s="2">
        <v>43539</v>
      </c>
      <c r="B2037" s="3">
        <v>38024.32</v>
      </c>
      <c r="C2037" s="3">
        <v>192.35</v>
      </c>
      <c r="D2037" s="3">
        <f t="shared" si="64"/>
        <v>7.1109512839684745E-3</v>
      </c>
      <c r="E2037" s="3">
        <f t="shared" si="65"/>
        <v>2.5804486016383167E-2</v>
      </c>
    </row>
    <row r="2038" spans="1:5" x14ac:dyDescent="0.45">
      <c r="A2038" s="2">
        <v>43542</v>
      </c>
      <c r="B2038" s="3">
        <v>38095.07</v>
      </c>
      <c r="C2038" s="3">
        <v>196.75</v>
      </c>
      <c r="D2038" s="3">
        <f t="shared" si="64"/>
        <v>1.8589224210439411E-3</v>
      </c>
      <c r="E2038" s="3">
        <f t="shared" si="65"/>
        <v>2.2617258099208511E-2</v>
      </c>
    </row>
    <row r="2039" spans="1:5" x14ac:dyDescent="0.45">
      <c r="A2039" s="2">
        <v>43543</v>
      </c>
      <c r="B2039" s="3">
        <v>38363.47</v>
      </c>
      <c r="C2039" s="3">
        <v>198.7</v>
      </c>
      <c r="D2039" s="3">
        <f t="shared" si="64"/>
        <v>7.0208273005784201E-3</v>
      </c>
      <c r="E2039" s="3">
        <f t="shared" si="65"/>
        <v>9.8622622602585908E-3</v>
      </c>
    </row>
    <row r="2040" spans="1:5" x14ac:dyDescent="0.45">
      <c r="A2040" s="2">
        <v>43544</v>
      </c>
      <c r="B2040" s="3">
        <v>38386.75</v>
      </c>
      <c r="C2040" s="3">
        <v>197.45</v>
      </c>
      <c r="D2040" s="3">
        <f t="shared" si="64"/>
        <v>6.0664323083251957E-4</v>
      </c>
      <c r="E2040" s="3">
        <f t="shared" si="65"/>
        <v>-6.3107618251127522E-3</v>
      </c>
    </row>
    <row r="2041" spans="1:5" x14ac:dyDescent="0.45">
      <c r="A2041" s="2">
        <v>43546</v>
      </c>
      <c r="B2041" s="3">
        <v>38164.61</v>
      </c>
      <c r="C2041" s="3">
        <v>198.5</v>
      </c>
      <c r="D2041" s="3">
        <f t="shared" si="64"/>
        <v>-5.8037015548051867E-3</v>
      </c>
      <c r="E2041" s="3">
        <f t="shared" si="65"/>
        <v>5.3037123945867005E-3</v>
      </c>
    </row>
    <row r="2042" spans="1:5" x14ac:dyDescent="0.45">
      <c r="A2042" s="2">
        <v>43549</v>
      </c>
      <c r="B2042" s="3">
        <v>37808.910000000003</v>
      </c>
      <c r="C2042" s="3">
        <v>201.9</v>
      </c>
      <c r="D2042" s="3">
        <f t="shared" si="64"/>
        <v>-9.3638572763660652E-3</v>
      </c>
      <c r="E2042" s="3">
        <f t="shared" si="65"/>
        <v>1.6983425191546844E-2</v>
      </c>
    </row>
    <row r="2043" spans="1:5" x14ac:dyDescent="0.45">
      <c r="A2043" s="2">
        <v>43550</v>
      </c>
      <c r="B2043" s="3">
        <v>38233.410000000003</v>
      </c>
      <c r="C2043" s="3">
        <v>202.75</v>
      </c>
      <c r="D2043" s="3">
        <f t="shared" si="64"/>
        <v>1.1164951561233535E-2</v>
      </c>
      <c r="E2043" s="3">
        <f t="shared" si="65"/>
        <v>4.2011676767304759E-3</v>
      </c>
    </row>
    <row r="2044" spans="1:5" x14ac:dyDescent="0.45">
      <c r="A2044" s="2">
        <v>43551</v>
      </c>
      <c r="B2044" s="3">
        <v>38132.879999999997</v>
      </c>
      <c r="C2044" s="3">
        <v>200.3</v>
      </c>
      <c r="D2044" s="3">
        <f t="shared" si="64"/>
        <v>-2.6328386012068909E-3</v>
      </c>
      <c r="E2044" s="3">
        <f t="shared" si="65"/>
        <v>-1.2157450323749729E-2</v>
      </c>
    </row>
    <row r="2045" spans="1:5" x14ac:dyDescent="0.45">
      <c r="A2045" s="2">
        <v>43552</v>
      </c>
      <c r="B2045" s="3">
        <v>38545.72</v>
      </c>
      <c r="C2045" s="3">
        <v>198.3</v>
      </c>
      <c r="D2045" s="3">
        <f t="shared" si="64"/>
        <v>1.0768167107290642E-2</v>
      </c>
      <c r="E2045" s="3">
        <f t="shared" si="65"/>
        <v>-1.0035207146022235E-2</v>
      </c>
    </row>
    <row r="2046" spans="1:5" x14ac:dyDescent="0.45">
      <c r="A2046" s="2">
        <v>43553</v>
      </c>
      <c r="B2046" s="3">
        <v>38672.910000000003</v>
      </c>
      <c r="C2046" s="3">
        <v>198.1</v>
      </c>
      <c r="D2046" s="3">
        <f t="shared" si="64"/>
        <v>3.2942857190166276E-3</v>
      </c>
      <c r="E2046" s="3">
        <f t="shared" si="65"/>
        <v>-1.0090818212451684E-3</v>
      </c>
    </row>
    <row r="2047" spans="1:5" x14ac:dyDescent="0.45">
      <c r="A2047" s="2">
        <v>43556</v>
      </c>
      <c r="B2047" s="3">
        <v>38871.870000000003</v>
      </c>
      <c r="C2047" s="3">
        <v>195.6</v>
      </c>
      <c r="D2047" s="3">
        <f t="shared" si="64"/>
        <v>5.1314978671380832E-3</v>
      </c>
      <c r="E2047" s="3">
        <f t="shared" si="65"/>
        <v>-1.2700196103788232E-2</v>
      </c>
    </row>
    <row r="2048" spans="1:5" x14ac:dyDescent="0.45">
      <c r="A2048" s="2">
        <v>43557</v>
      </c>
      <c r="B2048" s="3">
        <v>39056.65</v>
      </c>
      <c r="C2048" s="3">
        <v>199.75</v>
      </c>
      <c r="D2048" s="3">
        <f t="shared" si="64"/>
        <v>4.7423034929908476E-3</v>
      </c>
      <c r="E2048" s="3">
        <f t="shared" si="65"/>
        <v>2.0994827045667203E-2</v>
      </c>
    </row>
    <row r="2049" spans="1:5" x14ac:dyDescent="0.45">
      <c r="A2049" s="2">
        <v>43558</v>
      </c>
      <c r="B2049" s="3">
        <v>38877.120000000003</v>
      </c>
      <c r="C2049" s="3">
        <v>200.35</v>
      </c>
      <c r="D2049" s="3">
        <f t="shared" si="64"/>
        <v>-4.6072535069271768E-3</v>
      </c>
      <c r="E2049" s="3">
        <f t="shared" si="65"/>
        <v>2.9992524357695832E-3</v>
      </c>
    </row>
    <row r="2050" spans="1:5" x14ac:dyDescent="0.45">
      <c r="A2050" s="2">
        <v>43559</v>
      </c>
      <c r="B2050" s="3">
        <v>38684.720000000001</v>
      </c>
      <c r="C2050" s="3">
        <v>199.2</v>
      </c>
      <c r="D2050" s="3">
        <f t="shared" si="64"/>
        <v>-4.961212746845689E-3</v>
      </c>
      <c r="E2050" s="3">
        <f t="shared" si="65"/>
        <v>-5.7564919316557437E-3</v>
      </c>
    </row>
    <row r="2051" spans="1:5" x14ac:dyDescent="0.45">
      <c r="A2051" s="2">
        <v>43560</v>
      </c>
      <c r="B2051" s="3">
        <v>38862.230000000003</v>
      </c>
      <c r="C2051" s="3">
        <v>196.3</v>
      </c>
      <c r="D2051" s="3">
        <f t="shared" si="64"/>
        <v>4.5781377614725911E-3</v>
      </c>
      <c r="E2051" s="3">
        <f t="shared" si="65"/>
        <v>-1.4665243868082324E-2</v>
      </c>
    </row>
    <row r="2052" spans="1:5" x14ac:dyDescent="0.45">
      <c r="A2052" s="2">
        <v>43563</v>
      </c>
      <c r="B2052" s="3">
        <v>38700.53</v>
      </c>
      <c r="C2052" s="3">
        <v>197.75</v>
      </c>
      <c r="D2052" s="3">
        <f t="shared" si="64"/>
        <v>-4.1695327567729135E-3</v>
      </c>
      <c r="E2052" s="3">
        <f t="shared" si="65"/>
        <v>7.3595053653478012E-3</v>
      </c>
    </row>
    <row r="2053" spans="1:5" x14ac:dyDescent="0.45">
      <c r="A2053" s="2">
        <v>43564</v>
      </c>
      <c r="B2053" s="3">
        <v>38939.22</v>
      </c>
      <c r="C2053" s="3">
        <v>198.35</v>
      </c>
      <c r="D2053" s="3">
        <f t="shared" si="64"/>
        <v>6.1486738943946073E-3</v>
      </c>
      <c r="E2053" s="3">
        <f t="shared" si="65"/>
        <v>3.0295403125757876E-3</v>
      </c>
    </row>
    <row r="2054" spans="1:5" x14ac:dyDescent="0.45">
      <c r="A2054" s="2">
        <v>43565</v>
      </c>
      <c r="B2054" s="3">
        <v>38585.35</v>
      </c>
      <c r="C2054" s="3">
        <v>198.1</v>
      </c>
      <c r="D2054" s="3">
        <f t="shared" ref="D2054:D2117" si="66">LN(B2054/B2053)</f>
        <v>-9.1292981758997731E-3</v>
      </c>
      <c r="E2054" s="3">
        <f t="shared" ref="E2054:E2117" si="67">LN(C2054/C2053)</f>
        <v>-1.261193255833901E-3</v>
      </c>
    </row>
    <row r="2055" spans="1:5" x14ac:dyDescent="0.45">
      <c r="A2055" s="2">
        <v>43566</v>
      </c>
      <c r="B2055" s="3">
        <v>38607.01</v>
      </c>
      <c r="C2055" s="3">
        <v>195.85</v>
      </c>
      <c r="D2055" s="3">
        <f t="shared" si="66"/>
        <v>5.6119544909559221E-4</v>
      </c>
      <c r="E2055" s="3">
        <f t="shared" si="67"/>
        <v>-1.1422893592664919E-2</v>
      </c>
    </row>
    <row r="2056" spans="1:5" x14ac:dyDescent="0.45">
      <c r="A2056" s="2">
        <v>43567</v>
      </c>
      <c r="B2056" s="3">
        <v>38767.11</v>
      </c>
      <c r="C2056" s="3">
        <v>197</v>
      </c>
      <c r="D2056" s="3">
        <f t="shared" si="66"/>
        <v>4.1383405326608363E-3</v>
      </c>
      <c r="E2056" s="3">
        <f t="shared" si="67"/>
        <v>5.854668626148145E-3</v>
      </c>
    </row>
    <row r="2057" spans="1:5" x14ac:dyDescent="0.45">
      <c r="A2057" s="2">
        <v>43570</v>
      </c>
      <c r="B2057" s="3">
        <v>38905.839999999997</v>
      </c>
      <c r="C2057" s="3">
        <v>198.1</v>
      </c>
      <c r="D2057" s="3">
        <f t="shared" si="66"/>
        <v>3.5721611582945592E-3</v>
      </c>
      <c r="E2057" s="3">
        <f t="shared" si="67"/>
        <v>5.5682249665167886E-3</v>
      </c>
    </row>
    <row r="2058" spans="1:5" x14ac:dyDescent="0.45">
      <c r="A2058" s="2">
        <v>43571</v>
      </c>
      <c r="B2058" s="3">
        <v>39275.64</v>
      </c>
      <c r="C2058" s="3">
        <v>196.85</v>
      </c>
      <c r="D2058" s="3">
        <f t="shared" si="66"/>
        <v>9.4601114712509655E-3</v>
      </c>
      <c r="E2058" s="3">
        <f t="shared" si="67"/>
        <v>-6.329936314758749E-3</v>
      </c>
    </row>
    <row r="2059" spans="1:5" x14ac:dyDescent="0.45">
      <c r="A2059" s="2">
        <v>43573</v>
      </c>
      <c r="B2059" s="3">
        <v>39140.28</v>
      </c>
      <c r="C2059" s="3">
        <v>194.2</v>
      </c>
      <c r="D2059" s="3">
        <f t="shared" si="66"/>
        <v>-3.4523636130062169E-3</v>
      </c>
      <c r="E2059" s="3">
        <f t="shared" si="67"/>
        <v>-1.3553461532521989E-2</v>
      </c>
    </row>
    <row r="2060" spans="1:5" x14ac:dyDescent="0.45">
      <c r="A2060" s="2">
        <v>43577</v>
      </c>
      <c r="B2060" s="3">
        <v>38645.18</v>
      </c>
      <c r="C2060" s="3">
        <v>194.6</v>
      </c>
      <c r="D2060" s="3">
        <f t="shared" si="66"/>
        <v>-1.27300574188241E-2</v>
      </c>
      <c r="E2060" s="3">
        <f t="shared" si="67"/>
        <v>2.0576138946801622E-3</v>
      </c>
    </row>
    <row r="2061" spans="1:5" x14ac:dyDescent="0.45">
      <c r="A2061" s="2">
        <v>43578</v>
      </c>
      <c r="B2061" s="3">
        <v>38564.879999999997</v>
      </c>
      <c r="C2061" s="3">
        <v>192.75</v>
      </c>
      <c r="D2061" s="3">
        <f t="shared" si="66"/>
        <v>-2.08004057895974E-3</v>
      </c>
      <c r="E2061" s="3">
        <f t="shared" si="67"/>
        <v>-9.5521573084657897E-3</v>
      </c>
    </row>
    <row r="2062" spans="1:5" x14ac:dyDescent="0.45">
      <c r="A2062" s="2">
        <v>43579</v>
      </c>
      <c r="B2062" s="3">
        <v>39054.68</v>
      </c>
      <c r="C2062" s="3">
        <v>191.95</v>
      </c>
      <c r="D2062" s="3">
        <f t="shared" si="66"/>
        <v>1.2620697704121818E-2</v>
      </c>
      <c r="E2062" s="3">
        <f t="shared" si="67"/>
        <v>-4.159090996632254E-3</v>
      </c>
    </row>
    <row r="2063" spans="1:5" x14ac:dyDescent="0.45">
      <c r="A2063" s="2">
        <v>43580</v>
      </c>
      <c r="B2063" s="3">
        <v>38730.86</v>
      </c>
      <c r="C2063" s="3">
        <v>191.3</v>
      </c>
      <c r="D2063" s="3">
        <f t="shared" si="66"/>
        <v>-8.3260171663569298E-3</v>
      </c>
      <c r="E2063" s="3">
        <f t="shared" si="67"/>
        <v>-3.3920450005993736E-3</v>
      </c>
    </row>
    <row r="2064" spans="1:5" x14ac:dyDescent="0.45">
      <c r="A2064" s="2">
        <v>43581</v>
      </c>
      <c r="B2064" s="3">
        <v>39067.33</v>
      </c>
      <c r="C2064" s="3">
        <v>190.8</v>
      </c>
      <c r="D2064" s="3">
        <f t="shared" si="66"/>
        <v>8.6498695636661738E-3</v>
      </c>
      <c r="E2064" s="3">
        <f t="shared" si="67"/>
        <v>-2.6171174320210092E-3</v>
      </c>
    </row>
    <row r="2065" spans="1:5" x14ac:dyDescent="0.45">
      <c r="A2065" s="2">
        <v>43585</v>
      </c>
      <c r="B2065" s="3">
        <v>39031.550000000003</v>
      </c>
      <c r="C2065" s="3">
        <v>186.3</v>
      </c>
      <c r="D2065" s="3">
        <f t="shared" si="66"/>
        <v>-9.162744076043394E-4</v>
      </c>
      <c r="E2065" s="3">
        <f t="shared" si="67"/>
        <v>-2.386748140664343E-2</v>
      </c>
    </row>
    <row r="2066" spans="1:5" x14ac:dyDescent="0.45">
      <c r="A2066" s="2">
        <v>43587</v>
      </c>
      <c r="B2066" s="3">
        <v>38981.43</v>
      </c>
      <c r="C2066" s="3">
        <v>190</v>
      </c>
      <c r="D2066" s="3">
        <f t="shared" si="66"/>
        <v>-1.2849145589798022E-3</v>
      </c>
      <c r="E2066" s="3">
        <f t="shared" si="67"/>
        <v>1.966579455294324E-2</v>
      </c>
    </row>
    <row r="2067" spans="1:5" x14ac:dyDescent="0.45">
      <c r="A2067" s="2">
        <v>43588</v>
      </c>
      <c r="B2067" s="3">
        <v>38963.26</v>
      </c>
      <c r="C2067" s="3">
        <v>190.4</v>
      </c>
      <c r="D2067" s="3">
        <f t="shared" si="66"/>
        <v>-4.6622804784088155E-4</v>
      </c>
      <c r="E2067" s="3">
        <f t="shared" si="67"/>
        <v>2.10305019677889E-3</v>
      </c>
    </row>
    <row r="2068" spans="1:5" x14ac:dyDescent="0.45">
      <c r="A2068" s="2">
        <v>43591</v>
      </c>
      <c r="B2068" s="3">
        <v>38600.339999999997</v>
      </c>
      <c r="C2068" s="3">
        <v>190</v>
      </c>
      <c r="D2068" s="3">
        <f t="shared" si="66"/>
        <v>-9.3580661162636254E-3</v>
      </c>
      <c r="E2068" s="3">
        <f t="shared" si="67"/>
        <v>-2.1030501967787877E-3</v>
      </c>
    </row>
    <row r="2069" spans="1:5" x14ac:dyDescent="0.45">
      <c r="A2069" s="2">
        <v>43592</v>
      </c>
      <c r="B2069" s="3">
        <v>38276.629999999997</v>
      </c>
      <c r="C2069" s="3">
        <v>191.6</v>
      </c>
      <c r="D2069" s="3">
        <f t="shared" si="66"/>
        <v>-8.4215575404395938E-3</v>
      </c>
      <c r="E2069" s="3">
        <f t="shared" si="67"/>
        <v>8.3857933762739641E-3</v>
      </c>
    </row>
    <row r="2070" spans="1:5" x14ac:dyDescent="0.45">
      <c r="A2070" s="2">
        <v>43593</v>
      </c>
      <c r="B2070" s="3">
        <v>37789.129999999997</v>
      </c>
      <c r="C2070" s="3">
        <v>189.55</v>
      </c>
      <c r="D2070" s="3">
        <f t="shared" si="66"/>
        <v>-1.2818032048802587E-2</v>
      </c>
      <c r="E2070" s="3">
        <f t="shared" si="67"/>
        <v>-1.0757023574416238E-2</v>
      </c>
    </row>
    <row r="2071" spans="1:5" x14ac:dyDescent="0.45">
      <c r="A2071" s="2">
        <v>43594</v>
      </c>
      <c r="B2071" s="3">
        <v>37558.910000000003</v>
      </c>
      <c r="C2071" s="3">
        <v>187.95</v>
      </c>
      <c r="D2071" s="3">
        <f t="shared" si="66"/>
        <v>-6.1108614482303179E-3</v>
      </c>
      <c r="E2071" s="3">
        <f t="shared" si="67"/>
        <v>-8.4768719521569162E-3</v>
      </c>
    </row>
    <row r="2072" spans="1:5" x14ac:dyDescent="0.45">
      <c r="A2072" s="2">
        <v>43595</v>
      </c>
      <c r="B2072" s="3">
        <v>37462.99</v>
      </c>
      <c r="C2072" s="3">
        <v>185.5</v>
      </c>
      <c r="D2072" s="3">
        <f t="shared" si="66"/>
        <v>-2.5571213810198722E-3</v>
      </c>
      <c r="E2072" s="3">
        <f t="shared" si="67"/>
        <v>-1.3121087962697099E-2</v>
      </c>
    </row>
    <row r="2073" spans="1:5" x14ac:dyDescent="0.45">
      <c r="A2073" s="2">
        <v>43598</v>
      </c>
      <c r="B2073" s="3">
        <v>37090.82</v>
      </c>
      <c r="C2073" s="3">
        <v>182.45</v>
      </c>
      <c r="D2073" s="3">
        <f t="shared" si="66"/>
        <v>-9.9840126615333737E-3</v>
      </c>
      <c r="E2073" s="3">
        <f t="shared" si="67"/>
        <v>-1.6578719165033257E-2</v>
      </c>
    </row>
    <row r="2074" spans="1:5" x14ac:dyDescent="0.45">
      <c r="A2074" s="2">
        <v>43599</v>
      </c>
      <c r="B2074" s="3">
        <v>37318.53</v>
      </c>
      <c r="C2074" s="3">
        <v>181.8</v>
      </c>
      <c r="D2074" s="3">
        <f t="shared" si="66"/>
        <v>6.1204864937271239E-3</v>
      </c>
      <c r="E2074" s="3">
        <f t="shared" si="67"/>
        <v>-3.5689811390780162E-3</v>
      </c>
    </row>
    <row r="2075" spans="1:5" x14ac:dyDescent="0.45">
      <c r="A2075" s="2">
        <v>43600</v>
      </c>
      <c r="B2075" s="3">
        <v>37114.879999999997</v>
      </c>
      <c r="C2075" s="3">
        <v>178.8</v>
      </c>
      <c r="D2075" s="3">
        <f t="shared" si="66"/>
        <v>-5.4720187656921897E-3</v>
      </c>
      <c r="E2075" s="3">
        <f t="shared" si="67"/>
        <v>-1.6639319003964669E-2</v>
      </c>
    </row>
    <row r="2076" spans="1:5" x14ac:dyDescent="0.45">
      <c r="A2076" s="2">
        <v>43601</v>
      </c>
      <c r="B2076" s="3">
        <v>37393.480000000003</v>
      </c>
      <c r="C2076" s="3">
        <v>181.85</v>
      </c>
      <c r="D2076" s="3">
        <f t="shared" si="66"/>
        <v>7.4783903020160941E-3</v>
      </c>
      <c r="E2076" s="3">
        <f t="shared" si="67"/>
        <v>1.69143086935842E-2</v>
      </c>
    </row>
    <row r="2077" spans="1:5" x14ac:dyDescent="0.45">
      <c r="A2077" s="2">
        <v>43602</v>
      </c>
      <c r="B2077" s="3">
        <v>37930.769999999997</v>
      </c>
      <c r="C2077" s="3">
        <v>182.1</v>
      </c>
      <c r="D2077" s="3">
        <f t="shared" si="66"/>
        <v>1.4266298376232327E-2</v>
      </c>
      <c r="E2077" s="3">
        <f t="shared" si="67"/>
        <v>1.3738153005642992E-3</v>
      </c>
    </row>
    <row r="2078" spans="1:5" x14ac:dyDescent="0.45">
      <c r="A2078" s="2">
        <v>43605</v>
      </c>
      <c r="B2078" s="3">
        <v>39352.67</v>
      </c>
      <c r="C2078" s="3">
        <v>188</v>
      </c>
      <c r="D2078" s="3">
        <f t="shared" si="66"/>
        <v>3.6801169117951282E-2</v>
      </c>
      <c r="E2078" s="3">
        <f t="shared" si="67"/>
        <v>3.1885976096386971E-2</v>
      </c>
    </row>
    <row r="2079" spans="1:5" x14ac:dyDescent="0.45">
      <c r="A2079" s="2">
        <v>43606</v>
      </c>
      <c r="B2079" s="3">
        <v>38969.800000000003</v>
      </c>
      <c r="C2079" s="3">
        <v>184</v>
      </c>
      <c r="D2079" s="3">
        <f t="shared" si="66"/>
        <v>-9.7768379818465451E-3</v>
      </c>
      <c r="E2079" s="3">
        <f t="shared" si="67"/>
        <v>-2.1506205220963619E-2</v>
      </c>
    </row>
    <row r="2080" spans="1:5" x14ac:dyDescent="0.45">
      <c r="A2080" s="2">
        <v>43607</v>
      </c>
      <c r="B2080" s="3">
        <v>39110.21</v>
      </c>
      <c r="C2080" s="3">
        <v>182.1</v>
      </c>
      <c r="D2080" s="3">
        <f t="shared" si="66"/>
        <v>3.596571039220434E-3</v>
      </c>
      <c r="E2080" s="3">
        <f t="shared" si="67"/>
        <v>-1.037977087542343E-2</v>
      </c>
    </row>
    <row r="2081" spans="1:5" x14ac:dyDescent="0.45">
      <c r="A2081" s="2">
        <v>43608</v>
      </c>
      <c r="B2081" s="3">
        <v>38811.39</v>
      </c>
      <c r="C2081" s="3">
        <v>184.45</v>
      </c>
      <c r="D2081" s="3">
        <f t="shared" si="66"/>
        <v>-7.6697979728098395E-3</v>
      </c>
      <c r="E2081" s="3">
        <f t="shared" si="67"/>
        <v>1.2822437309122333E-2</v>
      </c>
    </row>
    <row r="2082" spans="1:5" x14ac:dyDescent="0.45">
      <c r="A2082" s="2">
        <v>43609</v>
      </c>
      <c r="B2082" s="3">
        <v>39434.720000000001</v>
      </c>
      <c r="C2082" s="3">
        <v>185.65</v>
      </c>
      <c r="D2082" s="3">
        <f t="shared" si="66"/>
        <v>1.5932886282206956E-2</v>
      </c>
      <c r="E2082" s="3">
        <f t="shared" si="67"/>
        <v>6.4847565804045902E-3</v>
      </c>
    </row>
    <row r="2083" spans="1:5" x14ac:dyDescent="0.45">
      <c r="A2083" s="2">
        <v>43612</v>
      </c>
      <c r="B2083" s="3">
        <v>39683.29</v>
      </c>
      <c r="C2083" s="3">
        <v>187.05</v>
      </c>
      <c r="D2083" s="3">
        <f t="shared" si="66"/>
        <v>6.283545752877504E-3</v>
      </c>
      <c r="E2083" s="3">
        <f t="shared" si="67"/>
        <v>7.5127801710661805E-3</v>
      </c>
    </row>
    <row r="2084" spans="1:5" x14ac:dyDescent="0.45">
      <c r="A2084" s="2">
        <v>43613</v>
      </c>
      <c r="B2084" s="3">
        <v>39749.730000000003</v>
      </c>
      <c r="C2084" s="3">
        <v>189.4</v>
      </c>
      <c r="D2084" s="3">
        <f t="shared" si="66"/>
        <v>1.6728563384364875E-3</v>
      </c>
      <c r="E2084" s="3">
        <f t="shared" si="67"/>
        <v>1.2485219957822652E-2</v>
      </c>
    </row>
    <row r="2085" spans="1:5" x14ac:dyDescent="0.45">
      <c r="A2085" s="2">
        <v>43614</v>
      </c>
      <c r="B2085" s="3">
        <v>39502.050000000003</v>
      </c>
      <c r="C2085" s="3">
        <v>190.3</v>
      </c>
      <c r="D2085" s="3">
        <f t="shared" si="66"/>
        <v>-6.2504793298812054E-3</v>
      </c>
      <c r="E2085" s="3">
        <f t="shared" si="67"/>
        <v>4.7405935501259617E-3</v>
      </c>
    </row>
    <row r="2086" spans="1:5" x14ac:dyDescent="0.45">
      <c r="A2086" s="2">
        <v>43615</v>
      </c>
      <c r="B2086" s="3">
        <v>39831.97</v>
      </c>
      <c r="C2086" s="3">
        <v>191.15</v>
      </c>
      <c r="D2086" s="3">
        <f t="shared" si="66"/>
        <v>8.317286881751389E-3</v>
      </c>
      <c r="E2086" s="3">
        <f t="shared" si="67"/>
        <v>4.4566858403179421E-3</v>
      </c>
    </row>
    <row r="2087" spans="1:5" x14ac:dyDescent="0.45">
      <c r="A2087" s="2">
        <v>43616</v>
      </c>
      <c r="B2087" s="3">
        <v>39714.199999999997</v>
      </c>
      <c r="C2087" s="3">
        <v>189.15</v>
      </c>
      <c r="D2087" s="3">
        <f t="shared" si="66"/>
        <v>-2.9610498166988382E-3</v>
      </c>
      <c r="E2087" s="3">
        <f t="shared" si="67"/>
        <v>-1.0518109063383508E-2</v>
      </c>
    </row>
    <row r="2088" spans="1:5" x14ac:dyDescent="0.45">
      <c r="A2088" s="2">
        <v>43619</v>
      </c>
      <c r="B2088" s="3">
        <v>40267.620000000003</v>
      </c>
      <c r="C2088" s="3">
        <v>192.5</v>
      </c>
      <c r="D2088" s="3">
        <f t="shared" si="66"/>
        <v>1.3838865689420254E-2</v>
      </c>
      <c r="E2088" s="3">
        <f t="shared" si="67"/>
        <v>1.7555802648800595E-2</v>
      </c>
    </row>
    <row r="2089" spans="1:5" x14ac:dyDescent="0.45">
      <c r="A2089" s="2">
        <v>43620</v>
      </c>
      <c r="B2089" s="3">
        <v>40083.54</v>
      </c>
      <c r="C2089" s="3">
        <v>193.1</v>
      </c>
      <c r="D2089" s="3">
        <f t="shared" si="66"/>
        <v>-4.5818958194084394E-3</v>
      </c>
      <c r="E2089" s="3">
        <f t="shared" si="67"/>
        <v>3.1120357066298002E-3</v>
      </c>
    </row>
    <row r="2090" spans="1:5" x14ac:dyDescent="0.45">
      <c r="A2090" s="2">
        <v>43622</v>
      </c>
      <c r="B2090" s="3">
        <v>39529.72</v>
      </c>
      <c r="C2090" s="3">
        <v>195.55</v>
      </c>
      <c r="D2090" s="3">
        <f t="shared" si="66"/>
        <v>-1.3912982174045196E-2</v>
      </c>
      <c r="E2090" s="3">
        <f t="shared" si="67"/>
        <v>1.2607911767054468E-2</v>
      </c>
    </row>
    <row r="2091" spans="1:5" x14ac:dyDescent="0.45">
      <c r="A2091" s="2">
        <v>43623</v>
      </c>
      <c r="B2091" s="3">
        <v>39615.9</v>
      </c>
      <c r="C2091" s="3">
        <v>191.2</v>
      </c>
      <c r="D2091" s="3">
        <f t="shared" si="66"/>
        <v>2.177758770732023E-3</v>
      </c>
      <c r="E2091" s="3">
        <f t="shared" si="67"/>
        <v>-2.2496100584222328E-2</v>
      </c>
    </row>
    <row r="2092" spans="1:5" x14ac:dyDescent="0.45">
      <c r="A2092" s="2">
        <v>43626</v>
      </c>
      <c r="B2092" s="3">
        <v>39784.519999999997</v>
      </c>
      <c r="C2092" s="3">
        <v>193.55</v>
      </c>
      <c r="D2092" s="3">
        <f t="shared" si="66"/>
        <v>4.2473390818443891E-3</v>
      </c>
      <c r="E2092" s="3">
        <f t="shared" si="67"/>
        <v>1.2215876406356289E-2</v>
      </c>
    </row>
    <row r="2093" spans="1:5" x14ac:dyDescent="0.45">
      <c r="A2093" s="2">
        <v>43627</v>
      </c>
      <c r="B2093" s="3">
        <v>39950.46</v>
      </c>
      <c r="C2093" s="3">
        <v>193.1</v>
      </c>
      <c r="D2093" s="3">
        <f t="shared" si="66"/>
        <v>4.1622946308286666E-3</v>
      </c>
      <c r="E2093" s="3">
        <f t="shared" si="67"/>
        <v>-2.3276875891884066E-3</v>
      </c>
    </row>
    <row r="2094" spans="1:5" x14ac:dyDescent="0.45">
      <c r="A2094" s="2">
        <v>43628</v>
      </c>
      <c r="B2094" s="3">
        <v>39756.81</v>
      </c>
      <c r="C2094" s="3">
        <v>191</v>
      </c>
      <c r="D2094" s="3">
        <f t="shared" si="66"/>
        <v>-4.8590393576515315E-3</v>
      </c>
      <c r="E2094" s="3">
        <f t="shared" si="67"/>
        <v>-1.0934761387838811E-2</v>
      </c>
    </row>
    <row r="2095" spans="1:5" x14ac:dyDescent="0.45">
      <c r="A2095" s="2">
        <v>43629</v>
      </c>
      <c r="B2095" s="3">
        <v>39741.360000000001</v>
      </c>
      <c r="C2095" s="3">
        <v>193.75</v>
      </c>
      <c r="D2095" s="3">
        <f t="shared" si="66"/>
        <v>-3.8868819733863647E-4</v>
      </c>
      <c r="E2095" s="3">
        <f t="shared" si="67"/>
        <v>1.4295240186826532E-2</v>
      </c>
    </row>
    <row r="2096" spans="1:5" x14ac:dyDescent="0.45">
      <c r="A2096" s="2">
        <v>43630</v>
      </c>
      <c r="B2096" s="3">
        <v>39452.07</v>
      </c>
      <c r="C2096" s="3">
        <v>194.6</v>
      </c>
      <c r="D2096" s="3">
        <f t="shared" si="66"/>
        <v>-7.3059415858017776E-3</v>
      </c>
      <c r="E2096" s="3">
        <f t="shared" si="67"/>
        <v>4.3775015184482294E-3</v>
      </c>
    </row>
    <row r="2097" spans="1:5" x14ac:dyDescent="0.45">
      <c r="A2097" s="2">
        <v>43633</v>
      </c>
      <c r="B2097" s="3">
        <v>38960.79</v>
      </c>
      <c r="C2097" s="3">
        <v>194.05</v>
      </c>
      <c r="D2097" s="3">
        <f t="shared" si="66"/>
        <v>-1.2530761622046123E-2</v>
      </c>
      <c r="E2097" s="3">
        <f t="shared" si="67"/>
        <v>-2.8303119369893102E-3</v>
      </c>
    </row>
    <row r="2098" spans="1:5" x14ac:dyDescent="0.45">
      <c r="A2098" s="2">
        <v>43634</v>
      </c>
      <c r="B2098" s="3">
        <v>39046.339999999997</v>
      </c>
      <c r="C2098" s="3">
        <v>197.7</v>
      </c>
      <c r="D2098" s="3">
        <f t="shared" si="66"/>
        <v>2.1933901246752878E-3</v>
      </c>
      <c r="E2098" s="3">
        <f t="shared" si="67"/>
        <v>1.8634872361655806E-2</v>
      </c>
    </row>
    <row r="2099" spans="1:5" x14ac:dyDescent="0.45">
      <c r="A2099" s="2">
        <v>43635</v>
      </c>
      <c r="B2099" s="3">
        <v>39112.74</v>
      </c>
      <c r="C2099" s="3">
        <v>200.8</v>
      </c>
      <c r="D2099" s="3">
        <f t="shared" si="66"/>
        <v>1.699099221085718E-3</v>
      </c>
      <c r="E2099" s="3">
        <f t="shared" si="67"/>
        <v>1.5558657641003032E-2</v>
      </c>
    </row>
    <row r="2100" spans="1:5" x14ac:dyDescent="0.45">
      <c r="A2100" s="2">
        <v>43636</v>
      </c>
      <c r="B2100" s="3">
        <v>39601.629999999997</v>
      </c>
      <c r="C2100" s="3">
        <v>200.95</v>
      </c>
      <c r="D2100" s="3">
        <f t="shared" si="66"/>
        <v>1.2422033907572533E-2</v>
      </c>
      <c r="E2100" s="3">
        <f t="shared" si="67"/>
        <v>7.4673307763581821E-4</v>
      </c>
    </row>
    <row r="2101" spans="1:5" x14ac:dyDescent="0.45">
      <c r="A2101" s="2">
        <v>43637</v>
      </c>
      <c r="B2101" s="3">
        <v>39194.49</v>
      </c>
      <c r="C2101" s="3">
        <v>199.95</v>
      </c>
      <c r="D2101" s="3">
        <f t="shared" si="66"/>
        <v>-1.0334103337208026E-2</v>
      </c>
      <c r="E2101" s="3">
        <f t="shared" si="67"/>
        <v>-4.9887856023827981E-3</v>
      </c>
    </row>
    <row r="2102" spans="1:5" x14ac:dyDescent="0.45">
      <c r="A2102" s="2">
        <v>43640</v>
      </c>
      <c r="B2102" s="3">
        <v>39122.959999999999</v>
      </c>
      <c r="C2102" s="3">
        <v>198.95</v>
      </c>
      <c r="D2102" s="3">
        <f t="shared" si="66"/>
        <v>-1.8266687664019799E-3</v>
      </c>
      <c r="E2102" s="3">
        <f t="shared" si="67"/>
        <v>-5.0137984198897209E-3</v>
      </c>
    </row>
    <row r="2103" spans="1:5" x14ac:dyDescent="0.45">
      <c r="A2103" s="2">
        <v>43641</v>
      </c>
      <c r="B2103" s="3">
        <v>39434.94</v>
      </c>
      <c r="C2103" s="3">
        <v>201.55</v>
      </c>
      <c r="D2103" s="3">
        <f t="shared" si="66"/>
        <v>7.9427184318651804E-3</v>
      </c>
      <c r="E2103" s="3">
        <f t="shared" si="67"/>
        <v>1.2983952690237274E-2</v>
      </c>
    </row>
    <row r="2104" spans="1:5" x14ac:dyDescent="0.45">
      <c r="A2104" s="2">
        <v>43642</v>
      </c>
      <c r="B2104" s="3">
        <v>39592.080000000002</v>
      </c>
      <c r="C2104" s="3">
        <v>209.85</v>
      </c>
      <c r="D2104" s="3">
        <f t="shared" si="66"/>
        <v>3.9768729000322902E-3</v>
      </c>
      <c r="E2104" s="3">
        <f t="shared" si="67"/>
        <v>4.0355500216425054E-2</v>
      </c>
    </row>
    <row r="2105" spans="1:5" x14ac:dyDescent="0.45">
      <c r="A2105" s="2">
        <v>43643</v>
      </c>
      <c r="B2105" s="3">
        <v>39586.410000000003</v>
      </c>
      <c r="C2105" s="3">
        <v>207.55</v>
      </c>
      <c r="D2105" s="3">
        <f t="shared" si="66"/>
        <v>-1.4322071587099608E-4</v>
      </c>
      <c r="E2105" s="3">
        <f t="shared" si="67"/>
        <v>-1.1020715280551993E-2</v>
      </c>
    </row>
    <row r="2106" spans="1:5" x14ac:dyDescent="0.45">
      <c r="A2106" s="2">
        <v>43644</v>
      </c>
      <c r="B2106" s="3">
        <v>39394.639999999999</v>
      </c>
      <c r="C2106" s="3">
        <v>206.9</v>
      </c>
      <c r="D2106" s="3">
        <f t="shared" si="66"/>
        <v>-4.8561111015088228E-3</v>
      </c>
      <c r="E2106" s="3">
        <f t="shared" si="67"/>
        <v>-3.136689747550474E-3</v>
      </c>
    </row>
    <row r="2107" spans="1:5" x14ac:dyDescent="0.45">
      <c r="A2107" s="2">
        <v>43647</v>
      </c>
      <c r="B2107" s="3">
        <v>39686.5</v>
      </c>
      <c r="C2107" s="3">
        <v>207.05</v>
      </c>
      <c r="D2107" s="3">
        <f t="shared" si="66"/>
        <v>7.3813130446827493E-3</v>
      </c>
      <c r="E2107" s="3">
        <f t="shared" si="67"/>
        <v>7.2472524007889867E-4</v>
      </c>
    </row>
    <row r="2108" spans="1:5" x14ac:dyDescent="0.45">
      <c r="A2108" s="2">
        <v>43648</v>
      </c>
      <c r="B2108" s="3">
        <v>39816.480000000003</v>
      </c>
      <c r="C2108" s="3">
        <v>207.35</v>
      </c>
      <c r="D2108" s="3">
        <f t="shared" si="66"/>
        <v>3.2698174536094087E-3</v>
      </c>
      <c r="E2108" s="3">
        <f t="shared" si="67"/>
        <v>1.4478767008140538E-3</v>
      </c>
    </row>
    <row r="2109" spans="1:5" x14ac:dyDescent="0.45">
      <c r="A2109" s="2">
        <v>43649</v>
      </c>
      <c r="B2109" s="3">
        <v>39839.25</v>
      </c>
      <c r="C2109" s="3">
        <v>208.9</v>
      </c>
      <c r="D2109" s="3">
        <f t="shared" si="66"/>
        <v>5.7171029931433071E-4</v>
      </c>
      <c r="E2109" s="3">
        <f t="shared" si="67"/>
        <v>7.4474818701298524E-3</v>
      </c>
    </row>
    <row r="2110" spans="1:5" x14ac:dyDescent="0.45">
      <c r="A2110" s="2">
        <v>43650</v>
      </c>
      <c r="B2110" s="3">
        <v>39908.06</v>
      </c>
      <c r="C2110" s="3">
        <v>210.15</v>
      </c>
      <c r="D2110" s="3">
        <f t="shared" si="66"/>
        <v>1.7257012700892277E-3</v>
      </c>
      <c r="E2110" s="3">
        <f t="shared" si="67"/>
        <v>5.9658928886055724E-3</v>
      </c>
    </row>
    <row r="2111" spans="1:5" x14ac:dyDescent="0.45">
      <c r="A2111" s="2">
        <v>43651</v>
      </c>
      <c r="B2111" s="3">
        <v>39513.39</v>
      </c>
      <c r="C2111" s="3">
        <v>205.8</v>
      </c>
      <c r="D2111" s="3">
        <f t="shared" si="66"/>
        <v>-9.9387067024630672E-3</v>
      </c>
      <c r="E2111" s="3">
        <f t="shared" si="67"/>
        <v>-2.0916738051176477E-2</v>
      </c>
    </row>
    <row r="2112" spans="1:5" x14ac:dyDescent="0.45">
      <c r="A2112" s="2">
        <v>43654</v>
      </c>
      <c r="B2112" s="3">
        <v>38720.57</v>
      </c>
      <c r="C2112" s="3">
        <v>201.35</v>
      </c>
      <c r="D2112" s="3">
        <f t="shared" si="66"/>
        <v>-2.0268618431218254E-2</v>
      </c>
      <c r="E2112" s="3">
        <f t="shared" si="67"/>
        <v>-2.1860136102486123E-2</v>
      </c>
    </row>
    <row r="2113" spans="1:5" x14ac:dyDescent="0.45">
      <c r="A2113" s="2">
        <v>43655</v>
      </c>
      <c r="B2113" s="3">
        <v>38730.82</v>
      </c>
      <c r="C2113" s="3">
        <v>204.6</v>
      </c>
      <c r="D2113" s="3">
        <f t="shared" si="66"/>
        <v>2.6468214604891539E-4</v>
      </c>
      <c r="E2113" s="3">
        <f t="shared" si="67"/>
        <v>1.6012166220062851E-2</v>
      </c>
    </row>
    <row r="2114" spans="1:5" x14ac:dyDescent="0.45">
      <c r="A2114" s="2">
        <v>43656</v>
      </c>
      <c r="B2114" s="3">
        <v>38557.040000000001</v>
      </c>
      <c r="C2114" s="3">
        <v>205.25</v>
      </c>
      <c r="D2114" s="3">
        <f t="shared" si="66"/>
        <v>-4.4969622100508953E-3</v>
      </c>
      <c r="E2114" s="3">
        <f t="shared" si="67"/>
        <v>3.1718948150114934E-3</v>
      </c>
    </row>
    <row r="2115" spans="1:5" x14ac:dyDescent="0.45">
      <c r="A2115" s="2">
        <v>43657</v>
      </c>
      <c r="B2115" s="3">
        <v>38823.11</v>
      </c>
      <c r="C2115" s="3">
        <v>208.7</v>
      </c>
      <c r="D2115" s="3">
        <f t="shared" si="66"/>
        <v>6.8769845651983916E-3</v>
      </c>
      <c r="E2115" s="3">
        <f t="shared" si="67"/>
        <v>1.666906575061735E-2</v>
      </c>
    </row>
    <row r="2116" spans="1:5" x14ac:dyDescent="0.45">
      <c r="A2116" s="2">
        <v>43658</v>
      </c>
      <c r="B2116" s="3">
        <v>38736.230000000003</v>
      </c>
      <c r="C2116" s="3">
        <v>206.05</v>
      </c>
      <c r="D2116" s="3">
        <f t="shared" si="66"/>
        <v>-2.2403500684450269E-3</v>
      </c>
      <c r="E2116" s="3">
        <f t="shared" si="67"/>
        <v>-1.2778956298328623E-2</v>
      </c>
    </row>
    <row r="2117" spans="1:5" x14ac:dyDescent="0.45">
      <c r="A2117" s="2">
        <v>43661</v>
      </c>
      <c r="B2117" s="3">
        <v>38896.71</v>
      </c>
      <c r="C2117" s="3">
        <v>204.8</v>
      </c>
      <c r="D2117" s="3">
        <f t="shared" si="66"/>
        <v>4.1343334050334066E-3</v>
      </c>
      <c r="E2117" s="3">
        <f t="shared" si="67"/>
        <v>-6.0849646194736252E-3</v>
      </c>
    </row>
    <row r="2118" spans="1:5" x14ac:dyDescent="0.45">
      <c r="A2118" s="2">
        <v>43662</v>
      </c>
      <c r="B2118" s="3">
        <v>39131.040000000001</v>
      </c>
      <c r="C2118" s="3">
        <v>209</v>
      </c>
      <c r="D2118" s="3">
        <f t="shared" ref="D2118:D2181" si="68">LN(B2118/B2117)</f>
        <v>6.0063427300327101E-3</v>
      </c>
      <c r="E2118" s="3">
        <f t="shared" ref="E2118:E2181" si="69">LN(C2118/C2117)</f>
        <v>2.0300358799458285E-2</v>
      </c>
    </row>
    <row r="2119" spans="1:5" x14ac:dyDescent="0.45">
      <c r="A2119" s="2">
        <v>43663</v>
      </c>
      <c r="B2119" s="3">
        <v>39215.64</v>
      </c>
      <c r="C2119" s="3">
        <v>207.5</v>
      </c>
      <c r="D2119" s="3">
        <f t="shared" si="68"/>
        <v>2.1596328748402101E-3</v>
      </c>
      <c r="E2119" s="3">
        <f t="shared" si="69"/>
        <v>-7.2029122940579973E-3</v>
      </c>
    </row>
    <row r="2120" spans="1:5" x14ac:dyDescent="0.45">
      <c r="A2120" s="2">
        <v>43664</v>
      </c>
      <c r="B2120" s="3">
        <v>38897.46</v>
      </c>
      <c r="C2120" s="3">
        <v>205.35</v>
      </c>
      <c r="D2120" s="3">
        <f t="shared" si="68"/>
        <v>-8.1466939543323319E-3</v>
      </c>
      <c r="E2120" s="3">
        <f t="shared" si="69"/>
        <v>-1.0415499268185456E-2</v>
      </c>
    </row>
    <row r="2121" spans="1:5" x14ac:dyDescent="0.45">
      <c r="A2121" s="2">
        <v>43665</v>
      </c>
      <c r="B2121" s="3">
        <v>38337.01</v>
      </c>
      <c r="C2121" s="3">
        <v>205.9</v>
      </c>
      <c r="D2121" s="3">
        <f t="shared" si="68"/>
        <v>-1.451320472347126E-2</v>
      </c>
      <c r="E2121" s="3">
        <f t="shared" si="69"/>
        <v>2.6747736311763062E-3</v>
      </c>
    </row>
    <row r="2122" spans="1:5" x14ac:dyDescent="0.45">
      <c r="A2122" s="2">
        <v>43668</v>
      </c>
      <c r="B2122" s="3">
        <v>38031.129999999997</v>
      </c>
      <c r="C2122" s="3">
        <v>204</v>
      </c>
      <c r="D2122" s="3">
        <f t="shared" si="68"/>
        <v>-8.0107132563520273E-3</v>
      </c>
      <c r="E2122" s="3">
        <f t="shared" si="69"/>
        <v>-9.2706201895273507E-3</v>
      </c>
    </row>
    <row r="2123" spans="1:5" x14ac:dyDescent="0.45">
      <c r="A2123" s="2">
        <v>43669</v>
      </c>
      <c r="B2123" s="3">
        <v>37982.74</v>
      </c>
      <c r="C2123" s="3">
        <v>210.4</v>
      </c>
      <c r="D2123" s="3">
        <f t="shared" si="68"/>
        <v>-1.2731888676822463E-3</v>
      </c>
      <c r="E2123" s="3">
        <f t="shared" si="69"/>
        <v>3.0890487019338511E-2</v>
      </c>
    </row>
    <row r="2124" spans="1:5" x14ac:dyDescent="0.45">
      <c r="A2124" s="2">
        <v>43670</v>
      </c>
      <c r="B2124" s="3">
        <v>37847.65</v>
      </c>
      <c r="C2124" s="3">
        <v>209.75</v>
      </c>
      <c r="D2124" s="3">
        <f t="shared" si="68"/>
        <v>-3.562955245515401E-3</v>
      </c>
      <c r="E2124" s="3">
        <f t="shared" si="69"/>
        <v>-3.0941355162392705E-3</v>
      </c>
    </row>
    <row r="2125" spans="1:5" x14ac:dyDescent="0.45">
      <c r="A2125" s="2">
        <v>43671</v>
      </c>
      <c r="B2125" s="3">
        <v>37830.980000000003</v>
      </c>
      <c r="C2125" s="3">
        <v>212.8</v>
      </c>
      <c r="D2125" s="3">
        <f t="shared" si="68"/>
        <v>-4.4054709419585262E-4</v>
      </c>
      <c r="E2125" s="3">
        <f t="shared" si="69"/>
        <v>1.4436412120173858E-2</v>
      </c>
    </row>
    <row r="2126" spans="1:5" x14ac:dyDescent="0.45">
      <c r="A2126" s="2">
        <v>43672</v>
      </c>
      <c r="B2126" s="3">
        <v>37882.79</v>
      </c>
      <c r="C2126" s="3">
        <v>211.1</v>
      </c>
      <c r="D2126" s="3">
        <f t="shared" si="68"/>
        <v>1.3685755731531592E-3</v>
      </c>
      <c r="E2126" s="3">
        <f t="shared" si="69"/>
        <v>-8.0208026132144936E-3</v>
      </c>
    </row>
    <row r="2127" spans="1:5" x14ac:dyDescent="0.45">
      <c r="A2127" s="2">
        <v>43675</v>
      </c>
      <c r="B2127" s="3">
        <v>37686.370000000003</v>
      </c>
      <c r="C2127" s="3">
        <v>207.85</v>
      </c>
      <c r="D2127" s="3">
        <f t="shared" si="68"/>
        <v>-5.1984286270239533E-3</v>
      </c>
      <c r="E2127" s="3">
        <f t="shared" si="69"/>
        <v>-1.5515289155628451E-2</v>
      </c>
    </row>
    <row r="2128" spans="1:5" x14ac:dyDescent="0.45">
      <c r="A2128" s="2">
        <v>43676</v>
      </c>
      <c r="B2128" s="3">
        <v>37397.24</v>
      </c>
      <c r="C2128" s="3">
        <v>208.35</v>
      </c>
      <c r="D2128" s="3">
        <f t="shared" si="68"/>
        <v>-7.7015857157154595E-3</v>
      </c>
      <c r="E2128" s="3">
        <f t="shared" si="69"/>
        <v>2.4026921698160906E-3</v>
      </c>
    </row>
    <row r="2129" spans="1:5" x14ac:dyDescent="0.45">
      <c r="A2129" s="2">
        <v>43677</v>
      </c>
      <c r="B2129" s="3">
        <v>37481.120000000003</v>
      </c>
      <c r="C2129" s="3">
        <v>211</v>
      </c>
      <c r="D2129" s="3">
        <f t="shared" si="68"/>
        <v>2.2404346218758194E-3</v>
      </c>
      <c r="E2129" s="3">
        <f t="shared" si="69"/>
        <v>1.2638775607604118E-2</v>
      </c>
    </row>
    <row r="2130" spans="1:5" x14ac:dyDescent="0.45">
      <c r="A2130" s="2">
        <v>43678</v>
      </c>
      <c r="B2130" s="3">
        <v>37018.32</v>
      </c>
      <c r="C2130" s="3">
        <v>214.05</v>
      </c>
      <c r="D2130" s="3">
        <f t="shared" si="68"/>
        <v>-1.2424414287395135E-2</v>
      </c>
      <c r="E2130" s="3">
        <f t="shared" si="69"/>
        <v>1.4351499114888575E-2</v>
      </c>
    </row>
    <row r="2131" spans="1:5" x14ac:dyDescent="0.45">
      <c r="A2131" s="2">
        <v>43679</v>
      </c>
      <c r="B2131" s="3">
        <v>37118.22</v>
      </c>
      <c r="C2131" s="3">
        <v>210.45</v>
      </c>
      <c r="D2131" s="3">
        <f t="shared" si="68"/>
        <v>2.6950289416251428E-3</v>
      </c>
      <c r="E2131" s="3">
        <f t="shared" si="69"/>
        <v>-1.6961537374375623E-2</v>
      </c>
    </row>
    <row r="2132" spans="1:5" x14ac:dyDescent="0.45">
      <c r="A2132" s="2">
        <v>43682</v>
      </c>
      <c r="B2132" s="3">
        <v>36699.839999999997</v>
      </c>
      <c r="C2132" s="3">
        <v>201.15</v>
      </c>
      <c r="D2132" s="3">
        <f t="shared" si="68"/>
        <v>-1.1335558804034428E-2</v>
      </c>
      <c r="E2132" s="3">
        <f t="shared" si="69"/>
        <v>-4.5197196820782277E-2</v>
      </c>
    </row>
    <row r="2133" spans="1:5" x14ac:dyDescent="0.45">
      <c r="A2133" s="2">
        <v>43683</v>
      </c>
      <c r="B2133" s="3">
        <v>36976.85</v>
      </c>
      <c r="C2133" s="3">
        <v>198.1</v>
      </c>
      <c r="D2133" s="3">
        <f t="shared" si="68"/>
        <v>7.5196457738438364E-3</v>
      </c>
      <c r="E2133" s="3">
        <f t="shared" si="69"/>
        <v>-1.5278944691292009E-2</v>
      </c>
    </row>
    <row r="2134" spans="1:5" x14ac:dyDescent="0.45">
      <c r="A2134" s="2">
        <v>43684</v>
      </c>
      <c r="B2134" s="3">
        <v>36690.5</v>
      </c>
      <c r="C2134" s="3">
        <v>198.7</v>
      </c>
      <c r="D2134" s="3">
        <f t="shared" si="68"/>
        <v>-7.7741751860368078E-3</v>
      </c>
      <c r="E2134" s="3">
        <f t="shared" si="69"/>
        <v>3.0241958532657817E-3</v>
      </c>
    </row>
    <row r="2135" spans="1:5" x14ac:dyDescent="0.45">
      <c r="A2135" s="2">
        <v>43685</v>
      </c>
      <c r="B2135" s="3">
        <v>37327.360000000001</v>
      </c>
      <c r="C2135" s="3">
        <v>202.8</v>
      </c>
      <c r="D2135" s="3">
        <f t="shared" si="68"/>
        <v>1.7208703859815801E-2</v>
      </c>
      <c r="E2135" s="3">
        <f t="shared" si="69"/>
        <v>2.0424122159257152E-2</v>
      </c>
    </row>
    <row r="2136" spans="1:5" x14ac:dyDescent="0.45">
      <c r="A2136" s="2">
        <v>43686</v>
      </c>
      <c r="B2136" s="3">
        <v>37581.910000000003</v>
      </c>
      <c r="C2136" s="3">
        <v>202.05</v>
      </c>
      <c r="D2136" s="3">
        <f t="shared" si="68"/>
        <v>6.7962477750234196E-3</v>
      </c>
      <c r="E2136" s="3">
        <f t="shared" si="69"/>
        <v>-3.7050801925454626E-3</v>
      </c>
    </row>
    <row r="2137" spans="1:5" x14ac:dyDescent="0.45">
      <c r="A2137" s="2">
        <v>43690</v>
      </c>
      <c r="B2137" s="3">
        <v>36958.160000000003</v>
      </c>
      <c r="C2137" s="3">
        <v>202</v>
      </c>
      <c r="D2137" s="3">
        <f t="shared" si="68"/>
        <v>-1.6736355616185007E-2</v>
      </c>
      <c r="E2137" s="3">
        <f t="shared" si="69"/>
        <v>-2.474941232780043E-4</v>
      </c>
    </row>
    <row r="2138" spans="1:5" x14ac:dyDescent="0.45">
      <c r="A2138" s="2">
        <v>43691</v>
      </c>
      <c r="B2138" s="3">
        <v>37311.53</v>
      </c>
      <c r="C2138" s="3">
        <v>205.4</v>
      </c>
      <c r="D2138" s="3">
        <f t="shared" si="68"/>
        <v>9.515932180527811E-3</v>
      </c>
      <c r="E2138" s="3">
        <f t="shared" si="69"/>
        <v>1.6691600093253111E-2</v>
      </c>
    </row>
    <row r="2139" spans="1:5" x14ac:dyDescent="0.45">
      <c r="A2139" s="2">
        <v>43693</v>
      </c>
      <c r="B2139" s="3">
        <v>37350.33</v>
      </c>
      <c r="C2139" s="3">
        <v>211.25</v>
      </c>
      <c r="D2139" s="3">
        <f t="shared" si="68"/>
        <v>1.0393527161745436E-3</v>
      </c>
      <c r="E2139" s="3">
        <f t="shared" si="69"/>
        <v>2.8082968742825305E-2</v>
      </c>
    </row>
    <row r="2140" spans="1:5" x14ac:dyDescent="0.45">
      <c r="A2140" s="2">
        <v>43696</v>
      </c>
      <c r="B2140" s="3">
        <v>37402.49</v>
      </c>
      <c r="C2140" s="3">
        <v>207</v>
      </c>
      <c r="D2140" s="3">
        <f t="shared" si="68"/>
        <v>1.3955328632467262E-3</v>
      </c>
      <c r="E2140" s="3">
        <f t="shared" si="69"/>
        <v>-2.0323472971914169E-2</v>
      </c>
    </row>
    <row r="2141" spans="1:5" x14ac:dyDescent="0.45">
      <c r="A2141" s="2">
        <v>43697</v>
      </c>
      <c r="B2141" s="3">
        <v>37328.01</v>
      </c>
      <c r="C2141" s="3">
        <v>206.05</v>
      </c>
      <c r="D2141" s="3">
        <f t="shared" si="68"/>
        <v>-1.9932965699550839E-3</v>
      </c>
      <c r="E2141" s="3">
        <f t="shared" si="69"/>
        <v>-4.5999354805427153E-3</v>
      </c>
    </row>
    <row r="2142" spans="1:5" x14ac:dyDescent="0.45">
      <c r="A2142" s="2">
        <v>43698</v>
      </c>
      <c r="B2142" s="3">
        <v>37060.370000000003</v>
      </c>
      <c r="C2142" s="3">
        <v>204.8</v>
      </c>
      <c r="D2142" s="3">
        <f t="shared" si="68"/>
        <v>-7.1957785570383294E-3</v>
      </c>
      <c r="E2142" s="3">
        <f t="shared" si="69"/>
        <v>-6.0849646194736252E-3</v>
      </c>
    </row>
    <row r="2143" spans="1:5" x14ac:dyDescent="0.45">
      <c r="A2143" s="2">
        <v>43699</v>
      </c>
      <c r="B2143" s="3">
        <v>36472.93</v>
      </c>
      <c r="C2143" s="3">
        <v>202.8</v>
      </c>
      <c r="D2143" s="3">
        <f t="shared" si="68"/>
        <v>-1.5977863018426235E-2</v>
      </c>
      <c r="E2143" s="3">
        <f t="shared" si="69"/>
        <v>-9.813621448324622E-3</v>
      </c>
    </row>
    <row r="2144" spans="1:5" x14ac:dyDescent="0.45">
      <c r="A2144" s="2">
        <v>43700</v>
      </c>
      <c r="B2144" s="3">
        <v>36701.160000000003</v>
      </c>
      <c r="C2144" s="3">
        <v>201.4</v>
      </c>
      <c r="D2144" s="3">
        <f t="shared" si="68"/>
        <v>6.2380205914545645E-3</v>
      </c>
      <c r="E2144" s="3">
        <f t="shared" si="69"/>
        <v>-6.9272914325662141E-3</v>
      </c>
    </row>
    <row r="2145" spans="1:5" x14ac:dyDescent="0.45">
      <c r="A2145" s="2">
        <v>43703</v>
      </c>
      <c r="B2145" s="3">
        <v>37494.120000000003</v>
      </c>
      <c r="C2145" s="3">
        <v>202.95</v>
      </c>
      <c r="D2145" s="3">
        <f t="shared" si="68"/>
        <v>2.1375758491518231E-2</v>
      </c>
      <c r="E2145" s="3">
        <f t="shared" si="69"/>
        <v>7.6666630004446857E-3</v>
      </c>
    </row>
    <row r="2146" spans="1:5" x14ac:dyDescent="0.45">
      <c r="A2146" s="2">
        <v>43704</v>
      </c>
      <c r="B2146" s="3">
        <v>37641.269999999997</v>
      </c>
      <c r="C2146" s="3">
        <v>206.55</v>
      </c>
      <c r="D2146" s="3">
        <f t="shared" si="68"/>
        <v>3.9169341673957235E-3</v>
      </c>
      <c r="E2146" s="3">
        <f t="shared" si="69"/>
        <v>1.7582870557866882E-2</v>
      </c>
    </row>
    <row r="2147" spans="1:5" x14ac:dyDescent="0.45">
      <c r="A2147" s="2">
        <v>43705</v>
      </c>
      <c r="B2147" s="3">
        <v>37451.839999999997</v>
      </c>
      <c r="C2147" s="3">
        <v>205.7</v>
      </c>
      <c r="D2147" s="3">
        <f t="shared" si="68"/>
        <v>-5.0452139168380697E-3</v>
      </c>
      <c r="E2147" s="3">
        <f t="shared" si="69"/>
        <v>-4.1237171838621519E-3</v>
      </c>
    </row>
    <row r="2148" spans="1:5" x14ac:dyDescent="0.45">
      <c r="A2148" s="2">
        <v>43706</v>
      </c>
      <c r="B2148" s="3">
        <v>37068.93</v>
      </c>
      <c r="C2148" s="3">
        <v>204.9</v>
      </c>
      <c r="D2148" s="3">
        <f t="shared" si="68"/>
        <v>-1.0276688497222243E-2</v>
      </c>
      <c r="E2148" s="3">
        <f t="shared" si="69"/>
        <v>-3.8967414140573483E-3</v>
      </c>
    </row>
    <row r="2149" spans="1:5" x14ac:dyDescent="0.45">
      <c r="A2149" s="2">
        <v>43707</v>
      </c>
      <c r="B2149" s="3">
        <v>37332.79</v>
      </c>
      <c r="C2149" s="3">
        <v>200.55</v>
      </c>
      <c r="D2149" s="3">
        <f t="shared" si="68"/>
        <v>7.0928765143567609E-3</v>
      </c>
      <c r="E2149" s="3">
        <f t="shared" si="69"/>
        <v>-2.1458463028792209E-2</v>
      </c>
    </row>
    <row r="2150" spans="1:5" x14ac:dyDescent="0.45">
      <c r="A2150" s="2">
        <v>43711</v>
      </c>
      <c r="B2150" s="3">
        <v>36562.910000000003</v>
      </c>
      <c r="C2150" s="3">
        <v>196.9</v>
      </c>
      <c r="D2150" s="3">
        <f t="shared" si="68"/>
        <v>-2.0837690345235835E-2</v>
      </c>
      <c r="E2150" s="3">
        <f t="shared" si="69"/>
        <v>-1.8367606570982051E-2</v>
      </c>
    </row>
    <row r="2151" spans="1:5" x14ac:dyDescent="0.45">
      <c r="A2151" s="2">
        <v>43712</v>
      </c>
      <c r="B2151" s="3">
        <v>36724.74</v>
      </c>
      <c r="C2151" s="3">
        <v>196.85</v>
      </c>
      <c r="D2151" s="3">
        <f t="shared" si="68"/>
        <v>4.4163037844462258E-3</v>
      </c>
      <c r="E2151" s="3">
        <f t="shared" si="69"/>
        <v>-2.5396825533333296E-4</v>
      </c>
    </row>
    <row r="2152" spans="1:5" x14ac:dyDescent="0.45">
      <c r="A2152" s="2">
        <v>43713</v>
      </c>
      <c r="B2152" s="3">
        <v>36644.42</v>
      </c>
      <c r="C2152" s="3">
        <v>199.35</v>
      </c>
      <c r="D2152" s="3">
        <f t="shared" si="68"/>
        <v>-2.1894766707579107E-3</v>
      </c>
      <c r="E2152" s="3">
        <f t="shared" si="69"/>
        <v>1.2620056437617586E-2</v>
      </c>
    </row>
    <row r="2153" spans="1:5" x14ac:dyDescent="0.45">
      <c r="A2153" s="2">
        <v>43714</v>
      </c>
      <c r="B2153" s="3">
        <v>36981.769999999997</v>
      </c>
      <c r="C2153" s="3">
        <v>203.5</v>
      </c>
      <c r="D2153" s="3">
        <f t="shared" si="68"/>
        <v>9.1639228055569351E-3</v>
      </c>
      <c r="E2153" s="3">
        <f t="shared" si="69"/>
        <v>2.0603931055285709E-2</v>
      </c>
    </row>
    <row r="2154" spans="1:5" x14ac:dyDescent="0.45">
      <c r="A2154" s="2">
        <v>43717</v>
      </c>
      <c r="B2154" s="3">
        <v>37145.449999999997</v>
      </c>
      <c r="C2154" s="3">
        <v>202.8</v>
      </c>
      <c r="D2154" s="3">
        <f t="shared" si="68"/>
        <v>4.4161986924170201E-3</v>
      </c>
      <c r="E2154" s="3">
        <f t="shared" si="69"/>
        <v>-3.4457331656215758E-3</v>
      </c>
    </row>
    <row r="2155" spans="1:5" x14ac:dyDescent="0.45">
      <c r="A2155" s="2">
        <v>43719</v>
      </c>
      <c r="B2155" s="3">
        <v>37270.82</v>
      </c>
      <c r="C2155" s="3">
        <v>201.2</v>
      </c>
      <c r="D2155" s="3">
        <f t="shared" si="68"/>
        <v>3.3694276429306206E-3</v>
      </c>
      <c r="E2155" s="3">
        <f t="shared" si="69"/>
        <v>-7.9208334914441098E-3</v>
      </c>
    </row>
    <row r="2156" spans="1:5" x14ac:dyDescent="0.45">
      <c r="A2156" s="2">
        <v>43720</v>
      </c>
      <c r="B2156" s="3">
        <v>37104.28</v>
      </c>
      <c r="C2156" s="3">
        <v>199.45</v>
      </c>
      <c r="D2156" s="3">
        <f t="shared" si="68"/>
        <v>-4.4783880181188899E-3</v>
      </c>
      <c r="E2156" s="3">
        <f t="shared" si="69"/>
        <v>-8.7358598741685244E-3</v>
      </c>
    </row>
    <row r="2157" spans="1:5" x14ac:dyDescent="0.45">
      <c r="A2157" s="2">
        <v>43721</v>
      </c>
      <c r="B2157" s="3">
        <v>37384.99</v>
      </c>
      <c r="C2157" s="3">
        <v>202.65</v>
      </c>
      <c r="D2157" s="3">
        <f t="shared" si="68"/>
        <v>7.5369601239927446E-3</v>
      </c>
      <c r="E2157" s="3">
        <f t="shared" si="69"/>
        <v>1.5916774722902063E-2</v>
      </c>
    </row>
    <row r="2158" spans="1:5" x14ac:dyDescent="0.45">
      <c r="A2158" s="2">
        <v>43724</v>
      </c>
      <c r="B2158" s="3">
        <v>37123.31</v>
      </c>
      <c r="C2158" s="3">
        <v>202.05</v>
      </c>
      <c r="D2158" s="3">
        <f t="shared" si="68"/>
        <v>-7.024212763693762E-3</v>
      </c>
      <c r="E2158" s="3">
        <f t="shared" si="69"/>
        <v>-2.9651615498348669E-3</v>
      </c>
    </row>
    <row r="2159" spans="1:5" x14ac:dyDescent="0.45">
      <c r="A2159" s="2">
        <v>43725</v>
      </c>
      <c r="B2159" s="3">
        <v>36481.089999999997</v>
      </c>
      <c r="C2159" s="3">
        <v>200.4</v>
      </c>
      <c r="D2159" s="3">
        <f t="shared" si="68"/>
        <v>-1.7451030055473746E-2</v>
      </c>
      <c r="E2159" s="3">
        <f t="shared" si="69"/>
        <v>-8.1998223137729892E-3</v>
      </c>
    </row>
    <row r="2160" spans="1:5" x14ac:dyDescent="0.45">
      <c r="A2160" s="2">
        <v>43726</v>
      </c>
      <c r="B2160" s="3">
        <v>36563.879999999997</v>
      </c>
      <c r="C2160" s="3">
        <v>202.1</v>
      </c>
      <c r="D2160" s="3">
        <f t="shared" si="68"/>
        <v>2.266823723831946E-3</v>
      </c>
      <c r="E2160" s="3">
        <f t="shared" si="69"/>
        <v>8.4472551988654301E-3</v>
      </c>
    </row>
    <row r="2161" spans="1:5" x14ac:dyDescent="0.45">
      <c r="A2161" s="2">
        <v>43727</v>
      </c>
      <c r="B2161" s="3">
        <v>36093.47</v>
      </c>
      <c r="C2161" s="3">
        <v>201.15</v>
      </c>
      <c r="D2161" s="3">
        <f t="shared" si="68"/>
        <v>-1.2948905319227768E-2</v>
      </c>
      <c r="E2161" s="3">
        <f t="shared" si="69"/>
        <v>-4.7117260137780319E-3</v>
      </c>
    </row>
    <row r="2162" spans="1:5" x14ac:dyDescent="0.45">
      <c r="A2162" s="2">
        <v>43728</v>
      </c>
      <c r="B2162" s="3">
        <v>38014.620000000003</v>
      </c>
      <c r="C2162" s="3">
        <v>196.35</v>
      </c>
      <c r="D2162" s="3">
        <f t="shared" si="68"/>
        <v>5.1858860025930348E-2</v>
      </c>
      <c r="E2162" s="3">
        <f t="shared" si="69"/>
        <v>-2.4152117371778661E-2</v>
      </c>
    </row>
    <row r="2163" spans="1:5" x14ac:dyDescent="0.45">
      <c r="A2163" s="2">
        <v>43731</v>
      </c>
      <c r="B2163" s="3">
        <v>39090.03</v>
      </c>
      <c r="C2163" s="3">
        <v>188.35</v>
      </c>
      <c r="D2163" s="3">
        <f t="shared" si="68"/>
        <v>2.7896624688027213E-2</v>
      </c>
      <c r="E2163" s="3">
        <f t="shared" si="69"/>
        <v>-4.1596846885968493E-2</v>
      </c>
    </row>
    <row r="2164" spans="1:5" x14ac:dyDescent="0.45">
      <c r="A2164" s="2">
        <v>43732</v>
      </c>
      <c r="B2164" s="3">
        <v>39097.14</v>
      </c>
      <c r="C2164" s="3">
        <v>190.4</v>
      </c>
      <c r="D2164" s="3">
        <f t="shared" si="68"/>
        <v>1.8187127170872416E-4</v>
      </c>
      <c r="E2164" s="3">
        <f t="shared" si="69"/>
        <v>1.082518821921483E-2</v>
      </c>
    </row>
    <row r="2165" spans="1:5" x14ac:dyDescent="0.45">
      <c r="A2165" s="2">
        <v>43733</v>
      </c>
      <c r="B2165" s="3">
        <v>38593.519999999997</v>
      </c>
      <c r="C2165" s="3">
        <v>198.75</v>
      </c>
      <c r="D2165" s="3">
        <f t="shared" si="68"/>
        <v>-1.2964931805562926E-2</v>
      </c>
      <c r="E2165" s="3">
        <f t="shared" si="69"/>
        <v>4.2920631177176302E-2</v>
      </c>
    </row>
    <row r="2166" spans="1:5" x14ac:dyDescent="0.45">
      <c r="A2166" s="2">
        <v>43734</v>
      </c>
      <c r="B2166" s="3">
        <v>38989.74</v>
      </c>
      <c r="C2166" s="3">
        <v>199.2</v>
      </c>
      <c r="D2166" s="3">
        <f t="shared" si="68"/>
        <v>1.0214147865342483E-2</v>
      </c>
      <c r="E2166" s="3">
        <f t="shared" si="69"/>
        <v>2.2615916160566218E-3</v>
      </c>
    </row>
    <row r="2167" spans="1:5" x14ac:dyDescent="0.45">
      <c r="A2167" s="2">
        <v>43735</v>
      </c>
      <c r="B2167" s="3">
        <v>38822.57</v>
      </c>
      <c r="C2167" s="3">
        <v>198.1</v>
      </c>
      <c r="D2167" s="3">
        <f t="shared" si="68"/>
        <v>-4.2967560580718205E-3</v>
      </c>
      <c r="E2167" s="3">
        <f t="shared" si="69"/>
        <v>-5.537391445992571E-3</v>
      </c>
    </row>
    <row r="2168" spans="1:5" x14ac:dyDescent="0.45">
      <c r="A2168" s="2">
        <v>43738</v>
      </c>
      <c r="B2168" s="3">
        <v>38667.33</v>
      </c>
      <c r="C2168" s="3">
        <v>198.95</v>
      </c>
      <c r="D2168" s="3">
        <f t="shared" si="68"/>
        <v>-4.0067210741730405E-3</v>
      </c>
      <c r="E2168" s="3">
        <f t="shared" si="69"/>
        <v>4.2815831684323343E-3</v>
      </c>
    </row>
    <row r="2169" spans="1:5" x14ac:dyDescent="0.45">
      <c r="A2169" s="2">
        <v>43739</v>
      </c>
      <c r="B2169" s="3">
        <v>38305.410000000003</v>
      </c>
      <c r="C2169" s="3">
        <v>196.65</v>
      </c>
      <c r="D2169" s="3">
        <f t="shared" si="68"/>
        <v>-9.4039179885154773E-3</v>
      </c>
      <c r="E2169" s="3">
        <f t="shared" si="69"/>
        <v>-1.1628037995118986E-2</v>
      </c>
    </row>
    <row r="2170" spans="1:5" x14ac:dyDescent="0.45">
      <c r="A2170" s="2">
        <v>43741</v>
      </c>
      <c r="B2170" s="3">
        <v>38106.870000000003</v>
      </c>
      <c r="C2170" s="3">
        <v>199.05</v>
      </c>
      <c r="D2170" s="3">
        <f t="shared" si="68"/>
        <v>-5.1965586365083785E-3</v>
      </c>
      <c r="E2170" s="3">
        <f t="shared" si="69"/>
        <v>1.2130550568507628E-2</v>
      </c>
    </row>
    <row r="2171" spans="1:5" x14ac:dyDescent="0.45">
      <c r="A2171" s="2">
        <v>43742</v>
      </c>
      <c r="B2171" s="3">
        <v>37673.31</v>
      </c>
      <c r="C2171" s="3">
        <v>196.65</v>
      </c>
      <c r="D2171" s="3">
        <f t="shared" si="68"/>
        <v>-1.1442694664506365E-2</v>
      </c>
      <c r="E2171" s="3">
        <f t="shared" si="69"/>
        <v>-1.2130550568507745E-2</v>
      </c>
    </row>
    <row r="2172" spans="1:5" x14ac:dyDescent="0.45">
      <c r="A2172" s="2">
        <v>43745</v>
      </c>
      <c r="B2172" s="3">
        <v>37531.980000000003</v>
      </c>
      <c r="C2172" s="3">
        <v>196.4</v>
      </c>
      <c r="D2172" s="3">
        <f t="shared" si="68"/>
        <v>-3.7585166249392257E-3</v>
      </c>
      <c r="E2172" s="3">
        <f t="shared" si="69"/>
        <v>-1.2721029574529854E-3</v>
      </c>
    </row>
    <row r="2173" spans="1:5" x14ac:dyDescent="0.45">
      <c r="A2173" s="2">
        <v>43747</v>
      </c>
      <c r="B2173" s="3">
        <v>38177.949999999997</v>
      </c>
      <c r="C2173" s="3">
        <v>197.45</v>
      </c>
      <c r="D2173" s="3">
        <f t="shared" si="68"/>
        <v>1.7064754274026234E-2</v>
      </c>
      <c r="E2173" s="3">
        <f t="shared" si="69"/>
        <v>5.3319918122927603E-3</v>
      </c>
    </row>
    <row r="2174" spans="1:5" x14ac:dyDescent="0.45">
      <c r="A2174" s="2">
        <v>43748</v>
      </c>
      <c r="B2174" s="3">
        <v>37880.400000000001</v>
      </c>
      <c r="C2174" s="3">
        <v>199.15</v>
      </c>
      <c r="D2174" s="3">
        <f t="shared" si="68"/>
        <v>-7.8242958988619191E-3</v>
      </c>
      <c r="E2174" s="3">
        <f t="shared" si="69"/>
        <v>8.5729218949947995E-3</v>
      </c>
    </row>
    <row r="2175" spans="1:5" x14ac:dyDescent="0.45">
      <c r="A2175" s="2">
        <v>43749</v>
      </c>
      <c r="B2175" s="3">
        <v>38127.08</v>
      </c>
      <c r="C2175" s="3">
        <v>201</v>
      </c>
      <c r="D2175" s="3">
        <f t="shared" si="68"/>
        <v>6.4909628922097959E-3</v>
      </c>
      <c r="E2175" s="3">
        <f t="shared" si="69"/>
        <v>9.2465984314225314E-3</v>
      </c>
    </row>
    <row r="2176" spans="1:5" x14ac:dyDescent="0.45">
      <c r="A2176" s="2">
        <v>43752</v>
      </c>
      <c r="B2176" s="3">
        <v>38214.47</v>
      </c>
      <c r="C2176" s="3">
        <v>198.45</v>
      </c>
      <c r="D2176" s="3">
        <f t="shared" si="68"/>
        <v>2.2894488826012893E-3</v>
      </c>
      <c r="E2176" s="3">
        <f t="shared" si="69"/>
        <v>-1.2767728830001417E-2</v>
      </c>
    </row>
    <row r="2177" spans="1:5" x14ac:dyDescent="0.45">
      <c r="A2177" s="2">
        <v>43753</v>
      </c>
      <c r="B2177" s="3">
        <v>38506.089999999997</v>
      </c>
      <c r="C2177" s="3">
        <v>201.35</v>
      </c>
      <c r="D2177" s="3">
        <f t="shared" si="68"/>
        <v>7.6021709034689439E-3</v>
      </c>
      <c r="E2177" s="3">
        <f t="shared" si="69"/>
        <v>1.4507508068388774E-2</v>
      </c>
    </row>
    <row r="2178" spans="1:5" x14ac:dyDescent="0.45">
      <c r="A2178" s="2">
        <v>43754</v>
      </c>
      <c r="B2178" s="3">
        <v>38598.99</v>
      </c>
      <c r="C2178" s="3">
        <v>198.7</v>
      </c>
      <c r="D2178" s="3">
        <f t="shared" si="68"/>
        <v>2.409699722849986E-3</v>
      </c>
      <c r="E2178" s="3">
        <f t="shared" si="69"/>
        <v>-1.3248537739692014E-2</v>
      </c>
    </row>
    <row r="2179" spans="1:5" x14ac:dyDescent="0.45">
      <c r="A2179" s="2">
        <v>43755</v>
      </c>
      <c r="B2179" s="3">
        <v>39052.06</v>
      </c>
      <c r="C2179" s="3">
        <v>197.7</v>
      </c>
      <c r="D2179" s="3">
        <f t="shared" si="68"/>
        <v>1.1669517449886818E-2</v>
      </c>
      <c r="E2179" s="3">
        <f t="shared" si="69"/>
        <v>-5.0454193811999247E-3</v>
      </c>
    </row>
    <row r="2180" spans="1:5" x14ac:dyDescent="0.45">
      <c r="A2180" s="2">
        <v>43756</v>
      </c>
      <c r="B2180" s="3">
        <v>39298.379999999997</v>
      </c>
      <c r="C2180" s="3">
        <v>202.55</v>
      </c>
      <c r="D2180" s="3">
        <f t="shared" si="68"/>
        <v>6.2876688763129308E-3</v>
      </c>
      <c r="E2180" s="3">
        <f t="shared" si="69"/>
        <v>2.423603947212849E-2</v>
      </c>
    </row>
    <row r="2181" spans="1:5" x14ac:dyDescent="0.45">
      <c r="A2181" s="2">
        <v>43760</v>
      </c>
      <c r="B2181" s="3">
        <v>38963.839999999997</v>
      </c>
      <c r="C2181" s="3">
        <v>204.95</v>
      </c>
      <c r="D2181" s="3">
        <f t="shared" si="68"/>
        <v>-8.5492601058511641E-3</v>
      </c>
      <c r="E2181" s="3">
        <f t="shared" si="69"/>
        <v>1.1779277301646993E-2</v>
      </c>
    </row>
    <row r="2182" spans="1:5" x14ac:dyDescent="0.45">
      <c r="A2182" s="2">
        <v>43761</v>
      </c>
      <c r="B2182" s="3">
        <v>39058.83</v>
      </c>
      <c r="C2182" s="3">
        <v>206.25</v>
      </c>
      <c r="D2182" s="3">
        <f t="shared" ref="D2182:D2245" si="70">LN(B2182/B2181)</f>
        <v>2.4349345371604985E-3</v>
      </c>
      <c r="E2182" s="3">
        <f t="shared" ref="E2182:E2245" si="71">LN(C2182/C2181)</f>
        <v>6.3229782644437498E-3</v>
      </c>
    </row>
    <row r="2183" spans="1:5" x14ac:dyDescent="0.45">
      <c r="A2183" s="2">
        <v>43762</v>
      </c>
      <c r="B2183" s="3">
        <v>39020.39</v>
      </c>
      <c r="C2183" s="3">
        <v>204.05</v>
      </c>
      <c r="D2183" s="3">
        <f t="shared" si="70"/>
        <v>-9.8464106341466227E-4</v>
      </c>
      <c r="E2183" s="3">
        <f t="shared" si="71"/>
        <v>-1.0723963362975611E-2</v>
      </c>
    </row>
    <row r="2184" spans="1:5" x14ac:dyDescent="0.45">
      <c r="A2184" s="2">
        <v>43763</v>
      </c>
      <c r="B2184" s="3">
        <v>39058.06</v>
      </c>
      <c r="C2184" s="3">
        <v>203.05</v>
      </c>
      <c r="D2184" s="3">
        <f t="shared" si="70"/>
        <v>9.6492701693808264E-4</v>
      </c>
      <c r="E2184" s="3">
        <f t="shared" si="71"/>
        <v>-4.9128077195078673E-3</v>
      </c>
    </row>
    <row r="2185" spans="1:5" x14ac:dyDescent="0.45">
      <c r="A2185" s="2">
        <v>43765</v>
      </c>
      <c r="B2185" s="3">
        <v>39250.199999999997</v>
      </c>
      <c r="C2185" s="3">
        <v>202.45</v>
      </c>
      <c r="D2185" s="3">
        <f t="shared" si="70"/>
        <v>4.9072827204582449E-3</v>
      </c>
      <c r="E2185" s="3">
        <f t="shared" si="71"/>
        <v>-2.9593116541367696E-3</v>
      </c>
    </row>
    <row r="2186" spans="1:5" x14ac:dyDescent="0.45">
      <c r="A2186" s="2">
        <v>43767</v>
      </c>
      <c r="B2186" s="3">
        <v>39831.839999999997</v>
      </c>
      <c r="C2186" s="3">
        <v>201.15</v>
      </c>
      <c r="D2186" s="3">
        <f t="shared" si="70"/>
        <v>1.471005270411979E-2</v>
      </c>
      <c r="E2186" s="3">
        <f t="shared" si="71"/>
        <v>-6.44204408237283E-3</v>
      </c>
    </row>
    <row r="2187" spans="1:5" x14ac:dyDescent="0.45">
      <c r="A2187" s="2">
        <v>43768</v>
      </c>
      <c r="B2187" s="3">
        <v>40051.870000000003</v>
      </c>
      <c r="C2187" s="3">
        <v>199.9</v>
      </c>
      <c r="D2187" s="3">
        <f t="shared" si="70"/>
        <v>5.5087715988472417E-3</v>
      </c>
      <c r="E2187" s="3">
        <f t="shared" si="71"/>
        <v>-6.2336568894428498E-3</v>
      </c>
    </row>
    <row r="2188" spans="1:5" x14ac:dyDescent="0.45">
      <c r="A2188" s="2">
        <v>43769</v>
      </c>
      <c r="B2188" s="3">
        <v>40129.050000000003</v>
      </c>
      <c r="C2188" s="3">
        <v>198.25</v>
      </c>
      <c r="D2188" s="3">
        <f t="shared" si="70"/>
        <v>1.9251468762639065E-3</v>
      </c>
      <c r="E2188" s="3">
        <f t="shared" si="71"/>
        <v>-8.2883809913970388E-3</v>
      </c>
    </row>
    <row r="2189" spans="1:5" x14ac:dyDescent="0.45">
      <c r="A2189" s="2">
        <v>43770</v>
      </c>
      <c r="B2189" s="3">
        <v>40165.03</v>
      </c>
      <c r="C2189" s="3">
        <v>197.3</v>
      </c>
      <c r="D2189" s="3">
        <f t="shared" si="70"/>
        <v>8.9620560838891343E-4</v>
      </c>
      <c r="E2189" s="3">
        <f t="shared" si="71"/>
        <v>-4.8034474863876608E-3</v>
      </c>
    </row>
    <row r="2190" spans="1:5" x14ac:dyDescent="0.45">
      <c r="A2190" s="2">
        <v>43773</v>
      </c>
      <c r="B2190" s="3">
        <v>40301.96</v>
      </c>
      <c r="C2190" s="3">
        <v>194.7</v>
      </c>
      <c r="D2190" s="3">
        <f t="shared" si="70"/>
        <v>3.4033864612583709E-3</v>
      </c>
      <c r="E2190" s="3">
        <f t="shared" si="71"/>
        <v>-1.3265500650415762E-2</v>
      </c>
    </row>
    <row r="2191" spans="1:5" x14ac:dyDescent="0.45">
      <c r="A2191" s="2">
        <v>43774</v>
      </c>
      <c r="B2191" s="3">
        <v>40248.230000000003</v>
      </c>
      <c r="C2191" s="3">
        <v>195.45</v>
      </c>
      <c r="D2191" s="3">
        <f t="shared" si="70"/>
        <v>-1.3340752633570411E-3</v>
      </c>
      <c r="E2191" s="3">
        <f t="shared" si="71"/>
        <v>3.844679860809904E-3</v>
      </c>
    </row>
    <row r="2192" spans="1:5" x14ac:dyDescent="0.45">
      <c r="A2192" s="2">
        <v>43775</v>
      </c>
      <c r="B2192" s="3">
        <v>40469.78</v>
      </c>
      <c r="C2192" s="3">
        <v>195.1</v>
      </c>
      <c r="D2192" s="3">
        <f t="shared" si="70"/>
        <v>5.4894950051157772E-3</v>
      </c>
      <c r="E2192" s="3">
        <f t="shared" si="71"/>
        <v>-1.792344609898238E-3</v>
      </c>
    </row>
    <row r="2193" spans="1:5" x14ac:dyDescent="0.45">
      <c r="A2193" s="2">
        <v>43776</v>
      </c>
      <c r="B2193" s="3">
        <v>40653.74</v>
      </c>
      <c r="C2193" s="3">
        <v>194.15</v>
      </c>
      <c r="D2193" s="3">
        <f t="shared" si="70"/>
        <v>4.5353139342024281E-3</v>
      </c>
      <c r="E2193" s="3">
        <f t="shared" si="71"/>
        <v>-4.8811914513891396E-3</v>
      </c>
    </row>
    <row r="2194" spans="1:5" x14ac:dyDescent="0.45">
      <c r="A2194" s="2">
        <v>43777</v>
      </c>
      <c r="B2194" s="3">
        <v>40323.61</v>
      </c>
      <c r="C2194" s="3">
        <v>191.7</v>
      </c>
      <c r="D2194" s="3">
        <f t="shared" si="70"/>
        <v>-8.1536831963089865E-3</v>
      </c>
      <c r="E2194" s="3">
        <f t="shared" si="71"/>
        <v>-1.2699406126077629E-2</v>
      </c>
    </row>
    <row r="2195" spans="1:5" x14ac:dyDescent="0.45">
      <c r="A2195" s="2">
        <v>43780</v>
      </c>
      <c r="B2195" s="3">
        <v>40345.08</v>
      </c>
      <c r="C2195" s="3">
        <v>191.7</v>
      </c>
      <c r="D2195" s="3">
        <f t="shared" si="70"/>
        <v>5.3230071064614521E-4</v>
      </c>
      <c r="E2195" s="3">
        <f t="shared" si="71"/>
        <v>0</v>
      </c>
    </row>
    <row r="2196" spans="1:5" x14ac:dyDescent="0.45">
      <c r="A2196" s="2">
        <v>43782</v>
      </c>
      <c r="B2196" s="3">
        <v>40116.06</v>
      </c>
      <c r="C2196" s="3">
        <v>189.15</v>
      </c>
      <c r="D2196" s="3">
        <f t="shared" si="70"/>
        <v>-5.6927013085911072E-3</v>
      </c>
      <c r="E2196" s="3">
        <f t="shared" si="71"/>
        <v>-1.3391298972560412E-2</v>
      </c>
    </row>
    <row r="2197" spans="1:5" x14ac:dyDescent="0.45">
      <c r="A2197" s="2">
        <v>43783</v>
      </c>
      <c r="B2197" s="3">
        <v>40286.480000000003</v>
      </c>
      <c r="C2197" s="3">
        <v>188</v>
      </c>
      <c r="D2197" s="3">
        <f t="shared" si="70"/>
        <v>4.2391759069446405E-3</v>
      </c>
      <c r="E2197" s="3">
        <f t="shared" si="71"/>
        <v>-6.0983882490890286E-3</v>
      </c>
    </row>
    <row r="2198" spans="1:5" x14ac:dyDescent="0.45">
      <c r="A2198" s="2">
        <v>43784</v>
      </c>
      <c r="B2198" s="3">
        <v>40356.69</v>
      </c>
      <c r="C2198" s="3">
        <v>187.3</v>
      </c>
      <c r="D2198" s="3">
        <f t="shared" si="70"/>
        <v>1.7412514349193233E-3</v>
      </c>
      <c r="E2198" s="3">
        <f t="shared" si="71"/>
        <v>-3.7303533799063677E-3</v>
      </c>
    </row>
    <row r="2199" spans="1:5" x14ac:dyDescent="0.45">
      <c r="A2199" s="2">
        <v>43787</v>
      </c>
      <c r="B2199" s="3">
        <v>40284.19</v>
      </c>
      <c r="C2199" s="3">
        <v>190.65</v>
      </c>
      <c r="D2199" s="3">
        <f t="shared" si="70"/>
        <v>-1.7980959417507924E-3</v>
      </c>
      <c r="E2199" s="3">
        <f t="shared" si="71"/>
        <v>1.7727676853529887E-2</v>
      </c>
    </row>
    <row r="2200" spans="1:5" x14ac:dyDescent="0.45">
      <c r="A2200" s="2">
        <v>43788</v>
      </c>
      <c r="B2200" s="3">
        <v>40469.699999999997</v>
      </c>
      <c r="C2200" s="3">
        <v>195.3</v>
      </c>
      <c r="D2200" s="3">
        <f t="shared" si="70"/>
        <v>4.5944616743202301E-3</v>
      </c>
      <c r="E2200" s="3">
        <f t="shared" si="71"/>
        <v>2.4097551579060524E-2</v>
      </c>
    </row>
    <row r="2201" spans="1:5" x14ac:dyDescent="0.45">
      <c r="A2201" s="2">
        <v>43789</v>
      </c>
      <c r="B2201" s="3">
        <v>40651.64</v>
      </c>
      <c r="C2201" s="3">
        <v>196.05</v>
      </c>
      <c r="D2201" s="3">
        <f t="shared" si="70"/>
        <v>4.4856336215948651E-3</v>
      </c>
      <c r="E2201" s="3">
        <f t="shared" si="71"/>
        <v>3.8328908557073607E-3</v>
      </c>
    </row>
    <row r="2202" spans="1:5" x14ac:dyDescent="0.45">
      <c r="A2202" s="2">
        <v>43790</v>
      </c>
      <c r="B2202" s="3">
        <v>40575.17</v>
      </c>
      <c r="C2202" s="3">
        <v>195.55</v>
      </c>
      <c r="D2202" s="3">
        <f t="shared" si="70"/>
        <v>-1.8828764195451635E-3</v>
      </c>
      <c r="E2202" s="3">
        <f t="shared" si="71"/>
        <v>-2.5536275368175493E-3</v>
      </c>
    </row>
    <row r="2203" spans="1:5" x14ac:dyDescent="0.45">
      <c r="A2203" s="2">
        <v>43791</v>
      </c>
      <c r="B2203" s="3">
        <v>40359.410000000003</v>
      </c>
      <c r="C2203" s="3">
        <v>198.55</v>
      </c>
      <c r="D2203" s="3">
        <f t="shared" si="70"/>
        <v>-5.331726219440132E-3</v>
      </c>
      <c r="E2203" s="3">
        <f t="shared" si="71"/>
        <v>1.5224856375737245E-2</v>
      </c>
    </row>
    <row r="2204" spans="1:5" x14ac:dyDescent="0.45">
      <c r="A2204" s="2">
        <v>43794</v>
      </c>
      <c r="B2204" s="3">
        <v>40889.230000000003</v>
      </c>
      <c r="C2204" s="3">
        <v>198.8</v>
      </c>
      <c r="D2204" s="3">
        <f t="shared" si="70"/>
        <v>1.3042126244753665E-2</v>
      </c>
      <c r="E2204" s="3">
        <f t="shared" si="71"/>
        <v>1.2583366452130979E-3</v>
      </c>
    </row>
    <row r="2205" spans="1:5" x14ac:dyDescent="0.45">
      <c r="A2205" s="2">
        <v>43795</v>
      </c>
      <c r="B2205" s="3">
        <v>40821.300000000003</v>
      </c>
      <c r="C2205" s="3">
        <v>194.3</v>
      </c>
      <c r="D2205" s="3">
        <f t="shared" si="70"/>
        <v>-1.6626991808708247E-3</v>
      </c>
      <c r="E2205" s="3">
        <f t="shared" si="71"/>
        <v>-2.2895937839079211E-2</v>
      </c>
    </row>
    <row r="2206" spans="1:5" x14ac:dyDescent="0.45">
      <c r="A2206" s="2">
        <v>43796</v>
      </c>
      <c r="B2206" s="3">
        <v>41020.61</v>
      </c>
      <c r="C2206" s="3">
        <v>195.15</v>
      </c>
      <c r="D2206" s="3">
        <f t="shared" si="70"/>
        <v>4.8706193200520461E-3</v>
      </c>
      <c r="E2206" s="3">
        <f t="shared" si="71"/>
        <v>4.3651372432296394E-3</v>
      </c>
    </row>
    <row r="2207" spans="1:5" x14ac:dyDescent="0.45">
      <c r="A2207" s="2">
        <v>43797</v>
      </c>
      <c r="B2207" s="3">
        <v>41130.17</v>
      </c>
      <c r="C2207" s="3">
        <v>196</v>
      </c>
      <c r="D2207" s="3">
        <f t="shared" si="70"/>
        <v>2.6672921414719981E-3</v>
      </c>
      <c r="E2207" s="3">
        <f t="shared" si="71"/>
        <v>4.3461656038932773E-3</v>
      </c>
    </row>
    <row r="2208" spans="1:5" x14ac:dyDescent="0.45">
      <c r="A2208" s="2">
        <v>43798</v>
      </c>
      <c r="B2208" s="3">
        <v>40793.81</v>
      </c>
      <c r="C2208" s="3">
        <v>193.35</v>
      </c>
      <c r="D2208" s="3">
        <f t="shared" si="70"/>
        <v>-8.2115612560190454E-3</v>
      </c>
      <c r="E2208" s="3">
        <f t="shared" si="71"/>
        <v>-1.3612641177211223E-2</v>
      </c>
    </row>
    <row r="2209" spans="1:5" x14ac:dyDescent="0.45">
      <c r="A2209" s="2">
        <v>43801</v>
      </c>
      <c r="B2209" s="3">
        <v>40802.17</v>
      </c>
      <c r="C2209" s="3">
        <v>191.45</v>
      </c>
      <c r="D2209" s="3">
        <f t="shared" si="70"/>
        <v>2.0491205643352064E-4</v>
      </c>
      <c r="E2209" s="3">
        <f t="shared" si="71"/>
        <v>-9.875340130002545E-3</v>
      </c>
    </row>
    <row r="2210" spans="1:5" x14ac:dyDescent="0.45">
      <c r="A2210" s="2">
        <v>43802</v>
      </c>
      <c r="B2210" s="3">
        <v>40675.449999999997</v>
      </c>
      <c r="C2210" s="3">
        <v>189.4</v>
      </c>
      <c r="D2210" s="3">
        <f t="shared" si="70"/>
        <v>-3.1105499196830743E-3</v>
      </c>
      <c r="E2210" s="3">
        <f t="shared" si="71"/>
        <v>-1.0765497171325607E-2</v>
      </c>
    </row>
    <row r="2211" spans="1:5" x14ac:dyDescent="0.45">
      <c r="A2211" s="2">
        <v>43803</v>
      </c>
      <c r="B2211" s="3">
        <v>40850.29</v>
      </c>
      <c r="C2211" s="3">
        <v>188.4</v>
      </c>
      <c r="D2211" s="3">
        <f t="shared" si="70"/>
        <v>4.2892040734169596E-3</v>
      </c>
      <c r="E2211" s="3">
        <f t="shared" si="71"/>
        <v>-5.2938186097151634E-3</v>
      </c>
    </row>
    <row r="2212" spans="1:5" x14ac:dyDescent="0.45">
      <c r="A2212" s="2">
        <v>43804</v>
      </c>
      <c r="B2212" s="3">
        <v>40779.589999999997</v>
      </c>
      <c r="C2212" s="3">
        <v>187.15</v>
      </c>
      <c r="D2212" s="3">
        <f t="shared" si="70"/>
        <v>-1.7322092762659281E-3</v>
      </c>
      <c r="E2212" s="3">
        <f t="shared" si="71"/>
        <v>-6.6569277918246805E-3</v>
      </c>
    </row>
    <row r="2213" spans="1:5" x14ac:dyDescent="0.45">
      <c r="A2213" s="2">
        <v>43805</v>
      </c>
      <c r="B2213" s="3">
        <v>40445.15</v>
      </c>
      <c r="C2213" s="3">
        <v>186.55</v>
      </c>
      <c r="D2213" s="3">
        <f t="shared" si="70"/>
        <v>-8.2349759444508546E-3</v>
      </c>
      <c r="E2213" s="3">
        <f t="shared" si="71"/>
        <v>-3.2111346832711255E-3</v>
      </c>
    </row>
    <row r="2214" spans="1:5" x14ac:dyDescent="0.45">
      <c r="A2214" s="2">
        <v>43808</v>
      </c>
      <c r="B2214" s="3">
        <v>40487.43</v>
      </c>
      <c r="C2214" s="3">
        <v>187.7</v>
      </c>
      <c r="D2214" s="3">
        <f t="shared" si="70"/>
        <v>1.0448203639682946E-3</v>
      </c>
      <c r="E2214" s="3">
        <f t="shared" si="71"/>
        <v>6.1456439252962668E-3</v>
      </c>
    </row>
    <row r="2215" spans="1:5" x14ac:dyDescent="0.45">
      <c r="A2215" s="2">
        <v>43809</v>
      </c>
      <c r="B2215" s="3">
        <v>40239.879999999997</v>
      </c>
      <c r="C2215" s="3">
        <v>182.75</v>
      </c>
      <c r="D2215" s="3">
        <f t="shared" si="70"/>
        <v>-6.1330118875900222E-3</v>
      </c>
      <c r="E2215" s="3">
        <f t="shared" si="71"/>
        <v>-2.6725844962575188E-2</v>
      </c>
    </row>
    <row r="2216" spans="1:5" x14ac:dyDescent="0.45">
      <c r="A2216" s="2">
        <v>43810</v>
      </c>
      <c r="B2216" s="3">
        <v>40412.57</v>
      </c>
      <c r="C2216" s="3">
        <v>181.95</v>
      </c>
      <c r="D2216" s="3">
        <f t="shared" si="70"/>
        <v>4.2823315077037388E-3</v>
      </c>
      <c r="E2216" s="3">
        <f t="shared" si="71"/>
        <v>-4.3871745717191674E-3</v>
      </c>
    </row>
    <row r="2217" spans="1:5" x14ac:dyDescent="0.45">
      <c r="A2217" s="2">
        <v>43811</v>
      </c>
      <c r="B2217" s="3">
        <v>40581.71</v>
      </c>
      <c r="C2217" s="3">
        <v>184.4</v>
      </c>
      <c r="D2217" s="3">
        <f t="shared" si="70"/>
        <v>4.1765973071830158E-3</v>
      </c>
      <c r="E2217" s="3">
        <f t="shared" si="71"/>
        <v>1.3375387064324668E-2</v>
      </c>
    </row>
    <row r="2218" spans="1:5" x14ac:dyDescent="0.45">
      <c r="A2218" s="2">
        <v>43812</v>
      </c>
      <c r="B2218" s="3">
        <v>41009.71</v>
      </c>
      <c r="C2218" s="3">
        <v>185.9</v>
      </c>
      <c r="D2218" s="3">
        <f t="shared" si="70"/>
        <v>1.0491395438408073E-2</v>
      </c>
      <c r="E2218" s="3">
        <f t="shared" si="71"/>
        <v>8.1015836049049567E-3</v>
      </c>
    </row>
    <row r="2219" spans="1:5" x14ac:dyDescent="0.45">
      <c r="A2219" s="2">
        <v>43815</v>
      </c>
      <c r="B2219" s="3">
        <v>40938.720000000001</v>
      </c>
      <c r="C2219" s="3">
        <v>187.05</v>
      </c>
      <c r="D2219" s="3">
        <f t="shared" si="70"/>
        <v>-1.7325534548447135E-3</v>
      </c>
      <c r="E2219" s="3">
        <f t="shared" si="71"/>
        <v>6.1670660667569183E-3</v>
      </c>
    </row>
    <row r="2220" spans="1:5" x14ac:dyDescent="0.45">
      <c r="A2220" s="2">
        <v>43816</v>
      </c>
      <c r="B2220" s="3">
        <v>41352.17</v>
      </c>
      <c r="C2220" s="3">
        <v>188.2</v>
      </c>
      <c r="D2220" s="3">
        <f t="shared" si="70"/>
        <v>1.0048584453780249E-2</v>
      </c>
      <c r="E2220" s="3">
        <f t="shared" si="71"/>
        <v>6.1292663571239324E-3</v>
      </c>
    </row>
    <row r="2221" spans="1:5" x14ac:dyDescent="0.45">
      <c r="A2221" s="2">
        <v>43817</v>
      </c>
      <c r="B2221" s="3">
        <v>41558.57</v>
      </c>
      <c r="C2221" s="3">
        <v>187.3</v>
      </c>
      <c r="D2221" s="3">
        <f t="shared" si="70"/>
        <v>4.978858622446145E-3</v>
      </c>
      <c r="E2221" s="3">
        <f t="shared" si="71"/>
        <v>-4.7936177012362973E-3</v>
      </c>
    </row>
    <row r="2222" spans="1:5" x14ac:dyDescent="0.45">
      <c r="A2222" s="2">
        <v>43818</v>
      </c>
      <c r="B2222" s="3">
        <v>41673.919999999998</v>
      </c>
      <c r="C2222" s="3">
        <v>186.35</v>
      </c>
      <c r="D2222" s="3">
        <f t="shared" si="70"/>
        <v>2.7717559296683908E-3</v>
      </c>
      <c r="E2222" s="3">
        <f t="shared" si="71"/>
        <v>-5.0849835247755498E-3</v>
      </c>
    </row>
    <row r="2223" spans="1:5" x14ac:dyDescent="0.45">
      <c r="A2223" s="2">
        <v>43819</v>
      </c>
      <c r="B2223" s="3">
        <v>41681.54</v>
      </c>
      <c r="C2223" s="3">
        <v>186.1</v>
      </c>
      <c r="D2223" s="3">
        <f t="shared" si="70"/>
        <v>1.8283145510162151E-4</v>
      </c>
      <c r="E2223" s="3">
        <f t="shared" si="71"/>
        <v>-1.3424622770623299E-3</v>
      </c>
    </row>
    <row r="2224" spans="1:5" x14ac:dyDescent="0.45">
      <c r="A2224" s="2">
        <v>43822</v>
      </c>
      <c r="B2224" s="3">
        <v>41642.660000000003</v>
      </c>
      <c r="C2224" s="3">
        <v>185.9</v>
      </c>
      <c r="D2224" s="3">
        <f t="shared" si="70"/>
        <v>-9.3322234889089137E-4</v>
      </c>
      <c r="E2224" s="3">
        <f t="shared" si="71"/>
        <v>-1.0752689208066546E-3</v>
      </c>
    </row>
    <row r="2225" spans="1:5" x14ac:dyDescent="0.45">
      <c r="A2225" s="2">
        <v>43823</v>
      </c>
      <c r="B2225" s="3">
        <v>41461.26</v>
      </c>
      <c r="C2225" s="3">
        <v>187.25</v>
      </c>
      <c r="D2225" s="3">
        <f t="shared" si="70"/>
        <v>-4.3656253063318736E-3</v>
      </c>
      <c r="E2225" s="3">
        <f t="shared" si="71"/>
        <v>7.2357276699304739E-3</v>
      </c>
    </row>
    <row r="2226" spans="1:5" x14ac:dyDescent="0.45">
      <c r="A2226" s="2">
        <v>43825</v>
      </c>
      <c r="B2226" s="3">
        <v>41163.760000000002</v>
      </c>
      <c r="C2226" s="3">
        <v>184.8</v>
      </c>
      <c r="D2226" s="3">
        <f t="shared" si="70"/>
        <v>-7.201239664244222E-3</v>
      </c>
      <c r="E2226" s="3">
        <f t="shared" si="71"/>
        <v>-1.3170463189745008E-2</v>
      </c>
    </row>
    <row r="2227" spans="1:5" x14ac:dyDescent="0.45">
      <c r="A2227" s="2">
        <v>43826</v>
      </c>
      <c r="B2227" s="3">
        <v>41575.14</v>
      </c>
      <c r="C2227" s="3">
        <v>189.1</v>
      </c>
      <c r="D2227" s="3">
        <f t="shared" si="70"/>
        <v>9.9441348619589733E-3</v>
      </c>
      <c r="E2227" s="3">
        <f t="shared" si="71"/>
        <v>2.3001816456827865E-2</v>
      </c>
    </row>
    <row r="2228" spans="1:5" x14ac:dyDescent="0.45">
      <c r="A2228" s="2">
        <v>43829</v>
      </c>
      <c r="B2228" s="3">
        <v>41558</v>
      </c>
      <c r="C2228" s="3">
        <v>190.15</v>
      </c>
      <c r="D2228" s="3">
        <f t="shared" si="70"/>
        <v>-4.1235060393151512E-4</v>
      </c>
      <c r="E2228" s="3">
        <f t="shared" si="71"/>
        <v>5.5372587098568701E-3</v>
      </c>
    </row>
    <row r="2229" spans="1:5" x14ac:dyDescent="0.45">
      <c r="A2229" s="2">
        <v>43830</v>
      </c>
      <c r="B2229" s="3">
        <v>41253.74</v>
      </c>
      <c r="C2229" s="3">
        <v>190.2</v>
      </c>
      <c r="D2229" s="3">
        <f t="shared" si="70"/>
        <v>-7.3482665403055607E-3</v>
      </c>
      <c r="E2229" s="3">
        <f t="shared" si="71"/>
        <v>2.6291573702118113E-4</v>
      </c>
    </row>
    <row r="2230" spans="1:5" x14ac:dyDescent="0.45">
      <c r="A2230" s="2">
        <v>43831</v>
      </c>
      <c r="B2230" s="3">
        <v>41306.019999999997</v>
      </c>
      <c r="C2230" s="3">
        <v>195.45</v>
      </c>
      <c r="D2230" s="3">
        <f t="shared" si="70"/>
        <v>1.2664767191167461E-3</v>
      </c>
      <c r="E2230" s="3">
        <f t="shared" si="71"/>
        <v>2.7228442127673932E-2</v>
      </c>
    </row>
    <row r="2231" spans="1:5" x14ac:dyDescent="0.45">
      <c r="A2231" s="2">
        <v>43832</v>
      </c>
      <c r="B2231" s="3">
        <v>41626.639999999999</v>
      </c>
      <c r="C2231" s="3">
        <v>195.2</v>
      </c>
      <c r="D2231" s="3">
        <f t="shared" si="70"/>
        <v>7.7320948673718099E-3</v>
      </c>
      <c r="E2231" s="3">
        <f t="shared" si="71"/>
        <v>-1.2799182599717472E-3</v>
      </c>
    </row>
    <row r="2232" spans="1:5" x14ac:dyDescent="0.45">
      <c r="A2232" s="2">
        <v>43833</v>
      </c>
      <c r="B2232" s="3">
        <v>41464.61</v>
      </c>
      <c r="C2232" s="3">
        <v>192.95</v>
      </c>
      <c r="D2232" s="3">
        <f t="shared" si="70"/>
        <v>-3.9000545876664424E-3</v>
      </c>
      <c r="E2232" s="3">
        <f t="shared" si="71"/>
        <v>-1.1593585995364402E-2</v>
      </c>
    </row>
    <row r="2233" spans="1:5" x14ac:dyDescent="0.45">
      <c r="A2233" s="2">
        <v>43836</v>
      </c>
      <c r="B2233" s="3">
        <v>40676.629999999997</v>
      </c>
      <c r="C2233" s="3">
        <v>193.1</v>
      </c>
      <c r="D2233" s="3">
        <f t="shared" si="70"/>
        <v>-1.9186566278656874E-2</v>
      </c>
      <c r="E2233" s="3">
        <f t="shared" si="71"/>
        <v>7.7710145084100199E-4</v>
      </c>
    </row>
    <row r="2234" spans="1:5" x14ac:dyDescent="0.45">
      <c r="A2234" s="2">
        <v>43837</v>
      </c>
      <c r="B2234" s="3">
        <v>40869.47</v>
      </c>
      <c r="C2234" s="3">
        <v>191.8</v>
      </c>
      <c r="D2234" s="3">
        <f t="shared" si="70"/>
        <v>4.7296034874040336E-3</v>
      </c>
      <c r="E2234" s="3">
        <f t="shared" si="71"/>
        <v>-6.7550269851308397E-3</v>
      </c>
    </row>
    <row r="2235" spans="1:5" x14ac:dyDescent="0.45">
      <c r="A2235" s="2">
        <v>43838</v>
      </c>
      <c r="B2235" s="3">
        <v>40817.74</v>
      </c>
      <c r="C2235" s="3">
        <v>190.5</v>
      </c>
      <c r="D2235" s="3">
        <f t="shared" si="70"/>
        <v>-1.2665387131008292E-3</v>
      </c>
      <c r="E2235" s="3">
        <f t="shared" si="71"/>
        <v>-6.800967882582238E-3</v>
      </c>
    </row>
    <row r="2236" spans="1:5" x14ac:dyDescent="0.45">
      <c r="A2236" s="2">
        <v>43839</v>
      </c>
      <c r="B2236" s="3">
        <v>41452.35</v>
      </c>
      <c r="C2236" s="3">
        <v>193.05</v>
      </c>
      <c r="D2236" s="3">
        <f t="shared" si="70"/>
        <v>1.5427783955390403E-2</v>
      </c>
      <c r="E2236" s="3">
        <f t="shared" si="71"/>
        <v>1.3297028143489726E-2</v>
      </c>
    </row>
    <row r="2237" spans="1:5" x14ac:dyDescent="0.45">
      <c r="A2237" s="2">
        <v>43840</v>
      </c>
      <c r="B2237" s="3">
        <v>41599.72</v>
      </c>
      <c r="C2237" s="3">
        <v>192.35</v>
      </c>
      <c r="D2237" s="3">
        <f t="shared" si="70"/>
        <v>3.5488616880937013E-3</v>
      </c>
      <c r="E2237" s="3">
        <f t="shared" si="71"/>
        <v>-3.6325935119413439E-3</v>
      </c>
    </row>
    <row r="2238" spans="1:5" x14ac:dyDescent="0.45">
      <c r="A2238" s="2">
        <v>43843</v>
      </c>
      <c r="B2238" s="3">
        <v>41859.69</v>
      </c>
      <c r="C2238" s="3">
        <v>194.8</v>
      </c>
      <c r="D2238" s="3">
        <f t="shared" si="70"/>
        <v>6.2298748772562909E-3</v>
      </c>
      <c r="E2238" s="3">
        <f t="shared" si="71"/>
        <v>1.2656762010130749E-2</v>
      </c>
    </row>
    <row r="2239" spans="1:5" x14ac:dyDescent="0.45">
      <c r="A2239" s="2">
        <v>43844</v>
      </c>
      <c r="B2239" s="3">
        <v>41952.63</v>
      </c>
      <c r="C2239" s="3">
        <v>195.35</v>
      </c>
      <c r="D2239" s="3">
        <f t="shared" si="70"/>
        <v>2.2178132784126982E-3</v>
      </c>
      <c r="E2239" s="3">
        <f t="shared" si="71"/>
        <v>2.8194302926446931E-3</v>
      </c>
    </row>
    <row r="2240" spans="1:5" x14ac:dyDescent="0.45">
      <c r="A2240" s="2">
        <v>43845</v>
      </c>
      <c r="B2240" s="3">
        <v>41872.730000000003</v>
      </c>
      <c r="C2240" s="3">
        <v>194.5</v>
      </c>
      <c r="D2240" s="3">
        <f t="shared" si="70"/>
        <v>-1.9063449103560257E-3</v>
      </c>
      <c r="E2240" s="3">
        <f t="shared" si="71"/>
        <v>-4.3606584425785553E-3</v>
      </c>
    </row>
    <row r="2241" spans="1:5" x14ac:dyDescent="0.45">
      <c r="A2241" s="2">
        <v>43846</v>
      </c>
      <c r="B2241" s="3">
        <v>41932.559999999998</v>
      </c>
      <c r="C2241" s="3">
        <v>196.4</v>
      </c>
      <c r="D2241" s="3">
        <f t="shared" si="70"/>
        <v>1.4278337361439274E-3</v>
      </c>
      <c r="E2241" s="3">
        <f t="shared" si="71"/>
        <v>9.7212328618646038E-3</v>
      </c>
    </row>
    <row r="2242" spans="1:5" x14ac:dyDescent="0.45">
      <c r="A2242" s="2">
        <v>43847</v>
      </c>
      <c r="B2242" s="3">
        <v>41945.37</v>
      </c>
      <c r="C2242" s="3">
        <v>197.4</v>
      </c>
      <c r="D2242" s="3">
        <f t="shared" si="70"/>
        <v>3.0544387777805496E-4</v>
      </c>
      <c r="E2242" s="3">
        <f t="shared" si="71"/>
        <v>5.0787310790157206E-3</v>
      </c>
    </row>
    <row r="2243" spans="1:5" x14ac:dyDescent="0.45">
      <c r="A2243" s="2">
        <v>43850</v>
      </c>
      <c r="B2243" s="3">
        <v>41528.910000000003</v>
      </c>
      <c r="C2243" s="3">
        <v>204.8</v>
      </c>
      <c r="D2243" s="3">
        <f t="shared" si="70"/>
        <v>-9.9782461235083317E-3</v>
      </c>
      <c r="E2243" s="3">
        <f t="shared" si="71"/>
        <v>3.6801766165971576E-2</v>
      </c>
    </row>
    <row r="2244" spans="1:5" x14ac:dyDescent="0.45">
      <c r="A2244" s="2">
        <v>43851</v>
      </c>
      <c r="B2244" s="3">
        <v>41323.81</v>
      </c>
      <c r="C2244" s="3">
        <v>200.5</v>
      </c>
      <c r="D2244" s="3">
        <f t="shared" si="70"/>
        <v>-4.9509640468420697E-3</v>
      </c>
      <c r="E2244" s="3">
        <f t="shared" si="71"/>
        <v>-2.1219646418728842E-2</v>
      </c>
    </row>
    <row r="2245" spans="1:5" x14ac:dyDescent="0.45">
      <c r="A2245" s="2">
        <v>43852</v>
      </c>
      <c r="B2245" s="3">
        <v>41115.379999999997</v>
      </c>
      <c r="C2245" s="3">
        <v>199.55</v>
      </c>
      <c r="D2245" s="3">
        <f t="shared" si="70"/>
        <v>-5.056586415106307E-3</v>
      </c>
      <c r="E2245" s="3">
        <f t="shared" si="71"/>
        <v>-4.7494152518809179E-3</v>
      </c>
    </row>
    <row r="2246" spans="1:5" x14ac:dyDescent="0.45">
      <c r="A2246" s="2">
        <v>43853</v>
      </c>
      <c r="B2246" s="3">
        <v>41386.400000000001</v>
      </c>
      <c r="C2246" s="3">
        <v>201.25</v>
      </c>
      <c r="D2246" s="3">
        <f t="shared" ref="D2246:D2309" si="72">LN(B2246/B2245)</f>
        <v>6.5700636979582946E-3</v>
      </c>
      <c r="E2246" s="3">
        <f t="shared" ref="E2246:E2309" si="73">LN(C2246/C2245)</f>
        <v>8.4830848039297753E-3</v>
      </c>
    </row>
    <row r="2247" spans="1:5" x14ac:dyDescent="0.45">
      <c r="A2247" s="2">
        <v>43854</v>
      </c>
      <c r="B2247" s="3">
        <v>41613.19</v>
      </c>
      <c r="C2247" s="3">
        <v>196.95</v>
      </c>
      <c r="D2247" s="3">
        <f t="shared" si="72"/>
        <v>5.464859872621932E-3</v>
      </c>
      <c r="E2247" s="3">
        <f t="shared" si="73"/>
        <v>-2.1598026881757982E-2</v>
      </c>
    </row>
    <row r="2248" spans="1:5" x14ac:dyDescent="0.45">
      <c r="A2248" s="2">
        <v>43857</v>
      </c>
      <c r="B2248" s="3">
        <v>41155.120000000003</v>
      </c>
      <c r="C2248" s="3">
        <v>192.9</v>
      </c>
      <c r="D2248" s="3">
        <f t="shared" si="72"/>
        <v>-1.1068842093238456E-2</v>
      </c>
      <c r="E2248" s="3">
        <f t="shared" si="73"/>
        <v>-2.0777969505231361E-2</v>
      </c>
    </row>
    <row r="2249" spans="1:5" x14ac:dyDescent="0.45">
      <c r="A2249" s="2">
        <v>43858</v>
      </c>
      <c r="B2249" s="3">
        <v>40966.86</v>
      </c>
      <c r="C2249" s="3">
        <v>190.45</v>
      </c>
      <c r="D2249" s="3">
        <f t="shared" si="72"/>
        <v>-4.5848950497409469E-3</v>
      </c>
      <c r="E2249" s="3">
        <f t="shared" si="73"/>
        <v>-1.2782226987070405E-2</v>
      </c>
    </row>
    <row r="2250" spans="1:5" x14ac:dyDescent="0.45">
      <c r="A2250" s="2">
        <v>43859</v>
      </c>
      <c r="B2250" s="3">
        <v>41198.660000000003</v>
      </c>
      <c r="C2250" s="3">
        <v>192.35</v>
      </c>
      <c r="D2250" s="3">
        <f t="shared" si="72"/>
        <v>5.6422843779960798E-3</v>
      </c>
      <c r="E2250" s="3">
        <f t="shared" si="73"/>
        <v>9.9269362736911764E-3</v>
      </c>
    </row>
    <row r="2251" spans="1:5" x14ac:dyDescent="0.45">
      <c r="A2251" s="2">
        <v>43860</v>
      </c>
      <c r="B2251" s="3">
        <v>40913.82</v>
      </c>
      <c r="C2251" s="3">
        <v>194.4</v>
      </c>
      <c r="D2251" s="3">
        <f t="shared" si="72"/>
        <v>-6.9378282698807064E-3</v>
      </c>
      <c r="E2251" s="3">
        <f t="shared" si="73"/>
        <v>1.0601262828034681E-2</v>
      </c>
    </row>
    <row r="2252" spans="1:5" x14ac:dyDescent="0.45">
      <c r="A2252" s="2">
        <v>43861</v>
      </c>
      <c r="B2252" s="3">
        <v>40723.49</v>
      </c>
      <c r="C2252" s="3">
        <v>186.9</v>
      </c>
      <c r="D2252" s="3">
        <f t="shared" si="72"/>
        <v>-4.6628274460654845E-3</v>
      </c>
      <c r="E2252" s="3">
        <f t="shared" si="73"/>
        <v>-3.9344177564821496E-2</v>
      </c>
    </row>
    <row r="2253" spans="1:5" x14ac:dyDescent="0.45">
      <c r="A2253" s="2">
        <v>43862</v>
      </c>
      <c r="B2253" s="3">
        <v>39735.53</v>
      </c>
      <c r="C2253" s="3">
        <v>182.6</v>
      </c>
      <c r="D2253" s="3">
        <f t="shared" si="72"/>
        <v>-2.4559326168897572E-2</v>
      </c>
      <c r="E2253" s="3">
        <f t="shared" si="73"/>
        <v>-2.3275746300649148E-2</v>
      </c>
    </row>
    <row r="2254" spans="1:5" x14ac:dyDescent="0.45">
      <c r="A2254" s="2">
        <v>43864</v>
      </c>
      <c r="B2254" s="3">
        <v>39872.31</v>
      </c>
      <c r="C2254" s="3">
        <v>187.7</v>
      </c>
      <c r="D2254" s="3">
        <f t="shared" si="72"/>
        <v>3.4363483445117539E-3</v>
      </c>
      <c r="E2254" s="3">
        <f t="shared" si="73"/>
        <v>2.7546975431594907E-2</v>
      </c>
    </row>
    <row r="2255" spans="1:5" x14ac:dyDescent="0.45">
      <c r="A2255" s="2">
        <v>43865</v>
      </c>
      <c r="B2255" s="3">
        <v>40789.379999999997</v>
      </c>
      <c r="C2255" s="3">
        <v>194.3</v>
      </c>
      <c r="D2255" s="3">
        <f t="shared" si="72"/>
        <v>2.2739655395696969E-2</v>
      </c>
      <c r="E2255" s="3">
        <f t="shared" si="73"/>
        <v>3.4558412790931477E-2</v>
      </c>
    </row>
    <row r="2256" spans="1:5" x14ac:dyDescent="0.45">
      <c r="A2256" s="2">
        <v>43866</v>
      </c>
      <c r="B2256" s="3">
        <v>41142.660000000003</v>
      </c>
      <c r="C2256" s="3">
        <v>189.55</v>
      </c>
      <c r="D2256" s="3">
        <f t="shared" si="72"/>
        <v>8.6237859924106364E-3</v>
      </c>
      <c r="E2256" s="3">
        <f t="shared" si="73"/>
        <v>-2.4750514421050591E-2</v>
      </c>
    </row>
    <row r="2257" spans="1:5" x14ac:dyDescent="0.45">
      <c r="A2257" s="2">
        <v>43867</v>
      </c>
      <c r="B2257" s="3">
        <v>41306.03</v>
      </c>
      <c r="C2257" s="3">
        <v>193</v>
      </c>
      <c r="D2257" s="3">
        <f t="shared" si="72"/>
        <v>3.962954749446506E-3</v>
      </c>
      <c r="E2257" s="3">
        <f t="shared" si="73"/>
        <v>1.8037346942541679E-2</v>
      </c>
    </row>
    <row r="2258" spans="1:5" x14ac:dyDescent="0.45">
      <c r="A2258" s="2">
        <v>43868</v>
      </c>
      <c r="B2258" s="3">
        <v>41141.85</v>
      </c>
      <c r="C2258" s="3">
        <v>190.45</v>
      </c>
      <c r="D2258" s="3">
        <f t="shared" si="72"/>
        <v>-3.9826425375862114E-3</v>
      </c>
      <c r="E2258" s="3">
        <f t="shared" si="73"/>
        <v>-1.3300495980272619E-2</v>
      </c>
    </row>
    <row r="2259" spans="1:5" x14ac:dyDescent="0.45">
      <c r="A2259" s="2">
        <v>43871</v>
      </c>
      <c r="B2259" s="3">
        <v>40979.620000000003</v>
      </c>
      <c r="C2259" s="3">
        <v>186.65</v>
      </c>
      <c r="D2259" s="3">
        <f t="shared" si="72"/>
        <v>-3.9509816625931064E-3</v>
      </c>
      <c r="E2259" s="3">
        <f t="shared" si="73"/>
        <v>-2.0154487564020059E-2</v>
      </c>
    </row>
    <row r="2260" spans="1:5" x14ac:dyDescent="0.45">
      <c r="A2260" s="2">
        <v>43872</v>
      </c>
      <c r="B2260" s="3">
        <v>41216.14</v>
      </c>
      <c r="C2260" s="3">
        <v>189.5</v>
      </c>
      <c r="D2260" s="3">
        <f t="shared" si="72"/>
        <v>5.7550572634968008E-3</v>
      </c>
      <c r="E2260" s="3">
        <f t="shared" si="73"/>
        <v>1.5153819161888264E-2</v>
      </c>
    </row>
    <row r="2261" spans="1:5" x14ac:dyDescent="0.45">
      <c r="A2261" s="2">
        <v>43873</v>
      </c>
      <c r="B2261" s="3">
        <v>41565.9</v>
      </c>
      <c r="C2261" s="3">
        <v>189.35</v>
      </c>
      <c r="D2261" s="3">
        <f t="shared" si="72"/>
        <v>8.4501923662947086E-3</v>
      </c>
      <c r="E2261" s="3">
        <f t="shared" si="73"/>
        <v>-7.9187017467718295E-4</v>
      </c>
    </row>
    <row r="2262" spans="1:5" x14ac:dyDescent="0.45">
      <c r="A2262" s="2">
        <v>43874</v>
      </c>
      <c r="B2262" s="3">
        <v>41459.79</v>
      </c>
      <c r="C2262" s="3">
        <v>190.35</v>
      </c>
      <c r="D2262" s="3">
        <f t="shared" si="72"/>
        <v>-2.5560777097489015E-3</v>
      </c>
      <c r="E2262" s="3">
        <f t="shared" si="73"/>
        <v>5.2673284807025289E-3</v>
      </c>
    </row>
    <row r="2263" spans="1:5" x14ac:dyDescent="0.45">
      <c r="A2263" s="2">
        <v>43875</v>
      </c>
      <c r="B2263" s="3">
        <v>41257.74</v>
      </c>
      <c r="C2263" s="3">
        <v>184.15</v>
      </c>
      <c r="D2263" s="3">
        <f t="shared" si="72"/>
        <v>-4.885310328970079E-3</v>
      </c>
      <c r="E2263" s="3">
        <f t="shared" si="73"/>
        <v>-3.3113839937431951E-2</v>
      </c>
    </row>
    <row r="2264" spans="1:5" x14ac:dyDescent="0.45">
      <c r="A2264" s="2">
        <v>43878</v>
      </c>
      <c r="B2264" s="3">
        <v>41055.69</v>
      </c>
      <c r="C2264" s="3">
        <v>183.5</v>
      </c>
      <c r="D2264" s="3">
        <f t="shared" si="72"/>
        <v>-4.909293800615739E-3</v>
      </c>
      <c r="E2264" s="3">
        <f t="shared" si="73"/>
        <v>-3.5359753964493306E-3</v>
      </c>
    </row>
    <row r="2265" spans="1:5" x14ac:dyDescent="0.45">
      <c r="A2265" s="2">
        <v>43879</v>
      </c>
      <c r="B2265" s="3">
        <v>40894.379999999997</v>
      </c>
      <c r="C2265" s="3">
        <v>185</v>
      </c>
      <c r="D2265" s="3">
        <f t="shared" si="72"/>
        <v>-3.9367924477993702E-3</v>
      </c>
      <c r="E2265" s="3">
        <f t="shared" si="73"/>
        <v>8.1411575836998658E-3</v>
      </c>
    </row>
    <row r="2266" spans="1:5" x14ac:dyDescent="0.45">
      <c r="A2266" s="2">
        <v>43880</v>
      </c>
      <c r="B2266" s="3">
        <v>41323</v>
      </c>
      <c r="C2266" s="3">
        <v>187.45</v>
      </c>
      <c r="D2266" s="3">
        <f t="shared" si="72"/>
        <v>1.0426600387307441E-2</v>
      </c>
      <c r="E2266" s="3">
        <f t="shared" si="73"/>
        <v>1.3156318103596189E-2</v>
      </c>
    </row>
    <row r="2267" spans="1:5" x14ac:dyDescent="0.45">
      <c r="A2267" s="2">
        <v>43881</v>
      </c>
      <c r="B2267" s="3">
        <v>41170.120000000003</v>
      </c>
      <c r="C2267" s="3">
        <v>189.35</v>
      </c>
      <c r="D2267" s="3">
        <f t="shared" si="72"/>
        <v>-3.7064951604068985E-3</v>
      </c>
      <c r="E2267" s="3">
        <f t="shared" si="73"/>
        <v>1.0085011165882745E-2</v>
      </c>
    </row>
    <row r="2268" spans="1:5" x14ac:dyDescent="0.45">
      <c r="A2268" s="2">
        <v>43885</v>
      </c>
      <c r="B2268" s="3">
        <v>40363.230000000003</v>
      </c>
      <c r="C2268" s="3">
        <v>186.55</v>
      </c>
      <c r="D2268" s="3">
        <f t="shared" si="72"/>
        <v>-1.979352850570253E-2</v>
      </c>
      <c r="E2268" s="3">
        <f t="shared" si="73"/>
        <v>-1.4897854680636946E-2</v>
      </c>
    </row>
    <row r="2269" spans="1:5" x14ac:dyDescent="0.45">
      <c r="A2269" s="2">
        <v>43886</v>
      </c>
      <c r="B2269" s="3">
        <v>40281.199999999997</v>
      </c>
      <c r="C2269" s="3">
        <v>186.25</v>
      </c>
      <c r="D2269" s="3">
        <f t="shared" si="72"/>
        <v>-2.034363149222181E-3</v>
      </c>
      <c r="E2269" s="3">
        <f t="shared" si="73"/>
        <v>-1.6094424074979843E-3</v>
      </c>
    </row>
    <row r="2270" spans="1:5" x14ac:dyDescent="0.45">
      <c r="A2270" s="2">
        <v>43887</v>
      </c>
      <c r="B2270" s="3">
        <v>39888.959999999999</v>
      </c>
      <c r="C2270" s="3">
        <v>186.1</v>
      </c>
      <c r="D2270" s="3">
        <f t="shared" si="72"/>
        <v>-9.7852649861108754E-3</v>
      </c>
      <c r="E2270" s="3">
        <f t="shared" si="73"/>
        <v>-8.0569361146387575E-4</v>
      </c>
    </row>
    <row r="2271" spans="1:5" x14ac:dyDescent="0.45">
      <c r="A2271" s="2">
        <v>43888</v>
      </c>
      <c r="B2271" s="3">
        <v>39745.660000000003</v>
      </c>
      <c r="C2271" s="3">
        <v>187.15</v>
      </c>
      <c r="D2271" s="3">
        <f t="shared" si="72"/>
        <v>-3.5989411307025291E-3</v>
      </c>
      <c r="E2271" s="3">
        <f t="shared" si="73"/>
        <v>5.6262707022329177E-3</v>
      </c>
    </row>
    <row r="2272" spans="1:5" x14ac:dyDescent="0.45">
      <c r="A2272" s="2">
        <v>43889</v>
      </c>
      <c r="B2272" s="3">
        <v>38297.29</v>
      </c>
      <c r="C2272" s="3">
        <v>181.5</v>
      </c>
      <c r="D2272" s="3">
        <f t="shared" si="72"/>
        <v>-3.7121516246536618E-2</v>
      </c>
      <c r="E2272" s="3">
        <f t="shared" si="73"/>
        <v>-3.065478064553253E-2</v>
      </c>
    </row>
    <row r="2273" spans="1:5" x14ac:dyDescent="0.45">
      <c r="A2273" s="2">
        <v>43892</v>
      </c>
      <c r="B2273" s="3">
        <v>38144.019999999997</v>
      </c>
      <c r="C2273" s="3">
        <v>184.05</v>
      </c>
      <c r="D2273" s="3">
        <f t="shared" si="72"/>
        <v>-4.0101407314301948E-3</v>
      </c>
      <c r="E2273" s="3">
        <f t="shared" si="73"/>
        <v>1.3951806120124685E-2</v>
      </c>
    </row>
    <row r="2274" spans="1:5" x14ac:dyDescent="0.45">
      <c r="A2274" s="2">
        <v>43893</v>
      </c>
      <c r="B2274" s="3">
        <v>38623.699999999997</v>
      </c>
      <c r="C2274" s="3">
        <v>192.65</v>
      </c>
      <c r="D2274" s="3">
        <f t="shared" si="72"/>
        <v>1.2497081921966484E-2</v>
      </c>
      <c r="E2274" s="3">
        <f t="shared" si="73"/>
        <v>4.5667611247136385E-2</v>
      </c>
    </row>
    <row r="2275" spans="1:5" x14ac:dyDescent="0.45">
      <c r="A2275" s="2">
        <v>43894</v>
      </c>
      <c r="B2275" s="3">
        <v>38409.480000000003</v>
      </c>
      <c r="C2275" s="3">
        <v>197.1</v>
      </c>
      <c r="D2275" s="3">
        <f t="shared" si="72"/>
        <v>-5.5617735685095284E-3</v>
      </c>
      <c r="E2275" s="3">
        <f t="shared" si="73"/>
        <v>2.283614308650796E-2</v>
      </c>
    </row>
    <row r="2276" spans="1:5" x14ac:dyDescent="0.45">
      <c r="A2276" s="2">
        <v>43895</v>
      </c>
      <c r="B2276" s="3">
        <v>38470.61</v>
      </c>
      <c r="C2276" s="3">
        <v>196</v>
      </c>
      <c r="D2276" s="3">
        <f t="shared" si="72"/>
        <v>1.5902690249950137E-3</v>
      </c>
      <c r="E2276" s="3">
        <f t="shared" si="73"/>
        <v>-5.5965549281572343E-3</v>
      </c>
    </row>
    <row r="2277" spans="1:5" x14ac:dyDescent="0.45">
      <c r="A2277" s="2">
        <v>43896</v>
      </c>
      <c r="B2277" s="3">
        <v>37576.620000000003</v>
      </c>
      <c r="C2277" s="3">
        <v>190.65</v>
      </c>
      <c r="D2277" s="3">
        <f t="shared" si="72"/>
        <v>-2.3512524667936702E-2</v>
      </c>
      <c r="E2277" s="3">
        <f t="shared" si="73"/>
        <v>-2.7675372926944448E-2</v>
      </c>
    </row>
    <row r="2278" spans="1:5" x14ac:dyDescent="0.45">
      <c r="A2278" s="2">
        <v>43899</v>
      </c>
      <c r="B2278" s="3">
        <v>35634.949999999997</v>
      </c>
      <c r="C2278" s="3">
        <v>181</v>
      </c>
      <c r="D2278" s="3">
        <f t="shared" si="72"/>
        <v>-5.3055150644186935E-2</v>
      </c>
      <c r="E2278" s="3">
        <f t="shared" si="73"/>
        <v>-5.1942255037747041E-2</v>
      </c>
    </row>
    <row r="2279" spans="1:5" x14ac:dyDescent="0.45">
      <c r="A2279" s="2">
        <v>43901</v>
      </c>
      <c r="B2279" s="3">
        <v>35697.4</v>
      </c>
      <c r="C2279" s="3">
        <v>181.5</v>
      </c>
      <c r="D2279" s="3">
        <f t="shared" si="72"/>
        <v>1.7509591638363855E-3</v>
      </c>
      <c r="E2279" s="3">
        <f t="shared" si="73"/>
        <v>2.7586224390796607E-3</v>
      </c>
    </row>
    <row r="2280" spans="1:5" x14ac:dyDescent="0.45">
      <c r="A2280" s="2">
        <v>43902</v>
      </c>
      <c r="B2280" s="3">
        <v>32778.14</v>
      </c>
      <c r="C2280" s="3">
        <v>165.85</v>
      </c>
      <c r="D2280" s="3">
        <f t="shared" si="72"/>
        <v>-8.5316027211772852E-2</v>
      </c>
      <c r="E2280" s="3">
        <f t="shared" si="73"/>
        <v>-9.0171888311844112E-2</v>
      </c>
    </row>
    <row r="2281" spans="1:5" x14ac:dyDescent="0.45">
      <c r="A2281" s="2">
        <v>43903</v>
      </c>
      <c r="B2281" s="3">
        <v>34103.480000000003</v>
      </c>
      <c r="C2281" s="3">
        <v>167.95</v>
      </c>
      <c r="D2281" s="3">
        <f t="shared" si="72"/>
        <v>3.9637602078365669E-2</v>
      </c>
      <c r="E2281" s="3">
        <f t="shared" si="73"/>
        <v>1.2582550665240342E-2</v>
      </c>
    </row>
    <row r="2282" spans="1:5" x14ac:dyDescent="0.45">
      <c r="A2282" s="2">
        <v>43906</v>
      </c>
      <c r="B2282" s="3">
        <v>31390.07</v>
      </c>
      <c r="C2282" s="3">
        <v>158.15</v>
      </c>
      <c r="D2282" s="3">
        <f t="shared" si="72"/>
        <v>-8.2907831007430724E-2</v>
      </c>
      <c r="E2282" s="3">
        <f t="shared" si="73"/>
        <v>-6.0122366306643853E-2</v>
      </c>
    </row>
    <row r="2283" spans="1:5" x14ac:dyDescent="0.45">
      <c r="A2283" s="2">
        <v>43907</v>
      </c>
      <c r="B2283" s="3">
        <v>30579.09</v>
      </c>
      <c r="C2283" s="3">
        <v>162.15</v>
      </c>
      <c r="D2283" s="3">
        <f t="shared" si="72"/>
        <v>-2.6175158814567435E-2</v>
      </c>
      <c r="E2283" s="3">
        <f t="shared" si="73"/>
        <v>2.4977883001669043E-2</v>
      </c>
    </row>
    <row r="2284" spans="1:5" x14ac:dyDescent="0.45">
      <c r="A2284" s="2">
        <v>43908</v>
      </c>
      <c r="B2284" s="3">
        <v>28869.51</v>
      </c>
      <c r="C2284" s="3">
        <v>143.85</v>
      </c>
      <c r="D2284" s="3">
        <f t="shared" si="72"/>
        <v>-5.7530421151512801E-2</v>
      </c>
      <c r="E2284" s="3">
        <f t="shared" si="73"/>
        <v>-0.11975074275577015</v>
      </c>
    </row>
    <row r="2285" spans="1:5" x14ac:dyDescent="0.45">
      <c r="A2285" s="2">
        <v>43909</v>
      </c>
      <c r="B2285" s="3">
        <v>28288.23</v>
      </c>
      <c r="C2285" s="3">
        <v>147.30000000000001</v>
      </c>
      <c r="D2285" s="3">
        <f t="shared" si="72"/>
        <v>-2.0340203816564647E-2</v>
      </c>
      <c r="E2285" s="3">
        <f t="shared" si="73"/>
        <v>2.3700233471027749E-2</v>
      </c>
    </row>
    <row r="2286" spans="1:5" x14ac:dyDescent="0.45">
      <c r="A2286" s="2">
        <v>43910</v>
      </c>
      <c r="B2286" s="3">
        <v>29915.96</v>
      </c>
      <c r="C2286" s="3">
        <v>157.5</v>
      </c>
      <c r="D2286" s="3">
        <f t="shared" si="72"/>
        <v>5.5946300173089936E-2</v>
      </c>
      <c r="E2286" s="3">
        <f t="shared" si="73"/>
        <v>6.695413479710316E-2</v>
      </c>
    </row>
    <row r="2287" spans="1:5" x14ac:dyDescent="0.45">
      <c r="A2287" s="2">
        <v>43913</v>
      </c>
      <c r="B2287" s="3">
        <v>25981.24</v>
      </c>
      <c r="C2287" s="3">
        <v>152.80000000000001</v>
      </c>
      <c r="D2287" s="3">
        <f t="shared" si="72"/>
        <v>-0.14101737812559303</v>
      </c>
      <c r="E2287" s="3">
        <f t="shared" si="73"/>
        <v>-3.0295581533267571E-2</v>
      </c>
    </row>
    <row r="2288" spans="1:5" x14ac:dyDescent="0.45">
      <c r="A2288" s="2">
        <v>43914</v>
      </c>
      <c r="B2288" s="3">
        <v>26674.03</v>
      </c>
      <c r="C2288" s="3">
        <v>147.1</v>
      </c>
      <c r="D2288" s="3">
        <f t="shared" si="72"/>
        <v>2.6315693764495499E-2</v>
      </c>
      <c r="E2288" s="3">
        <f t="shared" si="73"/>
        <v>-3.80172491250284E-2</v>
      </c>
    </row>
    <row r="2289" spans="1:5" x14ac:dyDescent="0.45">
      <c r="A2289" s="2">
        <v>43915</v>
      </c>
      <c r="B2289" s="3">
        <v>28535.78</v>
      </c>
      <c r="C2289" s="3">
        <v>150.15</v>
      </c>
      <c r="D2289" s="3">
        <f t="shared" si="72"/>
        <v>6.7468305576736901E-2</v>
      </c>
      <c r="E2289" s="3">
        <f t="shared" si="73"/>
        <v>2.0522166821947616E-2</v>
      </c>
    </row>
    <row r="2290" spans="1:5" x14ac:dyDescent="0.45">
      <c r="A2290" s="2">
        <v>43916</v>
      </c>
      <c r="B2290" s="3">
        <v>29946.77</v>
      </c>
      <c r="C2290" s="3">
        <v>158.65</v>
      </c>
      <c r="D2290" s="3">
        <f t="shared" si="72"/>
        <v>4.8262733867914305E-2</v>
      </c>
      <c r="E2290" s="3">
        <f t="shared" si="73"/>
        <v>5.506572359986537E-2</v>
      </c>
    </row>
    <row r="2291" spans="1:5" x14ac:dyDescent="0.45">
      <c r="A2291" s="2">
        <v>43917</v>
      </c>
      <c r="B2291" s="3">
        <v>29815.59</v>
      </c>
      <c r="C2291" s="3">
        <v>160.05000000000001</v>
      </c>
      <c r="D2291" s="3">
        <f t="shared" si="72"/>
        <v>-4.390061258691483E-3</v>
      </c>
      <c r="E2291" s="3">
        <f t="shared" si="73"/>
        <v>8.7857483866674319E-3</v>
      </c>
    </row>
    <row r="2292" spans="1:5" x14ac:dyDescent="0.45">
      <c r="A2292" s="2">
        <v>43920</v>
      </c>
      <c r="B2292" s="3">
        <v>28440.32</v>
      </c>
      <c r="C2292" s="3">
        <v>155.69999999999999</v>
      </c>
      <c r="D2292" s="3">
        <f t="shared" si="72"/>
        <v>-4.7223554446413393E-2</v>
      </c>
      <c r="E2292" s="3">
        <f t="shared" si="73"/>
        <v>-2.7555187575919588E-2</v>
      </c>
    </row>
    <row r="2293" spans="1:5" x14ac:dyDescent="0.45">
      <c r="A2293" s="2">
        <v>43921</v>
      </c>
      <c r="B2293" s="3">
        <v>29468.49</v>
      </c>
      <c r="C2293" s="3">
        <v>159</v>
      </c>
      <c r="D2293" s="3">
        <f t="shared" si="72"/>
        <v>3.5513700259361833E-2</v>
      </c>
      <c r="E2293" s="3">
        <f t="shared" si="73"/>
        <v>2.097312338027885E-2</v>
      </c>
    </row>
    <row r="2294" spans="1:5" x14ac:dyDescent="0.45">
      <c r="A2294" s="2">
        <v>43922</v>
      </c>
      <c r="B2294" s="3">
        <v>28265.31</v>
      </c>
      <c r="C2294" s="3">
        <v>154.4</v>
      </c>
      <c r="D2294" s="3">
        <f t="shared" si="72"/>
        <v>-4.16862991942702E-2</v>
      </c>
      <c r="E2294" s="3">
        <f t="shared" si="73"/>
        <v>-2.9357564629555723E-2</v>
      </c>
    </row>
    <row r="2295" spans="1:5" x14ac:dyDescent="0.45">
      <c r="A2295" s="2">
        <v>43924</v>
      </c>
      <c r="B2295" s="3">
        <v>27590.95</v>
      </c>
      <c r="C2295" s="3">
        <v>156.35</v>
      </c>
      <c r="D2295" s="3">
        <f t="shared" si="72"/>
        <v>-2.4147437293023044E-2</v>
      </c>
      <c r="E2295" s="3">
        <f t="shared" si="73"/>
        <v>1.255044631317432E-2</v>
      </c>
    </row>
    <row r="2296" spans="1:5" x14ac:dyDescent="0.45">
      <c r="A2296" s="2">
        <v>43928</v>
      </c>
      <c r="B2296" s="3">
        <v>30067.21</v>
      </c>
      <c r="C2296" s="3">
        <v>157.94999999999999</v>
      </c>
      <c r="D2296" s="3">
        <f t="shared" si="72"/>
        <v>8.5947388788731885E-2</v>
      </c>
      <c r="E2296" s="3">
        <f t="shared" si="73"/>
        <v>1.0181443344243831E-2</v>
      </c>
    </row>
    <row r="2297" spans="1:5" x14ac:dyDescent="0.45">
      <c r="A2297" s="2">
        <v>43929</v>
      </c>
      <c r="B2297" s="3">
        <v>29893.96</v>
      </c>
      <c r="C2297" s="3">
        <v>158.35</v>
      </c>
      <c r="D2297" s="3">
        <f t="shared" si="72"/>
        <v>-5.7787558890491451E-3</v>
      </c>
      <c r="E2297" s="3">
        <f t="shared" si="73"/>
        <v>2.5292457365546596E-3</v>
      </c>
    </row>
    <row r="2298" spans="1:5" x14ac:dyDescent="0.45">
      <c r="A2298" s="2">
        <v>43930</v>
      </c>
      <c r="B2298" s="3">
        <v>31159.62</v>
      </c>
      <c r="C2298" s="3">
        <v>164.25</v>
      </c>
      <c r="D2298" s="3">
        <f t="shared" si="72"/>
        <v>4.1466572504657004E-2</v>
      </c>
      <c r="E2298" s="3">
        <f t="shared" si="73"/>
        <v>3.6581884380071088E-2</v>
      </c>
    </row>
    <row r="2299" spans="1:5" x14ac:dyDescent="0.45">
      <c r="A2299" s="2">
        <v>43934</v>
      </c>
      <c r="B2299" s="3">
        <v>30690.02</v>
      </c>
      <c r="C2299" s="3">
        <v>160.15</v>
      </c>
      <c r="D2299" s="3">
        <f t="shared" si="72"/>
        <v>-1.5185505496731606E-2</v>
      </c>
      <c r="E2299" s="3">
        <f t="shared" si="73"/>
        <v>-2.5278781309552766E-2</v>
      </c>
    </row>
    <row r="2300" spans="1:5" x14ac:dyDescent="0.45">
      <c r="A2300" s="2">
        <v>43936</v>
      </c>
      <c r="B2300" s="3">
        <v>30379.81</v>
      </c>
      <c r="C2300" s="3">
        <v>159.6</v>
      </c>
      <c r="D2300" s="3">
        <f t="shared" si="72"/>
        <v>-1.0159277275982721E-2</v>
      </c>
      <c r="E2300" s="3">
        <f t="shared" si="73"/>
        <v>-3.4401910394588203E-3</v>
      </c>
    </row>
    <row r="2301" spans="1:5" x14ac:dyDescent="0.45">
      <c r="A2301" s="2">
        <v>43937</v>
      </c>
      <c r="B2301" s="3">
        <v>30602.61</v>
      </c>
      <c r="C2301" s="3">
        <v>163.4</v>
      </c>
      <c r="D2301" s="3">
        <f t="shared" si="72"/>
        <v>7.3070564051250439E-3</v>
      </c>
      <c r="E2301" s="3">
        <f t="shared" si="73"/>
        <v>2.3530497410194251E-2</v>
      </c>
    </row>
    <row r="2302" spans="1:5" x14ac:dyDescent="0.45">
      <c r="A2302" s="2">
        <v>43938</v>
      </c>
      <c r="B2302" s="3">
        <v>31588.720000000001</v>
      </c>
      <c r="C2302" s="3">
        <v>167.7</v>
      </c>
      <c r="D2302" s="3">
        <f t="shared" si="72"/>
        <v>3.1714795402794892E-2</v>
      </c>
      <c r="E2302" s="3">
        <f t="shared" si="73"/>
        <v>2.5975486403260521E-2</v>
      </c>
    </row>
    <row r="2303" spans="1:5" x14ac:dyDescent="0.45">
      <c r="A2303" s="2">
        <v>43941</v>
      </c>
      <c r="B2303" s="3">
        <v>31648</v>
      </c>
      <c r="C2303" s="3">
        <v>165.55</v>
      </c>
      <c r="D2303" s="3">
        <f t="shared" si="72"/>
        <v>1.8748605988609774E-3</v>
      </c>
      <c r="E2303" s="3">
        <f t="shared" si="73"/>
        <v>-1.2903404835907729E-2</v>
      </c>
    </row>
    <row r="2304" spans="1:5" x14ac:dyDescent="0.45">
      <c r="A2304" s="2">
        <v>43942</v>
      </c>
      <c r="B2304" s="3">
        <v>30636.71</v>
      </c>
      <c r="C2304" s="3">
        <v>162.65</v>
      </c>
      <c r="D2304" s="3">
        <f t="shared" si="72"/>
        <v>-3.2475992312236544E-2</v>
      </c>
      <c r="E2304" s="3">
        <f t="shared" si="73"/>
        <v>-1.7672611073894843E-2</v>
      </c>
    </row>
    <row r="2305" spans="1:5" x14ac:dyDescent="0.45">
      <c r="A2305" s="2">
        <v>43943</v>
      </c>
      <c r="B2305" s="3">
        <v>31379.55</v>
      </c>
      <c r="C2305" s="3">
        <v>162.25</v>
      </c>
      <c r="D2305" s="3">
        <f t="shared" si="72"/>
        <v>2.395744372982939E-2</v>
      </c>
      <c r="E2305" s="3">
        <f t="shared" si="73"/>
        <v>-2.4622973351611042E-3</v>
      </c>
    </row>
    <row r="2306" spans="1:5" x14ac:dyDescent="0.45">
      <c r="A2306" s="2">
        <v>43944</v>
      </c>
      <c r="B2306" s="3">
        <v>31863.08</v>
      </c>
      <c r="C2306" s="3">
        <v>158.05000000000001</v>
      </c>
      <c r="D2306" s="3">
        <f t="shared" si="72"/>
        <v>1.5291565895610629E-2</v>
      </c>
      <c r="E2306" s="3">
        <f t="shared" si="73"/>
        <v>-2.6226916922572605E-2</v>
      </c>
    </row>
    <row r="2307" spans="1:5" x14ac:dyDescent="0.45">
      <c r="A2307" s="2">
        <v>43945</v>
      </c>
      <c r="B2307" s="3">
        <v>31327.22</v>
      </c>
      <c r="C2307" s="3">
        <v>159.35</v>
      </c>
      <c r="D2307" s="3">
        <f t="shared" si="72"/>
        <v>-1.6960604570316031E-2</v>
      </c>
      <c r="E2307" s="3">
        <f t="shared" si="73"/>
        <v>8.1916022017186584E-3</v>
      </c>
    </row>
    <row r="2308" spans="1:5" x14ac:dyDescent="0.45">
      <c r="A2308" s="2">
        <v>43948</v>
      </c>
      <c r="B2308" s="3">
        <v>31743.08</v>
      </c>
      <c r="C2308" s="3">
        <v>159.6</v>
      </c>
      <c r="D2308" s="3">
        <f t="shared" si="72"/>
        <v>1.3187380644452518E-2</v>
      </c>
      <c r="E2308" s="3">
        <f t="shared" si="73"/>
        <v>1.5676441523629883E-3</v>
      </c>
    </row>
    <row r="2309" spans="1:5" x14ac:dyDescent="0.45">
      <c r="A2309" s="2">
        <v>43949</v>
      </c>
      <c r="B2309" s="3">
        <v>32114.52</v>
      </c>
      <c r="C2309" s="3">
        <v>157.25</v>
      </c>
      <c r="D2309" s="3">
        <f t="shared" si="72"/>
        <v>1.1633515483635464E-2</v>
      </c>
      <c r="E2309" s="3">
        <f t="shared" si="73"/>
        <v>-1.4833789435158493E-2</v>
      </c>
    </row>
    <row r="2310" spans="1:5" x14ac:dyDescent="0.45">
      <c r="A2310" s="2">
        <v>43950</v>
      </c>
      <c r="B2310" s="3">
        <v>32720.16</v>
      </c>
      <c r="C2310" s="3">
        <v>158.05000000000001</v>
      </c>
      <c r="D2310" s="3">
        <f t="shared" ref="D2310:D2373" si="74">LN(B2310/B2309)</f>
        <v>1.8683137386863436E-2</v>
      </c>
      <c r="E2310" s="3">
        <f t="shared" ref="E2310:E2373" si="75">LN(C2310/C2309)</f>
        <v>5.0745430810769715E-3</v>
      </c>
    </row>
    <row r="2311" spans="1:5" x14ac:dyDescent="0.45">
      <c r="A2311" s="2">
        <v>43951</v>
      </c>
      <c r="B2311" s="3">
        <v>33717.620000000003</v>
      </c>
      <c r="C2311" s="3">
        <v>162.05000000000001</v>
      </c>
      <c r="D2311" s="3">
        <f t="shared" si="74"/>
        <v>3.0029147687126185E-2</v>
      </c>
      <c r="E2311" s="3">
        <f t="shared" si="75"/>
        <v>2.4993490925929555E-2</v>
      </c>
    </row>
    <row r="2312" spans="1:5" x14ac:dyDescent="0.45">
      <c r="A2312" s="2">
        <v>43955</v>
      </c>
      <c r="B2312" s="3">
        <v>31715.35</v>
      </c>
      <c r="C2312" s="3">
        <v>158.94999999999999</v>
      </c>
      <c r="D2312" s="3">
        <f t="shared" si="74"/>
        <v>-6.1219758572817765E-2</v>
      </c>
      <c r="E2312" s="3">
        <f t="shared" si="75"/>
        <v>-1.9315242230744805E-2</v>
      </c>
    </row>
    <row r="2313" spans="1:5" x14ac:dyDescent="0.45">
      <c r="A2313" s="2">
        <v>43956</v>
      </c>
      <c r="B2313" s="3">
        <v>31453.51</v>
      </c>
      <c r="C2313" s="3">
        <v>163.6</v>
      </c>
      <c r="D2313" s="3">
        <f t="shared" si="74"/>
        <v>-8.2902081700843323E-3</v>
      </c>
      <c r="E2313" s="3">
        <f t="shared" si="75"/>
        <v>2.8834736811835033E-2</v>
      </c>
    </row>
    <row r="2314" spans="1:5" x14ac:dyDescent="0.45">
      <c r="A2314" s="2">
        <v>43957</v>
      </c>
      <c r="B2314" s="3">
        <v>31685.75</v>
      </c>
      <c r="C2314" s="3">
        <v>165.5</v>
      </c>
      <c r="D2314" s="3">
        <f t="shared" si="74"/>
        <v>7.3564703595225571E-3</v>
      </c>
      <c r="E2314" s="3">
        <f t="shared" si="75"/>
        <v>1.154677064847095E-2</v>
      </c>
    </row>
    <row r="2315" spans="1:5" x14ac:dyDescent="0.45">
      <c r="A2315" s="2">
        <v>43958</v>
      </c>
      <c r="B2315" s="3">
        <v>31443.38</v>
      </c>
      <c r="C2315" s="3">
        <v>161.65</v>
      </c>
      <c r="D2315" s="3">
        <f t="shared" si="74"/>
        <v>-7.6785848579528212E-3</v>
      </c>
      <c r="E2315" s="3">
        <f t="shared" si="75"/>
        <v>-2.353769064567543E-2</v>
      </c>
    </row>
    <row r="2316" spans="1:5" x14ac:dyDescent="0.45">
      <c r="A2316" s="2">
        <v>43959</v>
      </c>
      <c r="B2316" s="3">
        <v>31642.7</v>
      </c>
      <c r="C2316" s="3">
        <v>159.05000000000001</v>
      </c>
      <c r="D2316" s="3">
        <f t="shared" si="74"/>
        <v>6.3190061336566607E-3</v>
      </c>
      <c r="E2316" s="3">
        <f t="shared" si="75"/>
        <v>-1.621488597628894E-2</v>
      </c>
    </row>
    <row r="2317" spans="1:5" x14ac:dyDescent="0.45">
      <c r="A2317" s="2">
        <v>43962</v>
      </c>
      <c r="B2317" s="3">
        <v>31561.22</v>
      </c>
      <c r="C2317" s="3">
        <v>158.85</v>
      </c>
      <c r="D2317" s="3">
        <f t="shared" si="74"/>
        <v>-2.5783225198119501E-3</v>
      </c>
      <c r="E2317" s="3">
        <f t="shared" si="75"/>
        <v>-1.2582574796280929E-3</v>
      </c>
    </row>
    <row r="2318" spans="1:5" x14ac:dyDescent="0.45">
      <c r="A2318" s="2">
        <v>43963</v>
      </c>
      <c r="B2318" s="3">
        <v>31371.119999999999</v>
      </c>
      <c r="C2318" s="3">
        <v>163.4</v>
      </c>
      <c r="D2318" s="3">
        <f t="shared" si="74"/>
        <v>-6.0414272916648583E-3</v>
      </c>
      <c r="E2318" s="3">
        <f t="shared" si="75"/>
        <v>2.8240821710377399E-2</v>
      </c>
    </row>
    <row r="2319" spans="1:5" x14ac:dyDescent="0.45">
      <c r="A2319" s="2">
        <v>43964</v>
      </c>
      <c r="B2319" s="3">
        <v>32008.61</v>
      </c>
      <c r="C2319" s="3">
        <v>166.65</v>
      </c>
      <c r="D2319" s="3">
        <f t="shared" si="74"/>
        <v>2.0117204642789665E-2</v>
      </c>
      <c r="E2319" s="3">
        <f t="shared" si="75"/>
        <v>1.9694622327846117E-2</v>
      </c>
    </row>
    <row r="2320" spans="1:5" x14ac:dyDescent="0.45">
      <c r="A2320" s="2">
        <v>43965</v>
      </c>
      <c r="B2320" s="3">
        <v>31122.89</v>
      </c>
      <c r="C2320" s="3">
        <v>160.94999999999999</v>
      </c>
      <c r="D2320" s="3">
        <f t="shared" si="74"/>
        <v>-2.8061367786615533E-2</v>
      </c>
      <c r="E2320" s="3">
        <f t="shared" si="75"/>
        <v>-3.4802047008931594E-2</v>
      </c>
    </row>
    <row r="2321" spans="1:5" x14ac:dyDescent="0.45">
      <c r="A2321" s="2">
        <v>43966</v>
      </c>
      <c r="B2321" s="3">
        <v>31097.73</v>
      </c>
      <c r="C2321" s="3">
        <v>159.94999999999999</v>
      </c>
      <c r="D2321" s="3">
        <f t="shared" si="74"/>
        <v>-8.0873515472296696E-4</v>
      </c>
      <c r="E2321" s="3">
        <f t="shared" si="75"/>
        <v>-6.2324913492901876E-3</v>
      </c>
    </row>
    <row r="2322" spans="1:5" x14ac:dyDescent="0.45">
      <c r="A2322" s="2">
        <v>43969</v>
      </c>
      <c r="B2322" s="3">
        <v>30028.98</v>
      </c>
      <c r="C2322" s="3">
        <v>154.5</v>
      </c>
      <c r="D2322" s="3">
        <f t="shared" si="74"/>
        <v>-3.4971910783151088E-2</v>
      </c>
      <c r="E2322" s="3">
        <f t="shared" si="75"/>
        <v>-3.4667170057726751E-2</v>
      </c>
    </row>
    <row r="2323" spans="1:5" x14ac:dyDescent="0.45">
      <c r="A2323" s="2">
        <v>43970</v>
      </c>
      <c r="B2323" s="3">
        <v>30196.17</v>
      </c>
      <c r="C2323" s="3">
        <v>158.15</v>
      </c>
      <c r="D2323" s="3">
        <f t="shared" si="74"/>
        <v>5.5521797618695743E-3</v>
      </c>
      <c r="E2323" s="3">
        <f t="shared" si="75"/>
        <v>2.3349853413857799E-2</v>
      </c>
    </row>
    <row r="2324" spans="1:5" x14ac:dyDescent="0.45">
      <c r="A2324" s="2">
        <v>43971</v>
      </c>
      <c r="B2324" s="3">
        <v>30818.61</v>
      </c>
      <c r="C2324" s="3">
        <v>158.6</v>
      </c>
      <c r="D2324" s="3">
        <f t="shared" si="74"/>
        <v>2.0403633144587839E-2</v>
      </c>
      <c r="E2324" s="3">
        <f t="shared" si="75"/>
        <v>2.8413594490896729E-3</v>
      </c>
    </row>
    <row r="2325" spans="1:5" x14ac:dyDescent="0.45">
      <c r="A2325" s="2">
        <v>43972</v>
      </c>
      <c r="B2325" s="3">
        <v>30932.9</v>
      </c>
      <c r="C2325" s="3">
        <v>158.85</v>
      </c>
      <c r="D2325" s="3">
        <f t="shared" si="74"/>
        <v>3.7016141143624164E-3</v>
      </c>
      <c r="E2325" s="3">
        <f t="shared" si="75"/>
        <v>1.5750515147776463E-3</v>
      </c>
    </row>
    <row r="2326" spans="1:5" x14ac:dyDescent="0.45">
      <c r="A2326" s="2">
        <v>43973</v>
      </c>
      <c r="B2326" s="3">
        <v>30672.59</v>
      </c>
      <c r="C2326" s="3">
        <v>155.9</v>
      </c>
      <c r="D2326" s="3">
        <f t="shared" si="74"/>
        <v>-8.4509205018697912E-3</v>
      </c>
      <c r="E2326" s="3">
        <f t="shared" si="75"/>
        <v>-1.8745584651794253E-2</v>
      </c>
    </row>
    <row r="2327" spans="1:5" x14ac:dyDescent="0.45">
      <c r="A2327" s="2">
        <v>43977</v>
      </c>
      <c r="B2327" s="3">
        <v>30609.3</v>
      </c>
      <c r="C2327" s="3">
        <v>157.4</v>
      </c>
      <c r="D2327" s="3">
        <f t="shared" si="74"/>
        <v>-2.0655375512062014E-3</v>
      </c>
      <c r="E2327" s="3">
        <f t="shared" si="75"/>
        <v>9.5755599195719108E-3</v>
      </c>
    </row>
    <row r="2328" spans="1:5" x14ac:dyDescent="0.45">
      <c r="A2328" s="2">
        <v>43978</v>
      </c>
      <c r="B2328" s="3">
        <v>31605.22</v>
      </c>
      <c r="C2328" s="3">
        <v>157.19999999999999</v>
      </c>
      <c r="D2328" s="3">
        <f t="shared" si="74"/>
        <v>3.2018412471781339E-2</v>
      </c>
      <c r="E2328" s="3">
        <f t="shared" si="75"/>
        <v>-1.271455988196832E-3</v>
      </c>
    </row>
    <row r="2329" spans="1:5" x14ac:dyDescent="0.45">
      <c r="A2329" s="2">
        <v>43979</v>
      </c>
      <c r="B2329" s="3">
        <v>32200.59</v>
      </c>
      <c r="C2329" s="3">
        <v>157.35</v>
      </c>
      <c r="D2329" s="3">
        <f t="shared" si="74"/>
        <v>1.8662478539925975E-2</v>
      </c>
      <c r="E2329" s="3">
        <f t="shared" si="75"/>
        <v>9.5374351530963498E-4</v>
      </c>
    </row>
    <row r="2330" spans="1:5" x14ac:dyDescent="0.45">
      <c r="A2330" s="2">
        <v>43980</v>
      </c>
      <c r="B2330" s="3">
        <v>32424.1</v>
      </c>
      <c r="C2330" s="3">
        <v>157.55000000000001</v>
      </c>
      <c r="D2330" s="3">
        <f t="shared" si="74"/>
        <v>6.9171980925947091E-3</v>
      </c>
      <c r="E2330" s="3">
        <f t="shared" si="75"/>
        <v>1.270244692867768E-3</v>
      </c>
    </row>
    <row r="2331" spans="1:5" x14ac:dyDescent="0.45">
      <c r="A2331" s="2">
        <v>43983</v>
      </c>
      <c r="B2331" s="3">
        <v>33303.519999999997</v>
      </c>
      <c r="C2331" s="3">
        <v>158.9</v>
      </c>
      <c r="D2331" s="3">
        <f t="shared" si="74"/>
        <v>2.6761123649189374E-2</v>
      </c>
      <c r="E2331" s="3">
        <f t="shared" si="75"/>
        <v>8.5322053393866882E-3</v>
      </c>
    </row>
    <row r="2332" spans="1:5" x14ac:dyDescent="0.45">
      <c r="A2332" s="2">
        <v>43984</v>
      </c>
      <c r="B2332" s="3">
        <v>33825.53</v>
      </c>
      <c r="C2332" s="3">
        <v>164.95</v>
      </c>
      <c r="D2332" s="3">
        <f t="shared" si="74"/>
        <v>1.5552745712408229E-2</v>
      </c>
      <c r="E2332" s="3">
        <f t="shared" si="75"/>
        <v>3.7367324131920003E-2</v>
      </c>
    </row>
    <row r="2333" spans="1:5" x14ac:dyDescent="0.45">
      <c r="A2333" s="2">
        <v>43985</v>
      </c>
      <c r="B2333" s="3">
        <v>34109.54</v>
      </c>
      <c r="C2333" s="3">
        <v>164.45</v>
      </c>
      <c r="D2333" s="3">
        <f t="shared" si="74"/>
        <v>8.3612677402671188E-3</v>
      </c>
      <c r="E2333" s="3">
        <f t="shared" si="75"/>
        <v>-3.0358250395244135E-3</v>
      </c>
    </row>
    <row r="2334" spans="1:5" x14ac:dyDescent="0.45">
      <c r="A2334" s="2">
        <v>43986</v>
      </c>
      <c r="B2334" s="3">
        <v>33980.699999999997</v>
      </c>
      <c r="C2334" s="3">
        <v>169.2</v>
      </c>
      <c r="D2334" s="3">
        <f t="shared" si="74"/>
        <v>-3.7843941735741676E-3</v>
      </c>
      <c r="E2334" s="3">
        <f t="shared" si="75"/>
        <v>2.8474874537056948E-2</v>
      </c>
    </row>
    <row r="2335" spans="1:5" x14ac:dyDescent="0.45">
      <c r="A2335" s="2">
        <v>43987</v>
      </c>
      <c r="B2335" s="3">
        <v>34287.24</v>
      </c>
      <c r="C2335" s="3">
        <v>171.5</v>
      </c>
      <c r="D2335" s="3">
        <f t="shared" si="74"/>
        <v>8.9805569118318121E-3</v>
      </c>
      <c r="E2335" s="3">
        <f t="shared" si="75"/>
        <v>1.3501819433871803E-2</v>
      </c>
    </row>
    <row r="2336" spans="1:5" x14ac:dyDescent="0.45">
      <c r="A2336" s="2">
        <v>43990</v>
      </c>
      <c r="B2336" s="3">
        <v>34370.58</v>
      </c>
      <c r="C2336" s="3">
        <v>172.25</v>
      </c>
      <c r="D2336" s="3">
        <f t="shared" si="74"/>
        <v>2.4276926046205927E-3</v>
      </c>
      <c r="E2336" s="3">
        <f t="shared" si="75"/>
        <v>4.3636432877732717E-3</v>
      </c>
    </row>
    <row r="2337" spans="1:5" x14ac:dyDescent="0.45">
      <c r="A2337" s="2">
        <v>43991</v>
      </c>
      <c r="B2337" s="3">
        <v>33956.69</v>
      </c>
      <c r="C2337" s="3">
        <v>170.6</v>
      </c>
      <c r="D2337" s="3">
        <f t="shared" si="74"/>
        <v>-1.2115076817284076E-2</v>
      </c>
      <c r="E2337" s="3">
        <f t="shared" si="75"/>
        <v>-9.6252748361892928E-3</v>
      </c>
    </row>
    <row r="2338" spans="1:5" x14ac:dyDescent="0.45">
      <c r="A2338" s="2">
        <v>43992</v>
      </c>
      <c r="B2338" s="3">
        <v>34247.050000000003</v>
      </c>
      <c r="C2338" s="3">
        <v>170.1</v>
      </c>
      <c r="D2338" s="3">
        <f t="shared" si="74"/>
        <v>8.514540527933389E-3</v>
      </c>
      <c r="E2338" s="3">
        <f t="shared" si="75"/>
        <v>-2.9351356557626965E-3</v>
      </c>
    </row>
    <row r="2339" spans="1:5" x14ac:dyDescent="0.45">
      <c r="A2339" s="2">
        <v>43993</v>
      </c>
      <c r="B2339" s="3">
        <v>33538.370000000003</v>
      </c>
      <c r="C2339" s="3">
        <v>170.85</v>
      </c>
      <c r="D2339" s="3">
        <f t="shared" si="74"/>
        <v>-2.0910273085877312E-2</v>
      </c>
      <c r="E2339" s="3">
        <f t="shared" si="75"/>
        <v>4.3994791594848424E-3</v>
      </c>
    </row>
    <row r="2340" spans="1:5" x14ac:dyDescent="0.45">
      <c r="A2340" s="2">
        <v>43994</v>
      </c>
      <c r="B2340" s="3">
        <v>33780.89</v>
      </c>
      <c r="C2340" s="3">
        <v>167</v>
      </c>
      <c r="D2340" s="3">
        <f t="shared" si="74"/>
        <v>7.2051014574627831E-3</v>
      </c>
      <c r="E2340" s="3">
        <f t="shared" si="75"/>
        <v>-2.2792166144545673E-2</v>
      </c>
    </row>
    <row r="2341" spans="1:5" x14ac:dyDescent="0.45">
      <c r="A2341" s="2">
        <v>43997</v>
      </c>
      <c r="B2341" s="3">
        <v>33228.800000000003</v>
      </c>
      <c r="C2341" s="3">
        <v>163.35</v>
      </c>
      <c r="D2341" s="3">
        <f t="shared" si="74"/>
        <v>-1.6478288216022555E-2</v>
      </c>
      <c r="E2341" s="3">
        <f t="shared" si="75"/>
        <v>-2.2098674369676018E-2</v>
      </c>
    </row>
    <row r="2342" spans="1:5" x14ac:dyDescent="0.45">
      <c r="A2342" s="2">
        <v>43998</v>
      </c>
      <c r="B2342" s="3">
        <v>33605.22</v>
      </c>
      <c r="C2342" s="3">
        <v>162.44999999999999</v>
      </c>
      <c r="D2342" s="3">
        <f t="shared" si="74"/>
        <v>1.1264442277929389E-2</v>
      </c>
      <c r="E2342" s="3">
        <f t="shared" si="75"/>
        <v>-5.5248759319699156E-3</v>
      </c>
    </row>
    <row r="2343" spans="1:5" x14ac:dyDescent="0.45">
      <c r="A2343" s="2">
        <v>43999</v>
      </c>
      <c r="B2343" s="3">
        <v>33507.919999999998</v>
      </c>
      <c r="C2343" s="3">
        <v>159.5</v>
      </c>
      <c r="D2343" s="3">
        <f t="shared" si="74"/>
        <v>-2.8995832461863524E-3</v>
      </c>
      <c r="E2343" s="3">
        <f t="shared" si="75"/>
        <v>-1.8326339890209983E-2</v>
      </c>
    </row>
    <row r="2344" spans="1:5" x14ac:dyDescent="0.45">
      <c r="A2344" s="2">
        <v>44000</v>
      </c>
      <c r="B2344" s="3">
        <v>34208.050000000003</v>
      </c>
      <c r="C2344" s="3">
        <v>165.4</v>
      </c>
      <c r="D2344" s="3">
        <f t="shared" si="74"/>
        <v>2.0679167688806791E-2</v>
      </c>
      <c r="E2344" s="3">
        <f t="shared" si="75"/>
        <v>3.6322860364691671E-2</v>
      </c>
    </row>
    <row r="2345" spans="1:5" x14ac:dyDescent="0.45">
      <c r="A2345" s="2">
        <v>44001</v>
      </c>
      <c r="B2345" s="3">
        <v>34731.730000000003</v>
      </c>
      <c r="C2345" s="3">
        <v>171.35</v>
      </c>
      <c r="D2345" s="3">
        <f t="shared" si="74"/>
        <v>1.5192681869322574E-2</v>
      </c>
      <c r="E2345" s="3">
        <f t="shared" si="75"/>
        <v>3.5341465731026825E-2</v>
      </c>
    </row>
    <row r="2346" spans="1:5" x14ac:dyDescent="0.45">
      <c r="A2346" s="2">
        <v>44004</v>
      </c>
      <c r="B2346" s="3">
        <v>34911.32</v>
      </c>
      <c r="C2346" s="3">
        <v>178.7</v>
      </c>
      <c r="D2346" s="3">
        <f t="shared" si="74"/>
        <v>5.1574535601446279E-3</v>
      </c>
      <c r="E2346" s="3">
        <f t="shared" si="75"/>
        <v>4.2000173844764406E-2</v>
      </c>
    </row>
    <row r="2347" spans="1:5" x14ac:dyDescent="0.45">
      <c r="A2347" s="2">
        <v>44005</v>
      </c>
      <c r="B2347" s="3">
        <v>35430.43</v>
      </c>
      <c r="C2347" s="3">
        <v>187.75</v>
      </c>
      <c r="D2347" s="3">
        <f t="shared" si="74"/>
        <v>1.475992349369506E-2</v>
      </c>
      <c r="E2347" s="3">
        <f t="shared" si="75"/>
        <v>4.9402868478861904E-2</v>
      </c>
    </row>
    <row r="2348" spans="1:5" x14ac:dyDescent="0.45">
      <c r="A2348" s="2">
        <v>44006</v>
      </c>
      <c r="B2348" s="3">
        <v>34868.980000000003</v>
      </c>
      <c r="C2348" s="3">
        <v>178.75</v>
      </c>
      <c r="D2348" s="3">
        <f t="shared" si="74"/>
        <v>-1.5973446656993396E-2</v>
      </c>
      <c r="E2348" s="3">
        <f t="shared" si="75"/>
        <v>-4.9123109070127076E-2</v>
      </c>
    </row>
    <row r="2349" spans="1:5" x14ac:dyDescent="0.45">
      <c r="A2349" s="2">
        <v>44007</v>
      </c>
      <c r="B2349" s="3">
        <v>34842.1</v>
      </c>
      <c r="C2349" s="3">
        <v>179</v>
      </c>
      <c r="D2349" s="3">
        <f t="shared" si="74"/>
        <v>-7.7118304097955909E-4</v>
      </c>
      <c r="E2349" s="3">
        <f t="shared" si="75"/>
        <v>1.3976242666379351E-3</v>
      </c>
    </row>
    <row r="2350" spans="1:5" x14ac:dyDescent="0.45">
      <c r="A2350" s="2">
        <v>44008</v>
      </c>
      <c r="B2350" s="3">
        <v>35171.269999999997</v>
      </c>
      <c r="C2350" s="3">
        <v>179.1</v>
      </c>
      <c r="D2350" s="3">
        <f t="shared" si="74"/>
        <v>9.4031304420711097E-3</v>
      </c>
      <c r="E2350" s="3">
        <f t="shared" si="75"/>
        <v>5.585032259110142E-4</v>
      </c>
    </row>
    <row r="2351" spans="1:5" x14ac:dyDescent="0.45">
      <c r="A2351" s="2">
        <v>44011</v>
      </c>
      <c r="B2351" s="3">
        <v>34961.519999999997</v>
      </c>
      <c r="C2351" s="3">
        <v>178.25</v>
      </c>
      <c r="D2351" s="3">
        <f t="shared" si="74"/>
        <v>-5.9815280521735787E-3</v>
      </c>
      <c r="E2351" s="3">
        <f t="shared" si="75"/>
        <v>-4.7572497722607908E-3</v>
      </c>
    </row>
    <row r="2352" spans="1:5" x14ac:dyDescent="0.45">
      <c r="A2352" s="2">
        <v>44012</v>
      </c>
      <c r="B2352" s="3">
        <v>34915.800000000003</v>
      </c>
      <c r="C2352" s="3">
        <v>174.9</v>
      </c>
      <c r="D2352" s="3">
        <f t="shared" si="74"/>
        <v>-1.3085792793473586E-3</v>
      </c>
      <c r="E2352" s="3">
        <f t="shared" si="75"/>
        <v>-1.8972677269848859E-2</v>
      </c>
    </row>
    <row r="2353" spans="1:5" x14ac:dyDescent="0.45">
      <c r="A2353" s="2">
        <v>44013</v>
      </c>
      <c r="B2353" s="3">
        <v>35414.449999999997</v>
      </c>
      <c r="C2353" s="3">
        <v>173.3</v>
      </c>
      <c r="D2353" s="3">
        <f t="shared" si="74"/>
        <v>1.4180480118692407E-2</v>
      </c>
      <c r="E2353" s="3">
        <f t="shared" si="75"/>
        <v>-9.190185302995927E-3</v>
      </c>
    </row>
    <row r="2354" spans="1:5" x14ac:dyDescent="0.45">
      <c r="A2354" s="2">
        <v>44014</v>
      </c>
      <c r="B2354" s="3">
        <v>35843.699999999997</v>
      </c>
      <c r="C2354" s="3">
        <v>175</v>
      </c>
      <c r="D2354" s="3">
        <f t="shared" si="74"/>
        <v>1.2047890442943774E-2</v>
      </c>
      <c r="E2354" s="3">
        <f t="shared" si="75"/>
        <v>9.7617772019536128E-3</v>
      </c>
    </row>
    <row r="2355" spans="1:5" x14ac:dyDescent="0.45">
      <c r="A2355" s="2">
        <v>44015</v>
      </c>
      <c r="B2355" s="3">
        <v>36021.42</v>
      </c>
      <c r="C2355" s="3">
        <v>177.7</v>
      </c>
      <c r="D2355" s="3">
        <f t="shared" si="74"/>
        <v>4.9459421284527936E-3</v>
      </c>
      <c r="E2355" s="3">
        <f t="shared" si="75"/>
        <v>1.5310761237091514E-2</v>
      </c>
    </row>
    <row r="2356" spans="1:5" x14ac:dyDescent="0.45">
      <c r="A2356" s="2">
        <v>44018</v>
      </c>
      <c r="B2356" s="3">
        <v>36487.279999999999</v>
      </c>
      <c r="C2356" s="3">
        <v>178</v>
      </c>
      <c r="D2356" s="3">
        <f t="shared" si="74"/>
        <v>1.2849945186117621E-2</v>
      </c>
      <c r="E2356" s="3">
        <f t="shared" si="75"/>
        <v>1.6868151314795696E-3</v>
      </c>
    </row>
    <row r="2357" spans="1:5" x14ac:dyDescent="0.45">
      <c r="A2357" s="2">
        <v>44019</v>
      </c>
      <c r="B2357" s="3">
        <v>36674.519999999997</v>
      </c>
      <c r="C2357" s="3">
        <v>173.4</v>
      </c>
      <c r="D2357" s="3">
        <f t="shared" si="74"/>
        <v>5.1185293089259874E-3</v>
      </c>
      <c r="E2357" s="3">
        <f t="shared" si="75"/>
        <v>-2.6182485945643645E-2</v>
      </c>
    </row>
    <row r="2358" spans="1:5" x14ac:dyDescent="0.45">
      <c r="A2358" s="2">
        <v>44020</v>
      </c>
      <c r="B2358" s="3">
        <v>36329.01</v>
      </c>
      <c r="C2358" s="3">
        <v>169.85</v>
      </c>
      <c r="D2358" s="3">
        <f t="shared" si="74"/>
        <v>-9.4656403534612212E-3</v>
      </c>
      <c r="E2358" s="3">
        <f t="shared" si="75"/>
        <v>-2.0685369739848667E-2</v>
      </c>
    </row>
    <row r="2359" spans="1:5" x14ac:dyDescent="0.45">
      <c r="A2359" s="2">
        <v>44021</v>
      </c>
      <c r="B2359" s="3">
        <v>36737.69</v>
      </c>
      <c r="C2359" s="3">
        <v>171.45</v>
      </c>
      <c r="D2359" s="3">
        <f t="shared" si="74"/>
        <v>1.118660790343806E-2</v>
      </c>
      <c r="E2359" s="3">
        <f t="shared" si="75"/>
        <v>9.375984302336382E-3</v>
      </c>
    </row>
    <row r="2360" spans="1:5" x14ac:dyDescent="0.45">
      <c r="A2360" s="2">
        <v>44022</v>
      </c>
      <c r="B2360" s="3">
        <v>36594.33</v>
      </c>
      <c r="C2360" s="3">
        <v>172.65</v>
      </c>
      <c r="D2360" s="3">
        <f t="shared" si="74"/>
        <v>-3.9098931853181742E-3</v>
      </c>
      <c r="E2360" s="3">
        <f t="shared" si="75"/>
        <v>6.9747449270721714E-3</v>
      </c>
    </row>
    <row r="2361" spans="1:5" x14ac:dyDescent="0.45">
      <c r="A2361" s="2">
        <v>44025</v>
      </c>
      <c r="B2361" s="3">
        <v>36693.69</v>
      </c>
      <c r="C2361" s="3">
        <v>169.2</v>
      </c>
      <c r="D2361" s="3">
        <f t="shared" si="74"/>
        <v>2.7114952996755764E-3</v>
      </c>
      <c r="E2361" s="3">
        <f t="shared" si="75"/>
        <v>-2.0184976663878553E-2</v>
      </c>
    </row>
    <row r="2362" spans="1:5" x14ac:dyDescent="0.45">
      <c r="A2362" s="2">
        <v>44026</v>
      </c>
      <c r="B2362" s="3">
        <v>36033.06</v>
      </c>
      <c r="C2362" s="3">
        <v>163.35</v>
      </c>
      <c r="D2362" s="3">
        <f t="shared" si="74"/>
        <v>-1.8167955293806812E-2</v>
      </c>
      <c r="E2362" s="3">
        <f t="shared" si="75"/>
        <v>-3.518630912504369E-2</v>
      </c>
    </row>
    <row r="2363" spans="1:5" x14ac:dyDescent="0.45">
      <c r="A2363" s="2">
        <v>44027</v>
      </c>
      <c r="B2363" s="3">
        <v>36051.81</v>
      </c>
      <c r="C2363" s="3">
        <v>163.5</v>
      </c>
      <c r="D2363" s="3">
        <f t="shared" si="74"/>
        <v>5.2022013559465557E-4</v>
      </c>
      <c r="E2363" s="3">
        <f t="shared" si="75"/>
        <v>9.1785229022895971E-4</v>
      </c>
    </row>
    <row r="2364" spans="1:5" x14ac:dyDescent="0.45">
      <c r="A2364" s="2">
        <v>44028</v>
      </c>
      <c r="B2364" s="3">
        <v>36471.68</v>
      </c>
      <c r="C2364" s="3">
        <v>162.19999999999999</v>
      </c>
      <c r="D2364" s="3">
        <f t="shared" si="74"/>
        <v>1.1578998503775348E-2</v>
      </c>
      <c r="E2364" s="3">
        <f t="shared" si="75"/>
        <v>-7.9828486559956301E-3</v>
      </c>
    </row>
    <row r="2365" spans="1:5" x14ac:dyDescent="0.45">
      <c r="A2365" s="2">
        <v>44029</v>
      </c>
      <c r="B2365" s="3">
        <v>37020.14</v>
      </c>
      <c r="C2365" s="3">
        <v>163.25</v>
      </c>
      <c r="D2365" s="3">
        <f t="shared" si="74"/>
        <v>1.4926019859066312E-2</v>
      </c>
      <c r="E2365" s="3">
        <f t="shared" si="75"/>
        <v>6.4526264752279962E-3</v>
      </c>
    </row>
    <row r="2366" spans="1:5" x14ac:dyDescent="0.45">
      <c r="A2366" s="2">
        <v>44032</v>
      </c>
      <c r="B2366" s="3">
        <v>37418.99</v>
      </c>
      <c r="C2366" s="3">
        <v>163.55000000000001</v>
      </c>
      <c r="D2366" s="3">
        <f t="shared" si="74"/>
        <v>1.0716240689931536E-2</v>
      </c>
      <c r="E2366" s="3">
        <f t="shared" si="75"/>
        <v>1.8359858278526162E-3</v>
      </c>
    </row>
    <row r="2367" spans="1:5" x14ac:dyDescent="0.45">
      <c r="A2367" s="2">
        <v>44033</v>
      </c>
      <c r="B2367" s="3">
        <v>37930.33</v>
      </c>
      <c r="C2367" s="3">
        <v>173.6</v>
      </c>
      <c r="D2367" s="3">
        <f t="shared" si="74"/>
        <v>1.3572726332507473E-2</v>
      </c>
      <c r="E2367" s="3">
        <f t="shared" si="75"/>
        <v>5.9635048241856788E-2</v>
      </c>
    </row>
    <row r="2368" spans="1:5" x14ac:dyDescent="0.45">
      <c r="A2368" s="2">
        <v>44034</v>
      </c>
      <c r="B2368" s="3">
        <v>37871.519999999997</v>
      </c>
      <c r="C2368" s="3">
        <v>179.55</v>
      </c>
      <c r="D2368" s="3">
        <f t="shared" si="74"/>
        <v>-1.5516774801606122E-3</v>
      </c>
      <c r="E2368" s="3">
        <f t="shared" si="75"/>
        <v>3.3699918445842185E-2</v>
      </c>
    </row>
    <row r="2369" spans="1:5" x14ac:dyDescent="0.45">
      <c r="A2369" s="2">
        <v>44035</v>
      </c>
      <c r="B2369" s="3">
        <v>38140.47</v>
      </c>
      <c r="C2369" s="3">
        <v>181.85</v>
      </c>
      <c r="D2369" s="3">
        <f t="shared" si="74"/>
        <v>7.0765446967169148E-3</v>
      </c>
      <c r="E2369" s="3">
        <f t="shared" si="75"/>
        <v>1.2728450760906085E-2</v>
      </c>
    </row>
    <row r="2370" spans="1:5" x14ac:dyDescent="0.45">
      <c r="A2370" s="2">
        <v>44036</v>
      </c>
      <c r="B2370" s="3">
        <v>38128.9</v>
      </c>
      <c r="C2370" s="3">
        <v>181.95</v>
      </c>
      <c r="D2370" s="3">
        <f t="shared" si="74"/>
        <v>-3.0339833903835991E-4</v>
      </c>
      <c r="E2370" s="3">
        <f t="shared" si="75"/>
        <v>5.4975262517081586E-4</v>
      </c>
    </row>
    <row r="2371" spans="1:5" x14ac:dyDescent="0.45">
      <c r="A2371" s="2">
        <v>44039</v>
      </c>
      <c r="B2371" s="3">
        <v>37934.730000000003</v>
      </c>
      <c r="C2371" s="3">
        <v>181</v>
      </c>
      <c r="D2371" s="3">
        <f t="shared" si="74"/>
        <v>-5.1054734507711029E-3</v>
      </c>
      <c r="E2371" s="3">
        <f t="shared" si="75"/>
        <v>-5.2348927923429852E-3</v>
      </c>
    </row>
    <row r="2372" spans="1:5" x14ac:dyDescent="0.45">
      <c r="A2372" s="2">
        <v>44040</v>
      </c>
      <c r="B2372" s="3">
        <v>38492.949999999997</v>
      </c>
      <c r="C2372" s="3">
        <v>181.8</v>
      </c>
      <c r="D2372" s="3">
        <f t="shared" si="74"/>
        <v>1.4608056315691422E-2</v>
      </c>
      <c r="E2372" s="3">
        <f t="shared" si="75"/>
        <v>4.4101504775527897E-3</v>
      </c>
    </row>
    <row r="2373" spans="1:5" x14ac:dyDescent="0.45">
      <c r="A2373" s="2">
        <v>44041</v>
      </c>
      <c r="B2373" s="3">
        <v>38071.129999999997</v>
      </c>
      <c r="C2373" s="3">
        <v>181.8</v>
      </c>
      <c r="D2373" s="3">
        <f t="shared" si="74"/>
        <v>-1.1018855524345006E-2</v>
      </c>
      <c r="E2373" s="3">
        <f t="shared" si="75"/>
        <v>0</v>
      </c>
    </row>
    <row r="2374" spans="1:5" x14ac:dyDescent="0.45">
      <c r="A2374" s="2">
        <v>44042</v>
      </c>
      <c r="B2374" s="3">
        <v>37736.07</v>
      </c>
      <c r="C2374" s="3">
        <v>177</v>
      </c>
      <c r="D2374" s="3">
        <f t="shared" ref="D2374:D2437" si="76">LN(B2374/B2373)</f>
        <v>-8.8398511455130193E-3</v>
      </c>
      <c r="E2374" s="3">
        <f t="shared" ref="E2374:E2437" si="77">LN(C2374/C2373)</f>
        <v>-2.6757449169549419E-2</v>
      </c>
    </row>
    <row r="2375" spans="1:5" x14ac:dyDescent="0.45">
      <c r="A2375" s="2">
        <v>44043</v>
      </c>
      <c r="B2375" s="3">
        <v>37606.89</v>
      </c>
      <c r="C2375" s="3">
        <v>178.6</v>
      </c>
      <c r="D2375" s="3">
        <f t="shared" si="76"/>
        <v>-3.4291226833759502E-3</v>
      </c>
      <c r="E2375" s="3">
        <f t="shared" si="77"/>
        <v>8.9989358685695353E-3</v>
      </c>
    </row>
    <row r="2376" spans="1:5" x14ac:dyDescent="0.45">
      <c r="A2376" s="2">
        <v>44046</v>
      </c>
      <c r="B2376" s="3">
        <v>36939.599999999999</v>
      </c>
      <c r="C2376" s="3">
        <v>178.6</v>
      </c>
      <c r="D2376" s="3">
        <f t="shared" si="76"/>
        <v>-1.7903131947307714E-2</v>
      </c>
      <c r="E2376" s="3">
        <f t="shared" si="77"/>
        <v>0</v>
      </c>
    </row>
    <row r="2377" spans="1:5" x14ac:dyDescent="0.45">
      <c r="A2377" s="2">
        <v>44047</v>
      </c>
      <c r="B2377" s="3">
        <v>37687.910000000003</v>
      </c>
      <c r="C2377" s="3">
        <v>178.35</v>
      </c>
      <c r="D2377" s="3">
        <f t="shared" si="76"/>
        <v>2.0055207024732919E-2</v>
      </c>
      <c r="E2377" s="3">
        <f t="shared" si="77"/>
        <v>-1.400756637498176E-3</v>
      </c>
    </row>
    <row r="2378" spans="1:5" x14ac:dyDescent="0.45">
      <c r="A2378" s="2">
        <v>44048</v>
      </c>
      <c r="B2378" s="3">
        <v>37663.33</v>
      </c>
      <c r="C2378" s="3">
        <v>175.95</v>
      </c>
      <c r="D2378" s="3">
        <f t="shared" si="76"/>
        <v>-6.52411317235245E-4</v>
      </c>
      <c r="E2378" s="3">
        <f t="shared" si="77"/>
        <v>-1.3548048037306358E-2</v>
      </c>
    </row>
    <row r="2379" spans="1:5" x14ac:dyDescent="0.45">
      <c r="A2379" s="2">
        <v>44049</v>
      </c>
      <c r="B2379" s="3">
        <v>38025.449999999997</v>
      </c>
      <c r="C2379" s="3">
        <v>175.85</v>
      </c>
      <c r="D2379" s="3">
        <f t="shared" si="76"/>
        <v>9.5687303452240934E-3</v>
      </c>
      <c r="E2379" s="3">
        <f t="shared" si="77"/>
        <v>-5.685048476027206E-4</v>
      </c>
    </row>
    <row r="2380" spans="1:5" x14ac:dyDescent="0.45">
      <c r="A2380" s="2">
        <v>44050</v>
      </c>
      <c r="B2380" s="3">
        <v>38040.57</v>
      </c>
      <c r="C2380" s="3">
        <v>175.9</v>
      </c>
      <c r="D2380" s="3">
        <f t="shared" si="76"/>
        <v>3.9754939719831945E-4</v>
      </c>
      <c r="E2380" s="3">
        <f t="shared" si="77"/>
        <v>2.8429282352102623E-4</v>
      </c>
    </row>
    <row r="2381" spans="1:5" x14ac:dyDescent="0.45">
      <c r="A2381" s="2">
        <v>44053</v>
      </c>
      <c r="B2381" s="3">
        <v>38182.080000000002</v>
      </c>
      <c r="C2381" s="3">
        <v>177.3</v>
      </c>
      <c r="D2381" s="3">
        <f t="shared" si="76"/>
        <v>3.713073806334065E-3</v>
      </c>
      <c r="E2381" s="3">
        <f t="shared" si="77"/>
        <v>7.9275613366497789E-3</v>
      </c>
    </row>
    <row r="2382" spans="1:5" x14ac:dyDescent="0.45">
      <c r="A2382" s="2">
        <v>44054</v>
      </c>
      <c r="B2382" s="3">
        <v>38407.01</v>
      </c>
      <c r="C2382" s="3">
        <v>176.8</v>
      </c>
      <c r="D2382" s="3">
        <f t="shared" si="76"/>
        <v>5.8736994180199741E-3</v>
      </c>
      <c r="E2382" s="3">
        <f t="shared" si="77"/>
        <v>-2.8240628766191289E-3</v>
      </c>
    </row>
    <row r="2383" spans="1:5" x14ac:dyDescent="0.45">
      <c r="A2383" s="2">
        <v>44055</v>
      </c>
      <c r="B2383" s="3">
        <v>38369.629999999997</v>
      </c>
      <c r="C2383" s="3">
        <v>177.9</v>
      </c>
      <c r="D2383" s="3">
        <f t="shared" si="76"/>
        <v>-9.737337542647384E-4</v>
      </c>
      <c r="E2383" s="3">
        <f t="shared" si="77"/>
        <v>6.2024444682463771E-3</v>
      </c>
    </row>
    <row r="2384" spans="1:5" x14ac:dyDescent="0.45">
      <c r="A2384" s="2">
        <v>44056</v>
      </c>
      <c r="B2384" s="3">
        <v>38310.49</v>
      </c>
      <c r="C2384" s="3">
        <v>178.75</v>
      </c>
      <c r="D2384" s="3">
        <f t="shared" si="76"/>
        <v>-1.5425122372317028E-3</v>
      </c>
      <c r="E2384" s="3">
        <f t="shared" si="77"/>
        <v>4.766586902327603E-3</v>
      </c>
    </row>
    <row r="2385" spans="1:5" x14ac:dyDescent="0.45">
      <c r="A2385" s="2">
        <v>44057</v>
      </c>
      <c r="B2385" s="3">
        <v>37877.339999999997</v>
      </c>
      <c r="C2385" s="3">
        <v>175.4</v>
      </c>
      <c r="D2385" s="3">
        <f t="shared" si="76"/>
        <v>-1.1370704925603407E-2</v>
      </c>
      <c r="E2385" s="3">
        <f t="shared" si="77"/>
        <v>-1.8919101636034389E-2</v>
      </c>
    </row>
    <row r="2386" spans="1:5" x14ac:dyDescent="0.45">
      <c r="A2386" s="2">
        <v>44060</v>
      </c>
      <c r="B2386" s="3">
        <v>38050.78</v>
      </c>
      <c r="C2386" s="3">
        <v>178.65</v>
      </c>
      <c r="D2386" s="3">
        <f t="shared" si="76"/>
        <v>4.5685393412451033E-3</v>
      </c>
      <c r="E2386" s="3">
        <f t="shared" si="77"/>
        <v>1.8359504531336182E-2</v>
      </c>
    </row>
    <row r="2387" spans="1:5" x14ac:dyDescent="0.45">
      <c r="A2387" s="2">
        <v>44061</v>
      </c>
      <c r="B2387" s="3">
        <v>38528.32</v>
      </c>
      <c r="C2387" s="3">
        <v>177.85</v>
      </c>
      <c r="D2387" s="3">
        <f t="shared" si="76"/>
        <v>1.247197185914869E-2</v>
      </c>
      <c r="E2387" s="3">
        <f t="shared" si="77"/>
        <v>-4.4880860749547131E-3</v>
      </c>
    </row>
    <row r="2388" spans="1:5" x14ac:dyDescent="0.45">
      <c r="A2388" s="2">
        <v>44062</v>
      </c>
      <c r="B2388" s="3">
        <v>38614.79</v>
      </c>
      <c r="C2388" s="3">
        <v>177.35</v>
      </c>
      <c r="D2388" s="3">
        <f t="shared" si="76"/>
        <v>2.2418084055565541E-3</v>
      </c>
      <c r="E2388" s="3">
        <f t="shared" si="77"/>
        <v>-2.815317174833343E-3</v>
      </c>
    </row>
    <row r="2389" spans="1:5" x14ac:dyDescent="0.45">
      <c r="A2389" s="2">
        <v>44063</v>
      </c>
      <c r="B2389" s="3">
        <v>38220.39</v>
      </c>
      <c r="C2389" s="3">
        <v>181.1</v>
      </c>
      <c r="D2389" s="3">
        <f t="shared" si="76"/>
        <v>-1.0266220863563028E-2</v>
      </c>
      <c r="E2389" s="3">
        <f t="shared" si="77"/>
        <v>2.0924183669736786E-2</v>
      </c>
    </row>
    <row r="2390" spans="1:5" x14ac:dyDescent="0.45">
      <c r="A2390" s="2">
        <v>44064</v>
      </c>
      <c r="B2390" s="3">
        <v>38434.720000000001</v>
      </c>
      <c r="C2390" s="3">
        <v>189.05</v>
      </c>
      <c r="D2390" s="3">
        <f t="shared" si="76"/>
        <v>5.5920749061927153E-3</v>
      </c>
      <c r="E2390" s="3">
        <f t="shared" si="77"/>
        <v>4.2962165447574252E-2</v>
      </c>
    </row>
    <row r="2391" spans="1:5" x14ac:dyDescent="0.45">
      <c r="A2391" s="2">
        <v>44067</v>
      </c>
      <c r="B2391" s="3">
        <v>38799.08</v>
      </c>
      <c r="C2391" s="3">
        <v>185.15</v>
      </c>
      <c r="D2391" s="3">
        <f t="shared" si="76"/>
        <v>9.4353172600122968E-3</v>
      </c>
      <c r="E2391" s="3">
        <f t="shared" si="77"/>
        <v>-2.0845222977320183E-2</v>
      </c>
    </row>
    <row r="2392" spans="1:5" x14ac:dyDescent="0.45">
      <c r="A2392" s="2">
        <v>44068</v>
      </c>
      <c r="B2392" s="3">
        <v>38843.879999999997</v>
      </c>
      <c r="C2392" s="3">
        <v>184.75</v>
      </c>
      <c r="D2392" s="3">
        <f t="shared" si="76"/>
        <v>1.1540004392345659E-3</v>
      </c>
      <c r="E2392" s="3">
        <f t="shared" si="77"/>
        <v>-2.1627475313105902E-3</v>
      </c>
    </row>
    <row r="2393" spans="1:5" x14ac:dyDescent="0.45">
      <c r="A2393" s="2">
        <v>44069</v>
      </c>
      <c r="B2393" s="3">
        <v>39073.919999999998</v>
      </c>
      <c r="C2393" s="3">
        <v>185.4</v>
      </c>
      <c r="D2393" s="3">
        <f t="shared" si="76"/>
        <v>5.9047013229634147E-3</v>
      </c>
      <c r="E2393" s="3">
        <f t="shared" si="77"/>
        <v>3.5120933034435932E-3</v>
      </c>
    </row>
    <row r="2394" spans="1:5" x14ac:dyDescent="0.45">
      <c r="A2394" s="2">
        <v>44070</v>
      </c>
      <c r="B2394" s="3">
        <v>39113.47</v>
      </c>
      <c r="C2394" s="3">
        <v>185.2</v>
      </c>
      <c r="D2394" s="3">
        <f t="shared" si="76"/>
        <v>1.011672173050612E-3</v>
      </c>
      <c r="E2394" s="3">
        <f t="shared" si="77"/>
        <v>-1.0793309196759054E-3</v>
      </c>
    </row>
    <row r="2395" spans="1:5" x14ac:dyDescent="0.45">
      <c r="A2395" s="2">
        <v>44071</v>
      </c>
      <c r="B2395" s="3">
        <v>39467.31</v>
      </c>
      <c r="C2395" s="3">
        <v>182.3</v>
      </c>
      <c r="D2395" s="3">
        <f t="shared" si="76"/>
        <v>9.0058253814646362E-3</v>
      </c>
      <c r="E2395" s="3">
        <f t="shared" si="77"/>
        <v>-1.5782640527461551E-2</v>
      </c>
    </row>
    <row r="2396" spans="1:5" x14ac:dyDescent="0.45">
      <c r="A2396" s="2">
        <v>44074</v>
      </c>
      <c r="B2396" s="3">
        <v>38628.29</v>
      </c>
      <c r="C2396" s="3">
        <v>178.9</v>
      </c>
      <c r="D2396" s="3">
        <f t="shared" si="76"/>
        <v>-2.1487824740618906E-2</v>
      </c>
      <c r="E2396" s="3">
        <f t="shared" si="77"/>
        <v>-1.8826691169943916E-2</v>
      </c>
    </row>
    <row r="2397" spans="1:5" x14ac:dyDescent="0.45">
      <c r="A2397" s="2">
        <v>44075</v>
      </c>
      <c r="B2397" s="3">
        <v>38900.800000000003</v>
      </c>
      <c r="C2397" s="3">
        <v>180.25</v>
      </c>
      <c r="D2397" s="3">
        <f t="shared" si="76"/>
        <v>7.0299063816340601E-3</v>
      </c>
      <c r="E2397" s="3">
        <f t="shared" si="77"/>
        <v>7.5177856503848449E-3</v>
      </c>
    </row>
    <row r="2398" spans="1:5" x14ac:dyDescent="0.45">
      <c r="A2398" s="2">
        <v>44076</v>
      </c>
      <c r="B2398" s="3">
        <v>39086.03</v>
      </c>
      <c r="C2398" s="3">
        <v>181.3</v>
      </c>
      <c r="D2398" s="3">
        <f t="shared" si="76"/>
        <v>4.7502981802076674E-3</v>
      </c>
      <c r="E2398" s="3">
        <f t="shared" si="77"/>
        <v>5.8083415957469551E-3</v>
      </c>
    </row>
    <row r="2399" spans="1:5" x14ac:dyDescent="0.45">
      <c r="A2399" s="2">
        <v>44077</v>
      </c>
      <c r="B2399" s="3">
        <v>38990.94</v>
      </c>
      <c r="C2399" s="3">
        <v>178.45</v>
      </c>
      <c r="D2399" s="3">
        <f t="shared" si="76"/>
        <v>-2.4358026961123127E-3</v>
      </c>
      <c r="E2399" s="3">
        <f t="shared" si="77"/>
        <v>-1.5844667824636113E-2</v>
      </c>
    </row>
    <row r="2400" spans="1:5" x14ac:dyDescent="0.45">
      <c r="A2400" s="2">
        <v>44078</v>
      </c>
      <c r="B2400" s="3">
        <v>38357.18</v>
      </c>
      <c r="C2400" s="3">
        <v>175.05</v>
      </c>
      <c r="D2400" s="3">
        <f t="shared" si="76"/>
        <v>-1.6387578213945632E-2</v>
      </c>
      <c r="E2400" s="3">
        <f t="shared" si="77"/>
        <v>-1.9236802535494528E-2</v>
      </c>
    </row>
    <row r="2401" spans="1:5" x14ac:dyDescent="0.45">
      <c r="A2401" s="2">
        <v>44081</v>
      </c>
      <c r="B2401" s="3">
        <v>38417.230000000003</v>
      </c>
      <c r="C2401" s="3">
        <v>176.3</v>
      </c>
      <c r="D2401" s="3">
        <f t="shared" si="76"/>
        <v>1.5643236397581291E-3</v>
      </c>
      <c r="E2401" s="3">
        <f t="shared" si="77"/>
        <v>7.1154420031498697E-3</v>
      </c>
    </row>
    <row r="2402" spans="1:5" x14ac:dyDescent="0.45">
      <c r="A2402" s="2">
        <v>44082</v>
      </c>
      <c r="B2402" s="3">
        <v>38365.35</v>
      </c>
      <c r="C2402" s="3">
        <v>174.9</v>
      </c>
      <c r="D2402" s="3">
        <f t="shared" si="76"/>
        <v>-1.3513483890494047E-3</v>
      </c>
      <c r="E2402" s="3">
        <f t="shared" si="77"/>
        <v>-7.9727073792682426E-3</v>
      </c>
    </row>
    <row r="2403" spans="1:5" x14ac:dyDescent="0.45">
      <c r="A2403" s="2">
        <v>44083</v>
      </c>
      <c r="B2403" s="3">
        <v>38193.919999999998</v>
      </c>
      <c r="C2403" s="3">
        <v>175.25</v>
      </c>
      <c r="D2403" s="3">
        <f t="shared" si="76"/>
        <v>-4.4783678452893702E-3</v>
      </c>
      <c r="E2403" s="3">
        <f t="shared" si="77"/>
        <v>1.9991438901429547E-3</v>
      </c>
    </row>
    <row r="2404" spans="1:5" x14ac:dyDescent="0.45">
      <c r="A2404" s="2">
        <v>44084</v>
      </c>
      <c r="B2404" s="3">
        <v>38840.32</v>
      </c>
      <c r="C2404" s="3">
        <v>177.7</v>
      </c>
      <c r="D2404" s="3">
        <f t="shared" si="76"/>
        <v>1.6782541676922721E-2</v>
      </c>
      <c r="E2404" s="3">
        <f t="shared" si="77"/>
        <v>1.3883209245906082E-2</v>
      </c>
    </row>
    <row r="2405" spans="1:5" x14ac:dyDescent="0.45">
      <c r="A2405" s="2">
        <v>44085</v>
      </c>
      <c r="B2405" s="3">
        <v>38854.550000000003</v>
      </c>
      <c r="C2405" s="3">
        <v>175</v>
      </c>
      <c r="D2405" s="3">
        <f t="shared" si="76"/>
        <v>3.6630475497586668E-4</v>
      </c>
      <c r="E2405" s="3">
        <f t="shared" si="77"/>
        <v>-1.5310761237091568E-2</v>
      </c>
    </row>
    <row r="2406" spans="1:5" x14ac:dyDescent="0.45">
      <c r="A2406" s="2">
        <v>44088</v>
      </c>
      <c r="B2406" s="3">
        <v>38756.629999999997</v>
      </c>
      <c r="C2406" s="3">
        <v>171.4</v>
      </c>
      <c r="D2406" s="3">
        <f t="shared" si="76"/>
        <v>-2.5233491349337615E-3</v>
      </c>
      <c r="E2406" s="3">
        <f t="shared" si="77"/>
        <v>-2.0785967759834642E-2</v>
      </c>
    </row>
    <row r="2407" spans="1:5" x14ac:dyDescent="0.45">
      <c r="A2407" s="2">
        <v>44089</v>
      </c>
      <c r="B2407" s="3">
        <v>39044.35</v>
      </c>
      <c r="C2407" s="3">
        <v>173.2</v>
      </c>
      <c r="D2407" s="3">
        <f t="shared" si="76"/>
        <v>7.3963415798408922E-3</v>
      </c>
      <c r="E2407" s="3">
        <f t="shared" si="77"/>
        <v>1.0446989964655375E-2</v>
      </c>
    </row>
    <row r="2408" spans="1:5" x14ac:dyDescent="0.45">
      <c r="A2408" s="2">
        <v>44090</v>
      </c>
      <c r="B2408" s="3">
        <v>39302.85</v>
      </c>
      <c r="C2408" s="3">
        <v>171.9</v>
      </c>
      <c r="D2408" s="3">
        <f t="shared" si="76"/>
        <v>6.5988558117966133E-3</v>
      </c>
      <c r="E2408" s="3">
        <f t="shared" si="77"/>
        <v>-7.5340837395310757E-3</v>
      </c>
    </row>
    <row r="2409" spans="1:5" x14ac:dyDescent="0.45">
      <c r="A2409" s="2">
        <v>44091</v>
      </c>
      <c r="B2409" s="3">
        <v>38979.85</v>
      </c>
      <c r="C2409" s="3">
        <v>168.35</v>
      </c>
      <c r="D2409" s="3">
        <f t="shared" si="76"/>
        <v>-8.252189385037384E-3</v>
      </c>
      <c r="E2409" s="3">
        <f t="shared" si="77"/>
        <v>-2.0867766781720105E-2</v>
      </c>
    </row>
    <row r="2410" spans="1:5" x14ac:dyDescent="0.45">
      <c r="A2410" s="2">
        <v>44092</v>
      </c>
      <c r="B2410" s="3">
        <v>38845.82</v>
      </c>
      <c r="C2410" s="3">
        <v>171.8</v>
      </c>
      <c r="D2410" s="3">
        <f t="shared" si="76"/>
        <v>-3.4443682272778642E-3</v>
      </c>
      <c r="E2410" s="3">
        <f t="shared" si="77"/>
        <v>2.0285863943071497E-2</v>
      </c>
    </row>
    <row r="2411" spans="1:5" x14ac:dyDescent="0.45">
      <c r="A2411" s="2">
        <v>44095</v>
      </c>
      <c r="B2411" s="3">
        <v>38034.14</v>
      </c>
      <c r="C2411" s="3">
        <v>170.3</v>
      </c>
      <c r="D2411" s="3">
        <f t="shared" si="76"/>
        <v>-2.1116300277104007E-2</v>
      </c>
      <c r="E2411" s="3">
        <f t="shared" si="77"/>
        <v>-8.7694218815124302E-3</v>
      </c>
    </row>
    <row r="2412" spans="1:5" x14ac:dyDescent="0.45">
      <c r="A2412" s="2">
        <v>44096</v>
      </c>
      <c r="B2412" s="3">
        <v>37734.080000000002</v>
      </c>
      <c r="C2412" s="3">
        <v>168.7</v>
      </c>
      <c r="D2412" s="3">
        <f t="shared" si="76"/>
        <v>-7.9205125493249581E-3</v>
      </c>
      <c r="E2412" s="3">
        <f t="shared" si="77"/>
        <v>-9.4395981167201253E-3</v>
      </c>
    </row>
    <row r="2413" spans="1:5" x14ac:dyDescent="0.45">
      <c r="A2413" s="2">
        <v>44097</v>
      </c>
      <c r="B2413" s="3">
        <v>37668.42</v>
      </c>
      <c r="C2413" s="3">
        <v>163.9</v>
      </c>
      <c r="D2413" s="3">
        <f t="shared" si="76"/>
        <v>-1.7415872576176273E-3</v>
      </c>
      <c r="E2413" s="3">
        <f t="shared" si="77"/>
        <v>-2.8865503802138513E-2</v>
      </c>
    </row>
    <row r="2414" spans="1:5" x14ac:dyDescent="0.45">
      <c r="A2414" s="2">
        <v>44098</v>
      </c>
      <c r="B2414" s="3">
        <v>36553.599999999999</v>
      </c>
      <c r="C2414" s="3">
        <v>159.55000000000001</v>
      </c>
      <c r="D2414" s="3">
        <f t="shared" si="76"/>
        <v>-3.0042401075950482E-2</v>
      </c>
      <c r="E2414" s="3">
        <f t="shared" si="77"/>
        <v>-2.6899133025531451E-2</v>
      </c>
    </row>
    <row r="2415" spans="1:5" x14ac:dyDescent="0.45">
      <c r="A2415" s="2">
        <v>44099</v>
      </c>
      <c r="B2415" s="3">
        <v>37388.660000000003</v>
      </c>
      <c r="C2415" s="3">
        <v>160.85</v>
      </c>
      <c r="D2415" s="3">
        <f t="shared" si="76"/>
        <v>2.2587773329837496E-2</v>
      </c>
      <c r="E2415" s="3">
        <f t="shared" si="77"/>
        <v>8.1149009607827827E-3</v>
      </c>
    </row>
    <row r="2416" spans="1:5" x14ac:dyDescent="0.45">
      <c r="A2416" s="2">
        <v>44102</v>
      </c>
      <c r="B2416" s="3">
        <v>37981.629999999997</v>
      </c>
      <c r="C2416" s="3">
        <v>168.1</v>
      </c>
      <c r="D2416" s="3">
        <f t="shared" si="76"/>
        <v>1.5735171900797276E-2</v>
      </c>
      <c r="E2416" s="3">
        <f t="shared" si="77"/>
        <v>4.4086786729534574E-2</v>
      </c>
    </row>
    <row r="2417" spans="1:5" x14ac:dyDescent="0.45">
      <c r="A2417" s="2">
        <v>44103</v>
      </c>
      <c r="B2417" s="3">
        <v>37973.22</v>
      </c>
      <c r="C2417" s="3">
        <v>163.25</v>
      </c>
      <c r="D2417" s="3">
        <f t="shared" si="76"/>
        <v>-2.21447347585148E-4</v>
      </c>
      <c r="E2417" s="3">
        <f t="shared" si="77"/>
        <v>-2.9276272258029402E-2</v>
      </c>
    </row>
    <row r="2418" spans="1:5" x14ac:dyDescent="0.45">
      <c r="A2418" s="2">
        <v>44104</v>
      </c>
      <c r="B2418" s="3">
        <v>38067.93</v>
      </c>
      <c r="C2418" s="3">
        <v>162.6</v>
      </c>
      <c r="D2418" s="3">
        <f t="shared" si="76"/>
        <v>2.4910209531135014E-3</v>
      </c>
      <c r="E2418" s="3">
        <f t="shared" si="77"/>
        <v>-3.9895710428303121E-3</v>
      </c>
    </row>
    <row r="2419" spans="1:5" x14ac:dyDescent="0.45">
      <c r="A2419" s="2">
        <v>44105</v>
      </c>
      <c r="B2419" s="3">
        <v>38697.050000000003</v>
      </c>
      <c r="C2419" s="3">
        <v>164.55</v>
      </c>
      <c r="D2419" s="3">
        <f t="shared" si="76"/>
        <v>1.6391174346446415E-2</v>
      </c>
      <c r="E2419" s="3">
        <f t="shared" si="77"/>
        <v>1.1921278275638731E-2</v>
      </c>
    </row>
    <row r="2420" spans="1:5" x14ac:dyDescent="0.45">
      <c r="A2420" s="2">
        <v>44109</v>
      </c>
      <c r="B2420" s="3">
        <v>38973.699999999997</v>
      </c>
      <c r="C2420" s="3">
        <v>162.75</v>
      </c>
      <c r="D2420" s="3">
        <f t="shared" si="76"/>
        <v>7.1236899328984788E-3</v>
      </c>
      <c r="E2420" s="3">
        <f t="shared" si="77"/>
        <v>-1.0999194300670369E-2</v>
      </c>
    </row>
    <row r="2421" spans="1:5" x14ac:dyDescent="0.45">
      <c r="A2421" s="2">
        <v>44110</v>
      </c>
      <c r="B2421" s="3">
        <v>39574.57</v>
      </c>
      <c r="C2421" s="3">
        <v>163.15</v>
      </c>
      <c r="D2421" s="3">
        <f t="shared" si="76"/>
        <v>1.5299680589690855E-2</v>
      </c>
      <c r="E2421" s="3">
        <f t="shared" si="77"/>
        <v>2.4547419506510538E-3</v>
      </c>
    </row>
    <row r="2422" spans="1:5" x14ac:dyDescent="0.45">
      <c r="A2422" s="2">
        <v>44111</v>
      </c>
      <c r="B2422" s="3">
        <v>39878.949999999997</v>
      </c>
      <c r="C2422" s="3">
        <v>159.5</v>
      </c>
      <c r="D2422" s="3">
        <f t="shared" si="76"/>
        <v>7.6618754973731759E-3</v>
      </c>
      <c r="E2422" s="3">
        <f t="shared" si="77"/>
        <v>-2.262610081443038E-2</v>
      </c>
    </row>
    <row r="2423" spans="1:5" x14ac:dyDescent="0.45">
      <c r="A2423" s="2">
        <v>44112</v>
      </c>
      <c r="B2423" s="3">
        <v>40182.67</v>
      </c>
      <c r="C2423" s="3">
        <v>158.30000000000001</v>
      </c>
      <c r="D2423" s="3">
        <f t="shared" si="76"/>
        <v>7.5871923895897619E-3</v>
      </c>
      <c r="E2423" s="3">
        <f t="shared" si="77"/>
        <v>-7.5519553379326809E-3</v>
      </c>
    </row>
    <row r="2424" spans="1:5" x14ac:dyDescent="0.45">
      <c r="A2424" s="2">
        <v>44113</v>
      </c>
      <c r="B2424" s="3">
        <v>40509.49</v>
      </c>
      <c r="C2424" s="3">
        <v>157.9</v>
      </c>
      <c r="D2424" s="3">
        <f t="shared" si="76"/>
        <v>8.1004595016204682E-3</v>
      </c>
      <c r="E2424" s="3">
        <f t="shared" si="77"/>
        <v>-2.5300456253700659E-3</v>
      </c>
    </row>
    <row r="2425" spans="1:5" x14ac:dyDescent="0.45">
      <c r="A2425" s="2">
        <v>44116</v>
      </c>
      <c r="B2425" s="3">
        <v>40593.800000000003</v>
      </c>
      <c r="C2425" s="3">
        <v>159.69999999999999</v>
      </c>
      <c r="D2425" s="3">
        <f t="shared" si="76"/>
        <v>2.0790779355466492E-3</v>
      </c>
      <c r="E2425" s="3">
        <f t="shared" si="77"/>
        <v>1.1335133959370134E-2</v>
      </c>
    </row>
    <row r="2426" spans="1:5" x14ac:dyDescent="0.45">
      <c r="A2426" s="2">
        <v>44117</v>
      </c>
      <c r="B2426" s="3">
        <v>40625.51</v>
      </c>
      <c r="C2426" s="3">
        <v>160.75</v>
      </c>
      <c r="D2426" s="3">
        <f t="shared" si="76"/>
        <v>7.8084883043686804E-4</v>
      </c>
      <c r="E2426" s="3">
        <f t="shared" si="77"/>
        <v>6.5533078967621719E-3</v>
      </c>
    </row>
    <row r="2427" spans="1:5" x14ac:dyDescent="0.45">
      <c r="A2427" s="2">
        <v>44118</v>
      </c>
      <c r="B2427" s="3">
        <v>40794.74</v>
      </c>
      <c r="C2427" s="3">
        <v>157</v>
      </c>
      <c r="D2427" s="3">
        <f t="shared" si="76"/>
        <v>4.1569571131321766E-3</v>
      </c>
      <c r="E2427" s="3">
        <f t="shared" si="77"/>
        <v>-2.3604557769420664E-2</v>
      </c>
    </row>
    <row r="2428" spans="1:5" x14ac:dyDescent="0.45">
      <c r="A2428" s="2">
        <v>44119</v>
      </c>
      <c r="B2428" s="3">
        <v>39728.410000000003</v>
      </c>
      <c r="C2428" s="3">
        <v>155.55000000000001</v>
      </c>
      <c r="D2428" s="3">
        <f t="shared" si="76"/>
        <v>-2.6486602640625592E-2</v>
      </c>
      <c r="E2428" s="3">
        <f t="shared" si="77"/>
        <v>-9.2785820046619727E-3</v>
      </c>
    </row>
    <row r="2429" spans="1:5" x14ac:dyDescent="0.45">
      <c r="A2429" s="2">
        <v>44120</v>
      </c>
      <c r="B2429" s="3">
        <v>39982.980000000003</v>
      </c>
      <c r="C2429" s="3">
        <v>158.94999999999999</v>
      </c>
      <c r="D2429" s="3">
        <f t="shared" si="76"/>
        <v>6.3873146733609085E-3</v>
      </c>
      <c r="E2429" s="3">
        <f t="shared" si="77"/>
        <v>2.162246401316549E-2</v>
      </c>
    </row>
    <row r="2430" spans="1:5" x14ac:dyDescent="0.45">
      <c r="A2430" s="2">
        <v>44123</v>
      </c>
      <c r="B2430" s="3">
        <v>40431.599999999999</v>
      </c>
      <c r="C2430" s="3">
        <v>159.75</v>
      </c>
      <c r="D2430" s="3">
        <f t="shared" si="76"/>
        <v>1.1157793879839136E-2</v>
      </c>
      <c r="E2430" s="3">
        <f t="shared" si="77"/>
        <v>5.0204059008326111E-3</v>
      </c>
    </row>
    <row r="2431" spans="1:5" x14ac:dyDescent="0.45">
      <c r="A2431" s="2">
        <v>44124</v>
      </c>
      <c r="B2431" s="3">
        <v>40544.370000000003</v>
      </c>
      <c r="C2431" s="3">
        <v>157.19999999999999</v>
      </c>
      <c r="D2431" s="3">
        <f t="shared" si="76"/>
        <v>2.785272542048748E-3</v>
      </c>
      <c r="E2431" s="3">
        <f t="shared" si="77"/>
        <v>-1.6091213262538068E-2</v>
      </c>
    </row>
    <row r="2432" spans="1:5" x14ac:dyDescent="0.45">
      <c r="A2432" s="2">
        <v>44125</v>
      </c>
      <c r="B2432" s="3">
        <v>40707.31</v>
      </c>
      <c r="C2432" s="3">
        <v>163.69999999999999</v>
      </c>
      <c r="D2432" s="3">
        <f t="shared" si="76"/>
        <v>4.0107532157593511E-3</v>
      </c>
      <c r="E2432" s="3">
        <f t="shared" si="77"/>
        <v>4.0516604381983068E-2</v>
      </c>
    </row>
    <row r="2433" spans="1:5" x14ac:dyDescent="0.45">
      <c r="A2433" s="2">
        <v>44126</v>
      </c>
      <c r="B2433" s="3">
        <v>40558.49</v>
      </c>
      <c r="C2433" s="3">
        <v>164.85</v>
      </c>
      <c r="D2433" s="3">
        <f t="shared" si="76"/>
        <v>-3.6625534076969147E-3</v>
      </c>
      <c r="E2433" s="3">
        <f t="shared" si="77"/>
        <v>7.0004851406509812E-3</v>
      </c>
    </row>
    <row r="2434" spans="1:5" x14ac:dyDescent="0.45">
      <c r="A2434" s="2">
        <v>44127</v>
      </c>
      <c r="B2434" s="3">
        <v>40685.5</v>
      </c>
      <c r="C2434" s="3">
        <v>170.15</v>
      </c>
      <c r="D2434" s="3">
        <f t="shared" si="76"/>
        <v>3.1266338216302089E-3</v>
      </c>
      <c r="E2434" s="3">
        <f t="shared" si="77"/>
        <v>3.1644431429174759E-2</v>
      </c>
    </row>
    <row r="2435" spans="1:5" x14ac:dyDescent="0.45">
      <c r="A2435" s="2">
        <v>44130</v>
      </c>
      <c r="B2435" s="3">
        <v>40145.5</v>
      </c>
      <c r="C2435" s="3">
        <v>172.1</v>
      </c>
      <c r="D2435" s="3">
        <f t="shared" si="76"/>
        <v>-1.3361409204454073E-2</v>
      </c>
      <c r="E2435" s="3">
        <f t="shared" si="77"/>
        <v>1.139530227057904E-2</v>
      </c>
    </row>
    <row r="2436" spans="1:5" x14ac:dyDescent="0.45">
      <c r="A2436" s="2">
        <v>44131</v>
      </c>
      <c r="B2436" s="3">
        <v>40522.1</v>
      </c>
      <c r="C2436" s="3">
        <v>173.6</v>
      </c>
      <c r="D2436" s="3">
        <f t="shared" si="76"/>
        <v>9.3371498859352673E-3</v>
      </c>
      <c r="E2436" s="3">
        <f t="shared" si="77"/>
        <v>8.6780990087561398E-3</v>
      </c>
    </row>
    <row r="2437" spans="1:5" x14ac:dyDescent="0.45">
      <c r="A2437" s="2">
        <v>44132</v>
      </c>
      <c r="B2437" s="3">
        <v>39922.46</v>
      </c>
      <c r="C2437" s="3">
        <v>172.9</v>
      </c>
      <c r="D2437" s="3">
        <f t="shared" si="76"/>
        <v>-1.4908431505064192E-2</v>
      </c>
      <c r="E2437" s="3">
        <f t="shared" si="77"/>
        <v>-4.0404095370048633E-3</v>
      </c>
    </row>
    <row r="2438" spans="1:5" x14ac:dyDescent="0.45">
      <c r="A2438" s="2">
        <v>44133</v>
      </c>
      <c r="B2438" s="3">
        <v>39749.85</v>
      </c>
      <c r="C2438" s="3">
        <v>171.55</v>
      </c>
      <c r="D2438" s="3">
        <f t="shared" ref="D2438:D2501" si="78">LN(B2438/B2437)</f>
        <v>-4.3330052828067008E-3</v>
      </c>
      <c r="E2438" s="3">
        <f t="shared" ref="E2438:E2501" si="79">LN(C2438/C2437)</f>
        <v>-7.8386233847860497E-3</v>
      </c>
    </row>
    <row r="2439" spans="1:5" x14ac:dyDescent="0.45">
      <c r="A2439" s="2">
        <v>44134</v>
      </c>
      <c r="B2439" s="3">
        <v>39614.07</v>
      </c>
      <c r="C2439" s="3">
        <v>171</v>
      </c>
      <c r="D2439" s="3">
        <f t="shared" si="78"/>
        <v>-3.4217093227517626E-3</v>
      </c>
      <c r="E2439" s="3">
        <f t="shared" si="79"/>
        <v>-3.2112128017989421E-3</v>
      </c>
    </row>
    <row r="2440" spans="1:5" x14ac:dyDescent="0.45">
      <c r="A2440" s="2">
        <v>44137</v>
      </c>
      <c r="B2440" s="3">
        <v>39757.58</v>
      </c>
      <c r="C2440" s="3">
        <v>173.1</v>
      </c>
      <c r="D2440" s="3">
        <f t="shared" si="78"/>
        <v>3.6161565593021356E-3</v>
      </c>
      <c r="E2440" s="3">
        <f t="shared" si="79"/>
        <v>1.2205905679503764E-2</v>
      </c>
    </row>
    <row r="2441" spans="1:5" x14ac:dyDescent="0.45">
      <c r="A2441" s="2">
        <v>44138</v>
      </c>
      <c r="B2441" s="3">
        <v>40261.129999999997</v>
      </c>
      <c r="C2441" s="3">
        <v>180.05</v>
      </c>
      <c r="D2441" s="3">
        <f t="shared" si="78"/>
        <v>1.2585972633747734E-2</v>
      </c>
      <c r="E2441" s="3">
        <f t="shared" si="79"/>
        <v>3.9365127912720704E-2</v>
      </c>
    </row>
    <row r="2442" spans="1:5" x14ac:dyDescent="0.45">
      <c r="A2442" s="2">
        <v>44139</v>
      </c>
      <c r="B2442" s="3">
        <v>40616.14</v>
      </c>
      <c r="C2442" s="3">
        <v>177.1</v>
      </c>
      <c r="D2442" s="3">
        <f t="shared" si="78"/>
        <v>8.7790371780103339E-3</v>
      </c>
      <c r="E2442" s="3">
        <f t="shared" si="79"/>
        <v>-1.6520045306096451E-2</v>
      </c>
    </row>
    <row r="2443" spans="1:5" x14ac:dyDescent="0.45">
      <c r="A2443" s="2">
        <v>44140</v>
      </c>
      <c r="B2443" s="3">
        <v>41340.160000000003</v>
      </c>
      <c r="C2443" s="3">
        <v>179.05</v>
      </c>
      <c r="D2443" s="3">
        <f t="shared" si="78"/>
        <v>1.7668900033002009E-2</v>
      </c>
      <c r="E2443" s="3">
        <f t="shared" si="79"/>
        <v>1.0950551655653977E-2</v>
      </c>
    </row>
    <row r="2444" spans="1:5" x14ac:dyDescent="0.45">
      <c r="A2444" s="2">
        <v>44141</v>
      </c>
      <c r="B2444" s="3">
        <v>41893.06</v>
      </c>
      <c r="C2444" s="3">
        <v>178.55</v>
      </c>
      <c r="D2444" s="3">
        <f t="shared" si="78"/>
        <v>1.3285756161662159E-2</v>
      </c>
      <c r="E2444" s="3">
        <f t="shared" si="79"/>
        <v>-2.7964224039842161E-3</v>
      </c>
    </row>
    <row r="2445" spans="1:5" x14ac:dyDescent="0.45">
      <c r="A2445" s="2">
        <v>44144</v>
      </c>
      <c r="B2445" s="3">
        <v>42597.43</v>
      </c>
      <c r="C2445" s="3">
        <v>184.05</v>
      </c>
      <c r="D2445" s="3">
        <f t="shared" si="78"/>
        <v>1.6673742065693841E-2</v>
      </c>
      <c r="E2445" s="3">
        <f t="shared" si="79"/>
        <v>3.0338785784572626E-2</v>
      </c>
    </row>
    <row r="2446" spans="1:5" x14ac:dyDescent="0.45">
      <c r="A2446" s="2">
        <v>44145</v>
      </c>
      <c r="B2446" s="3">
        <v>43277.65</v>
      </c>
      <c r="C2446" s="3">
        <v>185.95</v>
      </c>
      <c r="D2446" s="3">
        <f t="shared" si="78"/>
        <v>1.5842412650034114E-2</v>
      </c>
      <c r="E2446" s="3">
        <f t="shared" si="79"/>
        <v>1.0270360546048705E-2</v>
      </c>
    </row>
    <row r="2447" spans="1:5" x14ac:dyDescent="0.45">
      <c r="A2447" s="2">
        <v>44146</v>
      </c>
      <c r="B2447" s="3">
        <v>43593.67</v>
      </c>
      <c r="C2447" s="3">
        <v>189.5</v>
      </c>
      <c r="D2447" s="3">
        <f t="shared" si="78"/>
        <v>7.2756208615917632E-3</v>
      </c>
      <c r="E2447" s="3">
        <f t="shared" si="79"/>
        <v>1.8911204151402093E-2</v>
      </c>
    </row>
    <row r="2448" spans="1:5" x14ac:dyDescent="0.45">
      <c r="A2448" s="2">
        <v>44147</v>
      </c>
      <c r="B2448" s="3">
        <v>43357.19</v>
      </c>
      <c r="C2448" s="3">
        <v>189.45</v>
      </c>
      <c r="D2448" s="3">
        <f t="shared" si="78"/>
        <v>-5.4394075702966505E-3</v>
      </c>
      <c r="E2448" s="3">
        <f t="shared" si="79"/>
        <v>-2.6388705787133514E-4</v>
      </c>
    </row>
    <row r="2449" spans="1:5" x14ac:dyDescent="0.45">
      <c r="A2449" s="2">
        <v>44148</v>
      </c>
      <c r="B2449" s="3">
        <v>43443</v>
      </c>
      <c r="C2449" s="3">
        <v>188.85</v>
      </c>
      <c r="D2449" s="3">
        <f t="shared" si="78"/>
        <v>1.9771852562642956E-3</v>
      </c>
      <c r="E2449" s="3">
        <f t="shared" si="79"/>
        <v>-3.1720883061438789E-3</v>
      </c>
    </row>
    <row r="2450" spans="1:5" x14ac:dyDescent="0.45">
      <c r="A2450" s="2">
        <v>44149</v>
      </c>
      <c r="B2450" s="3">
        <v>43637.98</v>
      </c>
      <c r="C2450" s="3">
        <v>188.05</v>
      </c>
      <c r="D2450" s="3">
        <f t="shared" si="78"/>
        <v>4.4781380696319907E-3</v>
      </c>
      <c r="E2450" s="3">
        <f t="shared" si="79"/>
        <v>-4.2451642421203299E-3</v>
      </c>
    </row>
    <row r="2451" spans="1:5" x14ac:dyDescent="0.45">
      <c r="A2451" s="2">
        <v>44152</v>
      </c>
      <c r="B2451" s="3">
        <v>43952.71</v>
      </c>
      <c r="C2451" s="3">
        <v>186.8</v>
      </c>
      <c r="D2451" s="3">
        <f t="shared" si="78"/>
        <v>7.1864111244033758E-3</v>
      </c>
      <c r="E2451" s="3">
        <f t="shared" si="79"/>
        <v>-6.6693591216031561E-3</v>
      </c>
    </row>
    <row r="2452" spans="1:5" x14ac:dyDescent="0.45">
      <c r="A2452" s="2">
        <v>44153</v>
      </c>
      <c r="B2452" s="3">
        <v>44180.05</v>
      </c>
      <c r="C2452" s="3">
        <v>185.35</v>
      </c>
      <c r="D2452" s="3">
        <f t="shared" si="78"/>
        <v>5.1590465165365536E-3</v>
      </c>
      <c r="E2452" s="3">
        <f t="shared" si="79"/>
        <v>-7.7925961980010866E-3</v>
      </c>
    </row>
    <row r="2453" spans="1:5" x14ac:dyDescent="0.45">
      <c r="A2453" s="2">
        <v>44154</v>
      </c>
      <c r="B2453" s="3">
        <v>43599.96</v>
      </c>
      <c r="C2453" s="3">
        <v>189.85</v>
      </c>
      <c r="D2453" s="3">
        <f t="shared" si="78"/>
        <v>-1.3217096801771841E-2</v>
      </c>
      <c r="E2453" s="3">
        <f t="shared" si="79"/>
        <v>2.3988357081070007E-2</v>
      </c>
    </row>
    <row r="2454" spans="1:5" x14ac:dyDescent="0.45">
      <c r="A2454" s="2">
        <v>44155</v>
      </c>
      <c r="B2454" s="3">
        <v>43882.25</v>
      </c>
      <c r="C2454" s="3">
        <v>191.8</v>
      </c>
      <c r="D2454" s="3">
        <f t="shared" si="78"/>
        <v>6.4536773769141194E-3</v>
      </c>
      <c r="E2454" s="3">
        <f t="shared" si="79"/>
        <v>1.0218875771526598E-2</v>
      </c>
    </row>
    <row r="2455" spans="1:5" x14ac:dyDescent="0.45">
      <c r="A2455" s="2">
        <v>44158</v>
      </c>
      <c r="B2455" s="3">
        <v>44077.15</v>
      </c>
      <c r="C2455" s="3">
        <v>194.9</v>
      </c>
      <c r="D2455" s="3">
        <f t="shared" si="78"/>
        <v>4.4315972817203265E-3</v>
      </c>
      <c r="E2455" s="3">
        <f t="shared" si="79"/>
        <v>1.6033444064177206E-2</v>
      </c>
    </row>
    <row r="2456" spans="1:5" x14ac:dyDescent="0.45">
      <c r="A2456" s="2">
        <v>44159</v>
      </c>
      <c r="B2456" s="3">
        <v>44523.02</v>
      </c>
      <c r="C2456" s="3">
        <v>194.65</v>
      </c>
      <c r="D2456" s="3">
        <f t="shared" si="78"/>
        <v>1.0064851205708882E-2</v>
      </c>
      <c r="E2456" s="3">
        <f t="shared" si="79"/>
        <v>-1.2835324570504409E-3</v>
      </c>
    </row>
    <row r="2457" spans="1:5" x14ac:dyDescent="0.45">
      <c r="A2457" s="2">
        <v>44160</v>
      </c>
      <c r="B2457" s="3">
        <v>43828.1</v>
      </c>
      <c r="C2457" s="3">
        <v>195.3</v>
      </c>
      <c r="D2457" s="3">
        <f t="shared" si="78"/>
        <v>-1.5731194600738317E-2</v>
      </c>
      <c r="E2457" s="3">
        <f t="shared" si="79"/>
        <v>3.333763826168529E-3</v>
      </c>
    </row>
    <row r="2458" spans="1:5" x14ac:dyDescent="0.45">
      <c r="A2458" s="2">
        <v>44161</v>
      </c>
      <c r="B2458" s="3">
        <v>44259.74</v>
      </c>
      <c r="C2458" s="3">
        <v>197.7</v>
      </c>
      <c r="D2458" s="3">
        <f t="shared" si="78"/>
        <v>9.800296039997821E-3</v>
      </c>
      <c r="E2458" s="3">
        <f t="shared" si="79"/>
        <v>1.2213892293937777E-2</v>
      </c>
    </row>
    <row r="2459" spans="1:5" x14ac:dyDescent="0.45">
      <c r="A2459" s="2">
        <v>44162</v>
      </c>
      <c r="B2459" s="3">
        <v>44149.72</v>
      </c>
      <c r="C2459" s="3">
        <v>192.5</v>
      </c>
      <c r="D2459" s="3">
        <f t="shared" si="78"/>
        <v>-2.488875212974508E-3</v>
      </c>
      <c r="E2459" s="3">
        <f t="shared" si="79"/>
        <v>-2.6654576448732207E-2</v>
      </c>
    </row>
    <row r="2460" spans="1:5" x14ac:dyDescent="0.45">
      <c r="A2460" s="2">
        <v>44166</v>
      </c>
      <c r="B2460" s="3">
        <v>44655.44</v>
      </c>
      <c r="C2460" s="3">
        <v>192.3</v>
      </c>
      <c r="D2460" s="3">
        <f t="shared" si="78"/>
        <v>1.1389551393199497E-2</v>
      </c>
      <c r="E2460" s="3">
        <f t="shared" si="79"/>
        <v>-1.0395011331047785E-3</v>
      </c>
    </row>
    <row r="2461" spans="1:5" x14ac:dyDescent="0.45">
      <c r="A2461" s="2">
        <v>44167</v>
      </c>
      <c r="B2461" s="3">
        <v>44618.04</v>
      </c>
      <c r="C2461" s="3">
        <v>194</v>
      </c>
      <c r="D2461" s="3">
        <f t="shared" si="78"/>
        <v>-8.378748579759255E-4</v>
      </c>
      <c r="E2461" s="3">
        <f t="shared" si="79"/>
        <v>8.8015064685941103E-3</v>
      </c>
    </row>
    <row r="2462" spans="1:5" x14ac:dyDescent="0.45">
      <c r="A2462" s="2">
        <v>44168</v>
      </c>
      <c r="B2462" s="3">
        <v>44632.65</v>
      </c>
      <c r="C2462" s="3">
        <v>193.5</v>
      </c>
      <c r="D2462" s="3">
        <f t="shared" si="78"/>
        <v>3.2739242980650286E-4</v>
      </c>
      <c r="E2462" s="3">
        <f t="shared" si="79"/>
        <v>-2.5806465934916254E-3</v>
      </c>
    </row>
    <row r="2463" spans="1:5" x14ac:dyDescent="0.45">
      <c r="A2463" s="2">
        <v>44169</v>
      </c>
      <c r="B2463" s="3">
        <v>45079.55</v>
      </c>
      <c r="C2463" s="3">
        <v>194.35</v>
      </c>
      <c r="D2463" s="3">
        <f t="shared" si="78"/>
        <v>9.9630528889481963E-3</v>
      </c>
      <c r="E2463" s="3">
        <f t="shared" si="79"/>
        <v>4.3831448283957394E-3</v>
      </c>
    </row>
    <row r="2464" spans="1:5" x14ac:dyDescent="0.45">
      <c r="A2464" s="2">
        <v>44172</v>
      </c>
      <c r="B2464" s="3">
        <v>45426.97</v>
      </c>
      <c r="C2464" s="3">
        <v>193.55</v>
      </c>
      <c r="D2464" s="3">
        <f t="shared" si="78"/>
        <v>7.6772746632036157E-3</v>
      </c>
      <c r="E2464" s="3">
        <f t="shared" si="79"/>
        <v>-4.1247802745750213E-3</v>
      </c>
    </row>
    <row r="2465" spans="1:5" x14ac:dyDescent="0.45">
      <c r="A2465" s="2">
        <v>44173</v>
      </c>
      <c r="B2465" s="3">
        <v>45608.51</v>
      </c>
      <c r="C2465" s="3">
        <v>191.95</v>
      </c>
      <c r="D2465" s="3">
        <f t="shared" si="78"/>
        <v>3.9883403843030719E-3</v>
      </c>
      <c r="E2465" s="3">
        <f t="shared" si="79"/>
        <v>-8.3009555768504759E-3</v>
      </c>
    </row>
    <row r="2466" spans="1:5" x14ac:dyDescent="0.45">
      <c r="A2466" s="2">
        <v>44174</v>
      </c>
      <c r="B2466" s="3">
        <v>46103.5</v>
      </c>
      <c r="C2466" s="3">
        <v>192.7</v>
      </c>
      <c r="D2466" s="3">
        <f t="shared" si="78"/>
        <v>1.0794547114085994E-2</v>
      </c>
      <c r="E2466" s="3">
        <f t="shared" si="79"/>
        <v>3.8996539735139247E-3</v>
      </c>
    </row>
    <row r="2467" spans="1:5" x14ac:dyDescent="0.45">
      <c r="A2467" s="2">
        <v>44175</v>
      </c>
      <c r="B2467" s="3">
        <v>45959.88</v>
      </c>
      <c r="C2467" s="3">
        <v>192.85</v>
      </c>
      <c r="D2467" s="3">
        <f t="shared" si="78"/>
        <v>-3.1200270184854081E-3</v>
      </c>
      <c r="E2467" s="3">
        <f t="shared" si="79"/>
        <v>7.7810923391617313E-4</v>
      </c>
    </row>
    <row r="2468" spans="1:5" x14ac:dyDescent="0.45">
      <c r="A2468" s="2">
        <v>44176</v>
      </c>
      <c r="B2468" s="3">
        <v>46099.01</v>
      </c>
      <c r="C2468" s="3">
        <v>193.3</v>
      </c>
      <c r="D2468" s="3">
        <f t="shared" si="78"/>
        <v>3.0226327066919189E-3</v>
      </c>
      <c r="E2468" s="3">
        <f t="shared" si="79"/>
        <v>2.3307015600485693E-3</v>
      </c>
    </row>
    <row r="2469" spans="1:5" x14ac:dyDescent="0.45">
      <c r="A2469" s="2">
        <v>44179</v>
      </c>
      <c r="B2469" s="3">
        <v>46253.46</v>
      </c>
      <c r="C2469" s="3">
        <v>194.4</v>
      </c>
      <c r="D2469" s="3">
        <f t="shared" si="78"/>
        <v>3.3447972532752229E-3</v>
      </c>
      <c r="E2469" s="3">
        <f t="shared" si="79"/>
        <v>5.6745058120534443E-3</v>
      </c>
    </row>
    <row r="2470" spans="1:5" x14ac:dyDescent="0.45">
      <c r="A2470" s="2">
        <v>44180</v>
      </c>
      <c r="B2470" s="3">
        <v>46263.17</v>
      </c>
      <c r="C2470" s="3">
        <v>192.85</v>
      </c>
      <c r="D2470" s="3">
        <f t="shared" si="78"/>
        <v>2.0990820862485851E-4</v>
      </c>
      <c r="E2470" s="3">
        <f t="shared" si="79"/>
        <v>-8.0052073721019572E-3</v>
      </c>
    </row>
    <row r="2471" spans="1:5" x14ac:dyDescent="0.45">
      <c r="A2471" s="2">
        <v>44181</v>
      </c>
      <c r="B2471" s="3">
        <v>46666.46</v>
      </c>
      <c r="C2471" s="3">
        <v>196.2</v>
      </c>
      <c r="D2471" s="3">
        <f t="shared" si="78"/>
        <v>8.6795251802792572E-3</v>
      </c>
      <c r="E2471" s="3">
        <f t="shared" si="79"/>
        <v>1.7221862477025951E-2</v>
      </c>
    </row>
    <row r="2472" spans="1:5" x14ac:dyDescent="0.45">
      <c r="A2472" s="2">
        <v>44182</v>
      </c>
      <c r="B2472" s="3">
        <v>46890.34</v>
      </c>
      <c r="C2472" s="3">
        <v>193.25</v>
      </c>
      <c r="D2472" s="3">
        <f t="shared" si="78"/>
        <v>4.7859787282557992E-3</v>
      </c>
      <c r="E2472" s="3">
        <f t="shared" si="79"/>
        <v>-1.514985966373128E-2</v>
      </c>
    </row>
    <row r="2473" spans="1:5" x14ac:dyDescent="0.45">
      <c r="A2473" s="2">
        <v>44183</v>
      </c>
      <c r="B2473" s="3">
        <v>46960.69</v>
      </c>
      <c r="C2473" s="3">
        <v>194</v>
      </c>
      <c r="D2473" s="3">
        <f t="shared" si="78"/>
        <v>1.4991846797270001E-3</v>
      </c>
      <c r="E2473" s="3">
        <f t="shared" si="79"/>
        <v>3.8734715957968401E-3</v>
      </c>
    </row>
    <row r="2474" spans="1:5" x14ac:dyDescent="0.45">
      <c r="A2474" s="2">
        <v>44186</v>
      </c>
      <c r="B2474" s="3">
        <v>45553.96</v>
      </c>
      <c r="C2474" s="3">
        <v>185.45</v>
      </c>
      <c r="D2474" s="3">
        <f t="shared" si="78"/>
        <v>-3.041331140942052E-2</v>
      </c>
      <c r="E2474" s="3">
        <f t="shared" si="79"/>
        <v>-4.5072855127728392E-2</v>
      </c>
    </row>
    <row r="2475" spans="1:5" x14ac:dyDescent="0.45">
      <c r="A2475" s="2">
        <v>44187</v>
      </c>
      <c r="B2475" s="3">
        <v>46006.69</v>
      </c>
      <c r="C2475" s="3">
        <v>190.5</v>
      </c>
      <c r="D2475" s="3">
        <f t="shared" si="78"/>
        <v>9.8892633385691056E-3</v>
      </c>
      <c r="E2475" s="3">
        <f t="shared" si="79"/>
        <v>2.6866890631155872E-2</v>
      </c>
    </row>
    <row r="2476" spans="1:5" x14ac:dyDescent="0.45">
      <c r="A2476" s="2">
        <v>44188</v>
      </c>
      <c r="B2476" s="3">
        <v>46444.18</v>
      </c>
      <c r="C2476" s="3">
        <v>189.8</v>
      </c>
      <c r="D2476" s="3">
        <f t="shared" si="78"/>
        <v>9.4643406953320297E-3</v>
      </c>
      <c r="E2476" s="3">
        <f t="shared" si="79"/>
        <v>-3.6813083909281504E-3</v>
      </c>
    </row>
    <row r="2477" spans="1:5" x14ac:dyDescent="0.45">
      <c r="A2477" s="2">
        <v>44189</v>
      </c>
      <c r="B2477" s="3">
        <v>46973.54</v>
      </c>
      <c r="C2477" s="3">
        <v>189.95</v>
      </c>
      <c r="D2477" s="3">
        <f t="shared" si="78"/>
        <v>1.133330306220692E-2</v>
      </c>
      <c r="E2477" s="3">
        <f t="shared" si="79"/>
        <v>7.8999345780691131E-4</v>
      </c>
    </row>
    <row r="2478" spans="1:5" x14ac:dyDescent="0.45">
      <c r="A2478" s="2">
        <v>44193</v>
      </c>
      <c r="B2478" s="3">
        <v>47353.75</v>
      </c>
      <c r="C2478" s="3">
        <v>191.55</v>
      </c>
      <c r="D2478" s="3">
        <f t="shared" si="78"/>
        <v>8.0615495071847017E-3</v>
      </c>
      <c r="E2478" s="3">
        <f t="shared" si="79"/>
        <v>8.3879915130234926E-3</v>
      </c>
    </row>
    <row r="2479" spans="1:5" x14ac:dyDescent="0.45">
      <c r="A2479" s="2">
        <v>44194</v>
      </c>
      <c r="B2479" s="3">
        <v>47613.08</v>
      </c>
      <c r="C2479" s="3">
        <v>189.6</v>
      </c>
      <c r="D2479" s="3">
        <f t="shared" si="78"/>
        <v>5.4614994436921506E-3</v>
      </c>
      <c r="E2479" s="3">
        <f t="shared" si="79"/>
        <v>-1.0232281325736607E-2</v>
      </c>
    </row>
    <row r="2480" spans="1:5" x14ac:dyDescent="0.45">
      <c r="A2480" s="2">
        <v>44195</v>
      </c>
      <c r="B2480" s="3">
        <v>47746.22</v>
      </c>
      <c r="C2480" s="3">
        <v>190.15</v>
      </c>
      <c r="D2480" s="3">
        <f t="shared" si="78"/>
        <v>2.7923880840669663E-3</v>
      </c>
      <c r="E2480" s="3">
        <f t="shared" si="79"/>
        <v>2.8966445533472125E-3</v>
      </c>
    </row>
    <row r="2481" spans="1:5" x14ac:dyDescent="0.45">
      <c r="A2481" s="2">
        <v>44196</v>
      </c>
      <c r="B2481" s="3">
        <v>47751.33</v>
      </c>
      <c r="C2481" s="3">
        <v>189.8</v>
      </c>
      <c r="D2481" s="3">
        <f t="shared" si="78"/>
        <v>1.0701845240794921E-4</v>
      </c>
      <c r="E2481" s="3">
        <f t="shared" si="79"/>
        <v>-1.8423481984411244E-3</v>
      </c>
    </row>
    <row r="2482" spans="1:5" x14ac:dyDescent="0.45">
      <c r="A2482" s="2">
        <v>44197</v>
      </c>
      <c r="B2482" s="3">
        <v>47868.98</v>
      </c>
      <c r="C2482" s="3">
        <v>189.45</v>
      </c>
      <c r="D2482" s="3">
        <f t="shared" si="78"/>
        <v>2.46077552704662E-3</v>
      </c>
      <c r="E2482" s="3">
        <f t="shared" si="79"/>
        <v>-1.8457487112178278E-3</v>
      </c>
    </row>
    <row r="2483" spans="1:5" x14ac:dyDescent="0.45">
      <c r="A2483" s="2">
        <v>44200</v>
      </c>
      <c r="B2483" s="3">
        <v>48176.800000000003</v>
      </c>
      <c r="C2483" s="3">
        <v>188.3</v>
      </c>
      <c r="D2483" s="3">
        <f t="shared" si="78"/>
        <v>6.4098819112863538E-3</v>
      </c>
      <c r="E2483" s="3">
        <f t="shared" si="79"/>
        <v>-6.0887018015030134E-3</v>
      </c>
    </row>
    <row r="2484" spans="1:5" x14ac:dyDescent="0.45">
      <c r="A2484" s="2">
        <v>44201</v>
      </c>
      <c r="B2484" s="3">
        <v>48437.78</v>
      </c>
      <c r="C2484" s="3">
        <v>188</v>
      </c>
      <c r="D2484" s="3">
        <f t="shared" si="78"/>
        <v>5.4025103617045848E-3</v>
      </c>
      <c r="E2484" s="3">
        <f t="shared" si="79"/>
        <v>-1.5944728331575586E-3</v>
      </c>
    </row>
    <row r="2485" spans="1:5" x14ac:dyDescent="0.45">
      <c r="A2485" s="2">
        <v>44202</v>
      </c>
      <c r="B2485" s="3">
        <v>48174.06</v>
      </c>
      <c r="C2485" s="3">
        <v>196.15</v>
      </c>
      <c r="D2485" s="3">
        <f t="shared" si="78"/>
        <v>-5.4593858270763724E-3</v>
      </c>
      <c r="E2485" s="3">
        <f t="shared" si="79"/>
        <v>4.2437709825612499E-2</v>
      </c>
    </row>
    <row r="2486" spans="1:5" x14ac:dyDescent="0.45">
      <c r="A2486" s="2">
        <v>44203</v>
      </c>
      <c r="B2486" s="3">
        <v>48093.32</v>
      </c>
      <c r="C2486" s="3">
        <v>196.95</v>
      </c>
      <c r="D2486" s="3">
        <f t="shared" si="78"/>
        <v>-1.6774117864551438E-3</v>
      </c>
      <c r="E2486" s="3">
        <f t="shared" si="79"/>
        <v>4.0702167613533222E-3</v>
      </c>
    </row>
    <row r="2487" spans="1:5" x14ac:dyDescent="0.45">
      <c r="A2487" s="2">
        <v>44204</v>
      </c>
      <c r="B2487" s="3">
        <v>48782.51</v>
      </c>
      <c r="C2487" s="3">
        <v>203.85</v>
      </c>
      <c r="D2487" s="3">
        <f t="shared" si="78"/>
        <v>1.4228556850052339E-2</v>
      </c>
      <c r="E2487" s="3">
        <f t="shared" si="79"/>
        <v>3.4434539848347538E-2</v>
      </c>
    </row>
    <row r="2488" spans="1:5" x14ac:dyDescent="0.45">
      <c r="A2488" s="2">
        <v>44207</v>
      </c>
      <c r="B2488" s="3">
        <v>49269.32</v>
      </c>
      <c r="C2488" s="3">
        <v>203.35</v>
      </c>
      <c r="D2488" s="3">
        <f t="shared" si="78"/>
        <v>9.9297279801621816E-3</v>
      </c>
      <c r="E2488" s="3">
        <f t="shared" si="79"/>
        <v>-2.4557969120288944E-3</v>
      </c>
    </row>
    <row r="2489" spans="1:5" x14ac:dyDescent="0.45">
      <c r="A2489" s="2">
        <v>44208</v>
      </c>
      <c r="B2489" s="3">
        <v>49517.11</v>
      </c>
      <c r="C2489" s="3">
        <v>203.8</v>
      </c>
      <c r="D2489" s="3">
        <f t="shared" si="78"/>
        <v>5.0166914561312094E-3</v>
      </c>
      <c r="E2489" s="3">
        <f t="shared" si="79"/>
        <v>2.2104884353909759E-3</v>
      </c>
    </row>
    <row r="2490" spans="1:5" x14ac:dyDescent="0.45">
      <c r="A2490" s="2">
        <v>44209</v>
      </c>
      <c r="B2490" s="3">
        <v>49492.32</v>
      </c>
      <c r="C2490" s="3">
        <v>204.95</v>
      </c>
      <c r="D2490" s="3">
        <f t="shared" si="78"/>
        <v>-5.0076039258137198E-4</v>
      </c>
      <c r="E2490" s="3">
        <f t="shared" si="79"/>
        <v>5.6269261617220099E-3</v>
      </c>
    </row>
    <row r="2491" spans="1:5" x14ac:dyDescent="0.45">
      <c r="A2491" s="2">
        <v>44210</v>
      </c>
      <c r="B2491" s="3">
        <v>49584.160000000003</v>
      </c>
      <c r="C2491" s="3">
        <v>204.9</v>
      </c>
      <c r="D2491" s="3">
        <f t="shared" si="78"/>
        <v>1.8539218653046649E-3</v>
      </c>
      <c r="E2491" s="3">
        <f t="shared" si="79"/>
        <v>-2.4399170549242605E-4</v>
      </c>
    </row>
    <row r="2492" spans="1:5" x14ac:dyDescent="0.45">
      <c r="A2492" s="2">
        <v>44211</v>
      </c>
      <c r="B2492" s="3">
        <v>49034.67</v>
      </c>
      <c r="C2492" s="3">
        <v>203.05</v>
      </c>
      <c r="D2492" s="3">
        <f t="shared" si="78"/>
        <v>-1.1143828952734134E-2</v>
      </c>
      <c r="E2492" s="3">
        <f t="shared" si="79"/>
        <v>-9.0698011125472048E-3</v>
      </c>
    </row>
    <row r="2493" spans="1:5" x14ac:dyDescent="0.45">
      <c r="A2493" s="2">
        <v>44214</v>
      </c>
      <c r="B2493" s="3">
        <v>48564.27</v>
      </c>
      <c r="C2493" s="3">
        <v>195.95</v>
      </c>
      <c r="D2493" s="3">
        <f t="shared" si="78"/>
        <v>-9.6395235947159229E-3</v>
      </c>
      <c r="E2493" s="3">
        <f t="shared" si="79"/>
        <v>-3.5592729486666481E-2</v>
      </c>
    </row>
    <row r="2494" spans="1:5" x14ac:dyDescent="0.45">
      <c r="A2494" s="2">
        <v>44215</v>
      </c>
      <c r="B2494" s="3">
        <v>49398.29</v>
      </c>
      <c r="C2494" s="3">
        <v>199.8</v>
      </c>
      <c r="D2494" s="3">
        <f t="shared" si="78"/>
        <v>1.7027732870028803E-2</v>
      </c>
      <c r="E2494" s="3">
        <f t="shared" si="79"/>
        <v>1.945734156881283E-2</v>
      </c>
    </row>
    <row r="2495" spans="1:5" x14ac:dyDescent="0.45">
      <c r="A2495" s="2">
        <v>44216</v>
      </c>
      <c r="B2495" s="3">
        <v>49792.12</v>
      </c>
      <c r="C2495" s="3">
        <v>196.3</v>
      </c>
      <c r="D2495" s="3">
        <f t="shared" si="78"/>
        <v>7.9409303685940274E-3</v>
      </c>
      <c r="E2495" s="3">
        <f t="shared" si="79"/>
        <v>-1.7672764932037757E-2</v>
      </c>
    </row>
    <row r="2496" spans="1:5" x14ac:dyDescent="0.45">
      <c r="A2496" s="2">
        <v>44217</v>
      </c>
      <c r="B2496" s="3">
        <v>49624.76</v>
      </c>
      <c r="C2496" s="3">
        <v>195</v>
      </c>
      <c r="D2496" s="3">
        <f t="shared" si="78"/>
        <v>-3.366835855109899E-3</v>
      </c>
      <c r="E2496" s="3">
        <f t="shared" si="79"/>
        <v>-6.6445427186686131E-3</v>
      </c>
    </row>
    <row r="2497" spans="1:5" x14ac:dyDescent="0.45">
      <c r="A2497" s="2">
        <v>44218</v>
      </c>
      <c r="B2497" s="3">
        <v>48878.54</v>
      </c>
      <c r="C2497" s="3">
        <v>194</v>
      </c>
      <c r="D2497" s="3">
        <f t="shared" si="78"/>
        <v>-1.515145737347208E-2</v>
      </c>
      <c r="E2497" s="3">
        <f t="shared" si="79"/>
        <v>-5.1413995004186523E-3</v>
      </c>
    </row>
    <row r="2498" spans="1:5" x14ac:dyDescent="0.45">
      <c r="A2498" s="2">
        <v>44221</v>
      </c>
      <c r="B2498" s="3">
        <v>48347.59</v>
      </c>
      <c r="C2498" s="3">
        <v>190.2</v>
      </c>
      <c r="D2498" s="3">
        <f t="shared" si="78"/>
        <v>-1.0922069574216877E-2</v>
      </c>
      <c r="E2498" s="3">
        <f t="shared" si="79"/>
        <v>-1.9782008952038244E-2</v>
      </c>
    </row>
    <row r="2499" spans="1:5" x14ac:dyDescent="0.45">
      <c r="A2499" s="2">
        <v>44223</v>
      </c>
      <c r="B2499" s="3">
        <v>47409.93</v>
      </c>
      <c r="C2499" s="3">
        <v>192.5</v>
      </c>
      <c r="D2499" s="3">
        <f t="shared" si="78"/>
        <v>-1.9584675344748361E-2</v>
      </c>
      <c r="E2499" s="3">
        <f t="shared" si="79"/>
        <v>1.2020003616549129E-2</v>
      </c>
    </row>
    <row r="2500" spans="1:5" x14ac:dyDescent="0.45">
      <c r="A2500" s="2">
        <v>44224</v>
      </c>
      <c r="B2500" s="3">
        <v>46874.36</v>
      </c>
      <c r="C2500" s="3">
        <v>187.2</v>
      </c>
      <c r="D2500" s="3">
        <f t="shared" si="78"/>
        <v>-1.1360869567148102E-2</v>
      </c>
      <c r="E2500" s="3">
        <f t="shared" si="79"/>
        <v>-2.7918589684347343E-2</v>
      </c>
    </row>
    <row r="2501" spans="1:5" x14ac:dyDescent="0.45">
      <c r="A2501" s="2">
        <v>44225</v>
      </c>
      <c r="B2501" s="3">
        <v>46285.77</v>
      </c>
      <c r="C2501" s="3">
        <v>184.2</v>
      </c>
      <c r="D2501" s="3">
        <f t="shared" si="78"/>
        <v>-1.2636260424038752E-2</v>
      </c>
      <c r="E2501" s="3">
        <f t="shared" si="79"/>
        <v>-1.6155440222285256E-2</v>
      </c>
    </row>
    <row r="2502" spans="1:5" x14ac:dyDescent="0.45">
      <c r="A2502" s="2">
        <v>44228</v>
      </c>
      <c r="B2502" s="3">
        <v>48600.61</v>
      </c>
      <c r="C2502" s="3">
        <v>189</v>
      </c>
      <c r="D2502" s="3">
        <f t="shared" ref="D2502:D2565" si="80">LN(B2502/B2501)</f>
        <v>4.8801511828013282E-2</v>
      </c>
      <c r="E2502" s="3">
        <f t="shared" ref="E2502:E2565" si="81">LN(C2502/C2501)</f>
        <v>2.572489123843592E-2</v>
      </c>
    </row>
    <row r="2503" spans="1:5" x14ac:dyDescent="0.45">
      <c r="A2503" s="2">
        <v>44229</v>
      </c>
      <c r="B2503" s="3">
        <v>49797.72</v>
      </c>
      <c r="C2503" s="3">
        <v>194.2</v>
      </c>
      <c r="D2503" s="3">
        <f t="shared" si="80"/>
        <v>2.4333117581988854E-2</v>
      </c>
      <c r="E2503" s="3">
        <f t="shared" si="81"/>
        <v>2.7141540797582134E-2</v>
      </c>
    </row>
    <row r="2504" spans="1:5" x14ac:dyDescent="0.45">
      <c r="A2504" s="2">
        <v>44230</v>
      </c>
      <c r="B2504" s="3">
        <v>50255.75</v>
      </c>
      <c r="C2504" s="3">
        <v>206.4</v>
      </c>
      <c r="D2504" s="3">
        <f t="shared" si="80"/>
        <v>9.1557684035158127E-3</v>
      </c>
      <c r="E2504" s="3">
        <f t="shared" si="81"/>
        <v>6.0927477750183139E-2</v>
      </c>
    </row>
    <row r="2505" spans="1:5" x14ac:dyDescent="0.45">
      <c r="A2505" s="2">
        <v>44231</v>
      </c>
      <c r="B2505" s="3">
        <v>50614.29</v>
      </c>
      <c r="C2505" s="3">
        <v>205.3</v>
      </c>
      <c r="D2505" s="3">
        <f t="shared" si="80"/>
        <v>7.1089792366011897E-3</v>
      </c>
      <c r="E2505" s="3">
        <f t="shared" si="81"/>
        <v>-5.3437095825197905E-3</v>
      </c>
    </row>
    <row r="2506" spans="1:5" x14ac:dyDescent="0.45">
      <c r="A2506" s="2">
        <v>44232</v>
      </c>
      <c r="B2506" s="3">
        <v>50731.63</v>
      </c>
      <c r="C2506" s="3">
        <v>207.05</v>
      </c>
      <c r="D2506" s="3">
        <f t="shared" si="80"/>
        <v>2.315634461318427E-3</v>
      </c>
      <c r="E2506" s="3">
        <f t="shared" si="81"/>
        <v>8.4879859666884046E-3</v>
      </c>
    </row>
    <row r="2507" spans="1:5" x14ac:dyDescent="0.45">
      <c r="A2507" s="2">
        <v>44235</v>
      </c>
      <c r="B2507" s="3">
        <v>51348.77</v>
      </c>
      <c r="C2507" s="3">
        <v>212.45</v>
      </c>
      <c r="D2507" s="3">
        <f t="shared" si="80"/>
        <v>1.2091400874322453E-2</v>
      </c>
      <c r="E2507" s="3">
        <f t="shared" si="81"/>
        <v>2.5746356569244119E-2</v>
      </c>
    </row>
    <row r="2508" spans="1:5" x14ac:dyDescent="0.45">
      <c r="A2508" s="2">
        <v>44236</v>
      </c>
      <c r="B2508" s="3">
        <v>51329.08</v>
      </c>
      <c r="C2508" s="3">
        <v>210.75</v>
      </c>
      <c r="D2508" s="3">
        <f t="shared" si="80"/>
        <v>-3.8352965593558657E-4</v>
      </c>
      <c r="E2508" s="3">
        <f t="shared" si="81"/>
        <v>-8.0340696788556779E-3</v>
      </c>
    </row>
    <row r="2509" spans="1:5" x14ac:dyDescent="0.45">
      <c r="A2509" s="2">
        <v>44237</v>
      </c>
      <c r="B2509" s="3">
        <v>51309.39</v>
      </c>
      <c r="C2509" s="3">
        <v>210.35</v>
      </c>
      <c r="D2509" s="3">
        <f t="shared" si="80"/>
        <v>-3.8367680737148656E-4</v>
      </c>
      <c r="E2509" s="3">
        <f t="shared" si="81"/>
        <v>-1.8997868454349851E-3</v>
      </c>
    </row>
    <row r="2510" spans="1:5" x14ac:dyDescent="0.45">
      <c r="A2510" s="2">
        <v>44238</v>
      </c>
      <c r="B2510" s="3">
        <v>51531.519999999997</v>
      </c>
      <c r="C2510" s="3">
        <v>213.7</v>
      </c>
      <c r="D2510" s="3">
        <f t="shared" si="80"/>
        <v>4.3198829228124234E-3</v>
      </c>
      <c r="E2510" s="3">
        <f t="shared" si="81"/>
        <v>1.5800352288572E-2</v>
      </c>
    </row>
    <row r="2511" spans="1:5" x14ac:dyDescent="0.45">
      <c r="A2511" s="2">
        <v>44239</v>
      </c>
      <c r="B2511" s="3">
        <v>51544.3</v>
      </c>
      <c r="C2511" s="3">
        <v>212.75</v>
      </c>
      <c r="D2511" s="3">
        <f t="shared" si="80"/>
        <v>2.4797280420364265E-4</v>
      </c>
      <c r="E2511" s="3">
        <f t="shared" si="81"/>
        <v>-4.4553948716183987E-3</v>
      </c>
    </row>
    <row r="2512" spans="1:5" x14ac:dyDescent="0.45">
      <c r="A2512" s="2">
        <v>44242</v>
      </c>
      <c r="B2512" s="3">
        <v>52154.13</v>
      </c>
      <c r="C2512" s="3">
        <v>212.2</v>
      </c>
      <c r="D2512" s="3">
        <f t="shared" si="80"/>
        <v>1.1761740852460538E-2</v>
      </c>
      <c r="E2512" s="3">
        <f t="shared" si="81"/>
        <v>-2.5885412736008553E-3</v>
      </c>
    </row>
    <row r="2513" spans="1:5" x14ac:dyDescent="0.45">
      <c r="A2513" s="2">
        <v>44243</v>
      </c>
      <c r="B2513" s="3">
        <v>52104.17</v>
      </c>
      <c r="C2513" s="3">
        <v>225.45</v>
      </c>
      <c r="D2513" s="3">
        <f t="shared" si="80"/>
        <v>-9.5838899778832528E-4</v>
      </c>
      <c r="E2513" s="3">
        <f t="shared" si="81"/>
        <v>6.0569178687210422E-2</v>
      </c>
    </row>
    <row r="2514" spans="1:5" x14ac:dyDescent="0.45">
      <c r="A2514" s="2">
        <v>44244</v>
      </c>
      <c r="B2514" s="3">
        <v>51703.83</v>
      </c>
      <c r="C2514" s="3">
        <v>230.05</v>
      </c>
      <c r="D2514" s="3">
        <f t="shared" si="80"/>
        <v>-7.7131239357211426E-3</v>
      </c>
      <c r="E2514" s="3">
        <f t="shared" si="81"/>
        <v>2.0198271734384581E-2</v>
      </c>
    </row>
    <row r="2515" spans="1:5" x14ac:dyDescent="0.45">
      <c r="A2515" s="2">
        <v>44245</v>
      </c>
      <c r="B2515" s="3">
        <v>51324.69</v>
      </c>
      <c r="C2515" s="3">
        <v>236.6</v>
      </c>
      <c r="D2515" s="3">
        <f t="shared" si="80"/>
        <v>-7.3599370632072844E-3</v>
      </c>
      <c r="E2515" s="3">
        <f t="shared" si="81"/>
        <v>2.8074274942808761E-2</v>
      </c>
    </row>
    <row r="2516" spans="1:5" x14ac:dyDescent="0.45">
      <c r="A2516" s="2">
        <v>44246</v>
      </c>
      <c r="B2516" s="3">
        <v>50889.760000000002</v>
      </c>
      <c r="C2516" s="3">
        <v>232.2</v>
      </c>
      <c r="D2516" s="3">
        <f t="shared" si="80"/>
        <v>-8.5101984098216923E-3</v>
      </c>
      <c r="E2516" s="3">
        <f t="shared" si="81"/>
        <v>-1.877188228049536E-2</v>
      </c>
    </row>
    <row r="2517" spans="1:5" x14ac:dyDescent="0.45">
      <c r="A2517" s="2">
        <v>44249</v>
      </c>
      <c r="B2517" s="3">
        <v>49744.32</v>
      </c>
      <c r="C2517" s="3">
        <v>224.9</v>
      </c>
      <c r="D2517" s="3">
        <f t="shared" si="80"/>
        <v>-2.2765438303043766E-2</v>
      </c>
      <c r="E2517" s="3">
        <f t="shared" si="81"/>
        <v>-3.1943210298521041E-2</v>
      </c>
    </row>
    <row r="2518" spans="1:5" x14ac:dyDescent="0.45">
      <c r="A2518" s="2">
        <v>44250</v>
      </c>
      <c r="B2518" s="3">
        <v>49751.41</v>
      </c>
      <c r="C2518" s="3">
        <v>225.95</v>
      </c>
      <c r="D2518" s="3">
        <f t="shared" si="80"/>
        <v>1.4251867918363227E-4</v>
      </c>
      <c r="E2518" s="3">
        <f t="shared" si="81"/>
        <v>4.6578768920185381E-3</v>
      </c>
    </row>
    <row r="2519" spans="1:5" x14ac:dyDescent="0.45">
      <c r="A2519" s="2">
        <v>44251</v>
      </c>
      <c r="B2519" s="3">
        <v>50781.69</v>
      </c>
      <c r="C2519" s="3">
        <v>222.65</v>
      </c>
      <c r="D2519" s="3">
        <f t="shared" si="80"/>
        <v>2.0497051630432448E-2</v>
      </c>
      <c r="E2519" s="3">
        <f t="shared" si="81"/>
        <v>-1.4712704089577189E-2</v>
      </c>
    </row>
    <row r="2520" spans="1:5" x14ac:dyDescent="0.45">
      <c r="A2520" s="2">
        <v>44252</v>
      </c>
      <c r="B2520" s="3">
        <v>51039.31</v>
      </c>
      <c r="C2520" s="3">
        <v>227.75</v>
      </c>
      <c r="D2520" s="3">
        <f t="shared" si="80"/>
        <v>5.0602635944185965E-3</v>
      </c>
      <c r="E2520" s="3">
        <f t="shared" si="81"/>
        <v>2.2647504372356339E-2</v>
      </c>
    </row>
    <row r="2521" spans="1:5" x14ac:dyDescent="0.45">
      <c r="A2521" s="2">
        <v>44253</v>
      </c>
      <c r="B2521" s="3">
        <v>49099.99</v>
      </c>
      <c r="C2521" s="3">
        <v>214.8</v>
      </c>
      <c r="D2521" s="3">
        <f t="shared" si="80"/>
        <v>-3.8737289001910653E-2</v>
      </c>
      <c r="E2521" s="3">
        <f t="shared" si="81"/>
        <v>-5.8541173505358077E-2</v>
      </c>
    </row>
    <row r="2522" spans="1:5" x14ac:dyDescent="0.45">
      <c r="A2522" s="2">
        <v>44256</v>
      </c>
      <c r="B2522" s="3">
        <v>49849.84</v>
      </c>
      <c r="C2522" s="3">
        <v>227.55</v>
      </c>
      <c r="D2522" s="3">
        <f t="shared" si="80"/>
        <v>1.5156455639343468E-2</v>
      </c>
      <c r="E2522" s="3">
        <f t="shared" si="81"/>
        <v>5.7662631827941402E-2</v>
      </c>
    </row>
    <row r="2523" spans="1:5" x14ac:dyDescent="0.45">
      <c r="A2523" s="2">
        <v>44257</v>
      </c>
      <c r="B2523" s="3">
        <v>50296.89</v>
      </c>
      <c r="C2523" s="3">
        <v>224.85</v>
      </c>
      <c r="D2523" s="3">
        <f t="shared" si="80"/>
        <v>8.9279593945457893E-3</v>
      </c>
      <c r="E2523" s="3">
        <f t="shared" si="81"/>
        <v>-1.193648124593465E-2</v>
      </c>
    </row>
    <row r="2524" spans="1:5" x14ac:dyDescent="0.45">
      <c r="A2524" s="2">
        <v>44258</v>
      </c>
      <c r="B2524" s="3">
        <v>51444.65</v>
      </c>
      <c r="C2524" s="3">
        <v>227.45</v>
      </c>
      <c r="D2524" s="3">
        <f t="shared" si="80"/>
        <v>2.2563226254022045E-2</v>
      </c>
      <c r="E2524" s="3">
        <f t="shared" si="81"/>
        <v>1.1496920799296572E-2</v>
      </c>
    </row>
    <row r="2525" spans="1:5" x14ac:dyDescent="0.45">
      <c r="A2525" s="2">
        <v>44259</v>
      </c>
      <c r="B2525" s="3">
        <v>50846.080000000002</v>
      </c>
      <c r="C2525" s="3">
        <v>225.1</v>
      </c>
      <c r="D2525" s="3">
        <f t="shared" si="80"/>
        <v>-1.1703442378214567E-2</v>
      </c>
      <c r="E2525" s="3">
        <f t="shared" si="81"/>
        <v>-1.03856861033265E-2</v>
      </c>
    </row>
    <row r="2526" spans="1:5" x14ac:dyDescent="0.45">
      <c r="A2526" s="2">
        <v>44260</v>
      </c>
      <c r="B2526" s="3">
        <v>50405.32</v>
      </c>
      <c r="C2526" s="3">
        <v>220.3</v>
      </c>
      <c r="D2526" s="3">
        <f t="shared" si="80"/>
        <v>-8.7063049818801447E-3</v>
      </c>
      <c r="E2526" s="3">
        <f t="shared" si="81"/>
        <v>-2.1554494104389019E-2</v>
      </c>
    </row>
    <row r="2527" spans="1:5" x14ac:dyDescent="0.45">
      <c r="A2527" s="2">
        <v>44263</v>
      </c>
      <c r="B2527" s="3">
        <v>50441.07</v>
      </c>
      <c r="C2527" s="3">
        <v>220.3</v>
      </c>
      <c r="D2527" s="3">
        <f t="shared" si="80"/>
        <v>7.0899913219644528E-4</v>
      </c>
      <c r="E2527" s="3">
        <f t="shared" si="81"/>
        <v>0</v>
      </c>
    </row>
    <row r="2528" spans="1:5" x14ac:dyDescent="0.45">
      <c r="A2528" s="2">
        <v>44264</v>
      </c>
      <c r="B2528" s="3">
        <v>51025.48</v>
      </c>
      <c r="C2528" s="3">
        <v>215.95</v>
      </c>
      <c r="D2528" s="3">
        <f t="shared" si="80"/>
        <v>1.151939161053853E-2</v>
      </c>
      <c r="E2528" s="3">
        <f t="shared" si="81"/>
        <v>-1.9943354401587364E-2</v>
      </c>
    </row>
    <row r="2529" spans="1:5" x14ac:dyDescent="0.45">
      <c r="A2529" s="2">
        <v>44265</v>
      </c>
      <c r="B2529" s="3">
        <v>51279.51</v>
      </c>
      <c r="C2529" s="3">
        <v>215.1</v>
      </c>
      <c r="D2529" s="3">
        <f t="shared" si="80"/>
        <v>4.9661413795287082E-3</v>
      </c>
      <c r="E2529" s="3">
        <f t="shared" si="81"/>
        <v>-3.9438631330257568E-3</v>
      </c>
    </row>
    <row r="2530" spans="1:5" x14ac:dyDescent="0.45">
      <c r="A2530" s="2">
        <v>44267</v>
      </c>
      <c r="B2530" s="3">
        <v>50792.08</v>
      </c>
      <c r="C2530" s="3">
        <v>220</v>
      </c>
      <c r="D2530" s="3">
        <f t="shared" si="80"/>
        <v>-9.5508202664488073E-3</v>
      </c>
      <c r="E2530" s="3">
        <f t="shared" si="81"/>
        <v>2.2524510078677246E-2</v>
      </c>
    </row>
    <row r="2531" spans="1:5" x14ac:dyDescent="0.45">
      <c r="A2531" s="2">
        <v>44270</v>
      </c>
      <c r="B2531" s="3">
        <v>50395.08</v>
      </c>
      <c r="C2531" s="3">
        <v>224.1</v>
      </c>
      <c r="D2531" s="3">
        <f t="shared" si="80"/>
        <v>-7.8468856534430528E-3</v>
      </c>
      <c r="E2531" s="3">
        <f t="shared" si="81"/>
        <v>1.8464834454519703E-2</v>
      </c>
    </row>
    <row r="2532" spans="1:5" x14ac:dyDescent="0.45">
      <c r="A2532" s="2">
        <v>44271</v>
      </c>
      <c r="B2532" s="3">
        <v>50363.96</v>
      </c>
      <c r="C2532" s="3">
        <v>224.25</v>
      </c>
      <c r="D2532" s="3">
        <f t="shared" si="80"/>
        <v>-6.1771134360814699E-4</v>
      </c>
      <c r="E2532" s="3">
        <f t="shared" si="81"/>
        <v>6.6912013202419414E-4</v>
      </c>
    </row>
    <row r="2533" spans="1:5" x14ac:dyDescent="0.45">
      <c r="A2533" s="2">
        <v>44272</v>
      </c>
      <c r="B2533" s="3">
        <v>49801.62</v>
      </c>
      <c r="C2533" s="3">
        <v>220.6</v>
      </c>
      <c r="D2533" s="3">
        <f t="shared" si="80"/>
        <v>-1.1228326299050058E-2</v>
      </c>
      <c r="E2533" s="3">
        <f t="shared" si="81"/>
        <v>-1.6410394119503454E-2</v>
      </c>
    </row>
    <row r="2534" spans="1:5" x14ac:dyDescent="0.45">
      <c r="A2534" s="2">
        <v>44273</v>
      </c>
      <c r="B2534" s="3">
        <v>49216.52</v>
      </c>
      <c r="C2534" s="3">
        <v>221.1</v>
      </c>
      <c r="D2534" s="3">
        <f t="shared" si="80"/>
        <v>-1.1818174124933046E-2</v>
      </c>
      <c r="E2534" s="3">
        <f t="shared" si="81"/>
        <v>2.2639810439984789E-3</v>
      </c>
    </row>
    <row r="2535" spans="1:5" x14ac:dyDescent="0.45">
      <c r="A2535" s="2">
        <v>44274</v>
      </c>
      <c r="B2535" s="3">
        <v>49858.239999999998</v>
      </c>
      <c r="C2535" s="3">
        <v>230.35</v>
      </c>
      <c r="D2535" s="3">
        <f t="shared" si="80"/>
        <v>1.2954439138586923E-2</v>
      </c>
      <c r="E2535" s="3">
        <f t="shared" si="81"/>
        <v>4.0984803518525355E-2</v>
      </c>
    </row>
    <row r="2536" spans="1:5" x14ac:dyDescent="0.45">
      <c r="A2536" s="2">
        <v>44277</v>
      </c>
      <c r="B2536" s="3">
        <v>49771.29</v>
      </c>
      <c r="C2536" s="3">
        <v>223.55</v>
      </c>
      <c r="D2536" s="3">
        <f t="shared" si="80"/>
        <v>-1.7454668726340466E-3</v>
      </c>
      <c r="E2536" s="3">
        <f t="shared" si="81"/>
        <v>-2.9964788701936279E-2</v>
      </c>
    </row>
    <row r="2537" spans="1:5" x14ac:dyDescent="0.45">
      <c r="A2537" s="2">
        <v>44278</v>
      </c>
      <c r="B2537" s="3">
        <v>50051.44</v>
      </c>
      <c r="C2537" s="3">
        <v>219.15</v>
      </c>
      <c r="D2537" s="3">
        <f t="shared" si="80"/>
        <v>5.6129648131006587E-3</v>
      </c>
      <c r="E2537" s="3">
        <f t="shared" si="81"/>
        <v>-1.9878675815171457E-2</v>
      </c>
    </row>
    <row r="2538" spans="1:5" x14ac:dyDescent="0.45">
      <c r="A2538" s="2">
        <v>44279</v>
      </c>
      <c r="B2538" s="3">
        <v>49180.31</v>
      </c>
      <c r="C2538" s="3">
        <v>221.3</v>
      </c>
      <c r="D2538" s="3">
        <f t="shared" si="80"/>
        <v>-1.7557936432580839E-2</v>
      </c>
      <c r="E2538" s="3">
        <f t="shared" si="81"/>
        <v>9.7628201921857484E-3</v>
      </c>
    </row>
    <row r="2539" spans="1:5" x14ac:dyDescent="0.45">
      <c r="A2539" s="2">
        <v>44280</v>
      </c>
      <c r="B2539" s="3">
        <v>48440.12</v>
      </c>
      <c r="C2539" s="3">
        <v>216.7</v>
      </c>
      <c r="D2539" s="3">
        <f t="shared" si="80"/>
        <v>-1.5164944170218384E-2</v>
      </c>
      <c r="E2539" s="3">
        <f t="shared" si="81"/>
        <v>-2.1005338514690747E-2</v>
      </c>
    </row>
    <row r="2540" spans="1:5" x14ac:dyDescent="0.45">
      <c r="A2540" s="2">
        <v>44281</v>
      </c>
      <c r="B2540" s="3">
        <v>49008.5</v>
      </c>
      <c r="C2540" s="3">
        <v>214.6</v>
      </c>
      <c r="D2540" s="3">
        <f t="shared" si="80"/>
        <v>1.166535648098963E-2</v>
      </c>
      <c r="E2540" s="3">
        <f t="shared" si="81"/>
        <v>-9.7380783457152783E-3</v>
      </c>
    </row>
    <row r="2541" spans="1:5" x14ac:dyDescent="0.45">
      <c r="A2541" s="2">
        <v>44285</v>
      </c>
      <c r="B2541" s="3">
        <v>50136.58</v>
      </c>
      <c r="C2541" s="3">
        <v>221.65</v>
      </c>
      <c r="D2541" s="3">
        <f t="shared" si="80"/>
        <v>2.2757128934740779E-2</v>
      </c>
      <c r="E2541" s="3">
        <f t="shared" si="81"/>
        <v>3.2323730994464464E-2</v>
      </c>
    </row>
    <row r="2542" spans="1:5" x14ac:dyDescent="0.45">
      <c r="A2542" s="2">
        <v>44286</v>
      </c>
      <c r="B2542" s="3">
        <v>49509.15</v>
      </c>
      <c r="C2542" s="3">
        <v>215.65</v>
      </c>
      <c r="D2542" s="3">
        <f t="shared" si="80"/>
        <v>-1.2593380411931034E-2</v>
      </c>
      <c r="E2542" s="3">
        <f t="shared" si="81"/>
        <v>-2.7442838097210383E-2</v>
      </c>
    </row>
    <row r="2543" spans="1:5" x14ac:dyDescent="0.45">
      <c r="A2543" s="2">
        <v>44287</v>
      </c>
      <c r="B2543" s="3">
        <v>50029.83</v>
      </c>
      <c r="C2543" s="3">
        <v>218.75</v>
      </c>
      <c r="D2543" s="3">
        <f t="shared" si="80"/>
        <v>1.0461926556000251E-2</v>
      </c>
      <c r="E2543" s="3">
        <f t="shared" si="81"/>
        <v>1.4272802143871674E-2</v>
      </c>
    </row>
    <row r="2544" spans="1:5" x14ac:dyDescent="0.45">
      <c r="A2544" s="2">
        <v>44291</v>
      </c>
      <c r="B2544" s="3">
        <v>49159.32</v>
      </c>
      <c r="C2544" s="3">
        <v>214.15</v>
      </c>
      <c r="D2544" s="3">
        <f t="shared" si="80"/>
        <v>-1.7552975315003674E-2</v>
      </c>
      <c r="E2544" s="3">
        <f t="shared" si="81"/>
        <v>-2.1252821176343792E-2</v>
      </c>
    </row>
    <row r="2545" spans="1:5" x14ac:dyDescent="0.45">
      <c r="A2545" s="2">
        <v>44292</v>
      </c>
      <c r="B2545" s="3">
        <v>49201.39</v>
      </c>
      <c r="C2545" s="3">
        <v>209.25</v>
      </c>
      <c r="D2545" s="3">
        <f t="shared" si="80"/>
        <v>8.5542291358799193E-4</v>
      </c>
      <c r="E2545" s="3">
        <f t="shared" si="81"/>
        <v>-2.3146994691795257E-2</v>
      </c>
    </row>
    <row r="2546" spans="1:5" x14ac:dyDescent="0.45">
      <c r="A2546" s="2">
        <v>44293</v>
      </c>
      <c r="B2546" s="3">
        <v>49661.760000000002</v>
      </c>
      <c r="C2546" s="3">
        <v>210.8</v>
      </c>
      <c r="D2546" s="3">
        <f t="shared" si="80"/>
        <v>9.3133453190934051E-3</v>
      </c>
      <c r="E2546" s="3">
        <f t="shared" si="81"/>
        <v>7.3801072976226803E-3</v>
      </c>
    </row>
    <row r="2547" spans="1:5" x14ac:dyDescent="0.45">
      <c r="A2547" s="2">
        <v>44294</v>
      </c>
      <c r="B2547" s="3">
        <v>49746.21</v>
      </c>
      <c r="C2547" s="3">
        <v>209</v>
      </c>
      <c r="D2547" s="3">
        <f t="shared" si="80"/>
        <v>1.6990593473715941E-3</v>
      </c>
      <c r="E2547" s="3">
        <f t="shared" si="81"/>
        <v>-8.5755647023962617E-3</v>
      </c>
    </row>
    <row r="2548" spans="1:5" x14ac:dyDescent="0.45">
      <c r="A2548" s="2">
        <v>44295</v>
      </c>
      <c r="B2548" s="3">
        <v>49591.32</v>
      </c>
      <c r="C2548" s="3">
        <v>208.3</v>
      </c>
      <c r="D2548" s="3">
        <f t="shared" si="80"/>
        <v>-3.1184613815715911E-3</v>
      </c>
      <c r="E2548" s="3">
        <f t="shared" si="81"/>
        <v>-3.354903697884634E-3</v>
      </c>
    </row>
    <row r="2549" spans="1:5" x14ac:dyDescent="0.45">
      <c r="A2549" s="2">
        <v>44298</v>
      </c>
      <c r="B2549" s="3">
        <v>47883.38</v>
      </c>
      <c r="C2549" s="3">
        <v>201.1</v>
      </c>
      <c r="D2549" s="3">
        <f t="shared" si="80"/>
        <v>-3.5047347068861347E-2</v>
      </c>
      <c r="E2549" s="3">
        <f t="shared" si="81"/>
        <v>-3.5177051488320017E-2</v>
      </c>
    </row>
    <row r="2550" spans="1:5" x14ac:dyDescent="0.45">
      <c r="A2550" s="2">
        <v>44299</v>
      </c>
      <c r="B2550" s="3">
        <v>48544.06</v>
      </c>
      <c r="C2550" s="3">
        <v>208.9</v>
      </c>
      <c r="D2550" s="3">
        <f t="shared" si="80"/>
        <v>1.370336780971371E-2</v>
      </c>
      <c r="E2550" s="3">
        <f t="shared" si="81"/>
        <v>3.805337178391386E-2</v>
      </c>
    </row>
    <row r="2551" spans="1:5" x14ac:dyDescent="0.45">
      <c r="A2551" s="2">
        <v>44301</v>
      </c>
      <c r="B2551" s="3">
        <v>48803.68</v>
      </c>
      <c r="C2551" s="3">
        <v>207.8</v>
      </c>
      <c r="D2551" s="3">
        <f t="shared" si="80"/>
        <v>5.333880694540852E-3</v>
      </c>
      <c r="E2551" s="3">
        <f t="shared" si="81"/>
        <v>-5.2795898973930387E-3</v>
      </c>
    </row>
    <row r="2552" spans="1:5" x14ac:dyDescent="0.45">
      <c r="A2552" s="2">
        <v>44302</v>
      </c>
      <c r="B2552" s="3">
        <v>48832.03</v>
      </c>
      <c r="C2552" s="3">
        <v>209.9</v>
      </c>
      <c r="D2552" s="3">
        <f t="shared" si="80"/>
        <v>5.8073016105990142E-4</v>
      </c>
      <c r="E2552" s="3">
        <f t="shared" si="81"/>
        <v>1.0055148161460194E-2</v>
      </c>
    </row>
    <row r="2553" spans="1:5" x14ac:dyDescent="0.45">
      <c r="A2553" s="2">
        <v>44305</v>
      </c>
      <c r="B2553" s="3">
        <v>47949.42</v>
      </c>
      <c r="C2553" s="3">
        <v>201.15</v>
      </c>
      <c r="D2553" s="3">
        <f t="shared" si="80"/>
        <v>-1.8239744690021143E-2</v>
      </c>
      <c r="E2553" s="3">
        <f t="shared" si="81"/>
        <v>-4.2580328430790126E-2</v>
      </c>
    </row>
    <row r="2554" spans="1:5" x14ac:dyDescent="0.45">
      <c r="A2554" s="2">
        <v>44306</v>
      </c>
      <c r="B2554" s="3">
        <v>47705.8</v>
      </c>
      <c r="C2554" s="3">
        <v>203.7</v>
      </c>
      <c r="D2554" s="3">
        <f t="shared" si="80"/>
        <v>-5.0937215291918577E-3</v>
      </c>
      <c r="E2554" s="3">
        <f t="shared" si="81"/>
        <v>1.2597424836962809E-2</v>
      </c>
    </row>
    <row r="2555" spans="1:5" x14ac:dyDescent="0.45">
      <c r="A2555" s="2">
        <v>44308</v>
      </c>
      <c r="B2555" s="3">
        <v>48080.67</v>
      </c>
      <c r="C2555" s="3">
        <v>203.6</v>
      </c>
      <c r="D2555" s="3">
        <f t="shared" si="80"/>
        <v>7.8272414441772856E-3</v>
      </c>
      <c r="E2555" s="3">
        <f t="shared" si="81"/>
        <v>-4.9103855639245518E-4</v>
      </c>
    </row>
    <row r="2556" spans="1:5" x14ac:dyDescent="0.45">
      <c r="A2556" s="2">
        <v>44309</v>
      </c>
      <c r="B2556" s="3">
        <v>47878.45</v>
      </c>
      <c r="C2556" s="3">
        <v>211.2</v>
      </c>
      <c r="D2556" s="3">
        <f t="shared" si="80"/>
        <v>-4.2147176704060976E-3</v>
      </c>
      <c r="E2556" s="3">
        <f t="shared" si="81"/>
        <v>3.6648267155738719E-2</v>
      </c>
    </row>
    <row r="2557" spans="1:5" x14ac:dyDescent="0.45">
      <c r="A2557" s="2">
        <v>44312</v>
      </c>
      <c r="B2557" s="3">
        <v>48386.51</v>
      </c>
      <c r="C2557" s="3">
        <v>215.3</v>
      </c>
      <c r="D2557" s="3">
        <f t="shared" si="80"/>
        <v>1.0555548297353584E-2</v>
      </c>
      <c r="E2557" s="3">
        <f t="shared" si="81"/>
        <v>1.9226852538211044E-2</v>
      </c>
    </row>
    <row r="2558" spans="1:5" x14ac:dyDescent="0.45">
      <c r="A2558" s="2">
        <v>44313</v>
      </c>
      <c r="B2558" s="3">
        <v>48944.14</v>
      </c>
      <c r="C2558" s="3">
        <v>216.6</v>
      </c>
      <c r="D2558" s="3">
        <f t="shared" si="80"/>
        <v>1.1458591951396105E-2</v>
      </c>
      <c r="E2558" s="3">
        <f t="shared" si="81"/>
        <v>6.0199301965727344E-3</v>
      </c>
    </row>
    <row r="2559" spans="1:5" x14ac:dyDescent="0.45">
      <c r="A2559" s="2">
        <v>44314</v>
      </c>
      <c r="B2559" s="3">
        <v>49733.84</v>
      </c>
      <c r="C2559" s="3">
        <v>221</v>
      </c>
      <c r="D2559" s="3">
        <f t="shared" si="80"/>
        <v>1.6005938900861171E-2</v>
      </c>
      <c r="E2559" s="3">
        <f t="shared" si="81"/>
        <v>2.0110366950862608E-2</v>
      </c>
    </row>
    <row r="2560" spans="1:5" x14ac:dyDescent="0.45">
      <c r="A2560" s="2">
        <v>44315</v>
      </c>
      <c r="B2560" s="3">
        <v>49765.94</v>
      </c>
      <c r="C2560" s="3">
        <v>220.15</v>
      </c>
      <c r="D2560" s="3">
        <f t="shared" si="80"/>
        <v>6.4522757967214119E-4</v>
      </c>
      <c r="E2560" s="3">
        <f t="shared" si="81"/>
        <v>-3.8535693159899662E-3</v>
      </c>
    </row>
    <row r="2561" spans="1:5" x14ac:dyDescent="0.45">
      <c r="A2561" s="2">
        <v>44316</v>
      </c>
      <c r="B2561" s="3">
        <v>48782.36</v>
      </c>
      <c r="C2561" s="3">
        <v>220</v>
      </c>
      <c r="D2561" s="3">
        <f t="shared" si="80"/>
        <v>-1.996204219560806E-2</v>
      </c>
      <c r="E2561" s="3">
        <f t="shared" si="81"/>
        <v>-6.815858494012844E-4</v>
      </c>
    </row>
    <row r="2562" spans="1:5" x14ac:dyDescent="0.45">
      <c r="A2562" s="2">
        <v>44319</v>
      </c>
      <c r="B2562" s="3">
        <v>48718.52</v>
      </c>
      <c r="C2562" s="3">
        <v>220.9</v>
      </c>
      <c r="D2562" s="3">
        <f t="shared" si="80"/>
        <v>-1.3095268293590962E-3</v>
      </c>
      <c r="E2562" s="3">
        <f t="shared" si="81"/>
        <v>4.0825640737100063E-3</v>
      </c>
    </row>
    <row r="2563" spans="1:5" x14ac:dyDescent="0.45">
      <c r="A2563" s="2">
        <v>44320</v>
      </c>
      <c r="B2563" s="3">
        <v>48253.51</v>
      </c>
      <c r="C2563" s="3">
        <v>218</v>
      </c>
      <c r="D2563" s="3">
        <f t="shared" si="80"/>
        <v>-9.5906740188077128E-3</v>
      </c>
      <c r="E2563" s="3">
        <f t="shared" si="81"/>
        <v>-1.3215047636982509E-2</v>
      </c>
    </row>
    <row r="2564" spans="1:5" x14ac:dyDescent="0.45">
      <c r="A2564" s="2">
        <v>44321</v>
      </c>
      <c r="B2564" s="3">
        <v>48677.55</v>
      </c>
      <c r="C2564" s="3">
        <v>218.1</v>
      </c>
      <c r="D2564" s="3">
        <f t="shared" si="80"/>
        <v>8.7493669226068587E-3</v>
      </c>
      <c r="E2564" s="3">
        <f t="shared" si="81"/>
        <v>4.5861041849434966E-4</v>
      </c>
    </row>
    <row r="2565" spans="1:5" x14ac:dyDescent="0.45">
      <c r="A2565" s="2">
        <v>44322</v>
      </c>
      <c r="B2565" s="3">
        <v>48949.760000000002</v>
      </c>
      <c r="C2565" s="3">
        <v>215.4</v>
      </c>
      <c r="D2565" s="3">
        <f t="shared" si="80"/>
        <v>5.5765278265722052E-3</v>
      </c>
      <c r="E2565" s="3">
        <f t="shared" si="81"/>
        <v>-1.2456908485295154E-2</v>
      </c>
    </row>
    <row r="2566" spans="1:5" x14ac:dyDescent="0.45">
      <c r="A2566" s="2">
        <v>44323</v>
      </c>
      <c r="B2566" s="3">
        <v>49206.47</v>
      </c>
      <c r="C2566" s="3">
        <v>214.6</v>
      </c>
      <c r="D2566" s="3">
        <f t="shared" ref="D2566:D2629" si="82">LN(B2566/B2565)</f>
        <v>5.2306529151080697E-3</v>
      </c>
      <c r="E2566" s="3">
        <f t="shared" ref="E2566:E2629" si="83">LN(C2566/C2565)</f>
        <v>-3.7209345256901854E-3</v>
      </c>
    </row>
    <row r="2567" spans="1:5" x14ac:dyDescent="0.45">
      <c r="A2567" s="2">
        <v>44326</v>
      </c>
      <c r="B2567" s="3">
        <v>49502.41</v>
      </c>
      <c r="C2567" s="3">
        <v>219.8</v>
      </c>
      <c r="D2567" s="3">
        <f t="shared" si="82"/>
        <v>5.9962363407630023E-3</v>
      </c>
      <c r="E2567" s="3">
        <f t="shared" si="83"/>
        <v>2.3942211772922956E-2</v>
      </c>
    </row>
    <row r="2568" spans="1:5" x14ac:dyDescent="0.45">
      <c r="A2568" s="2">
        <v>44327</v>
      </c>
      <c r="B2568" s="3">
        <v>49161.81</v>
      </c>
      <c r="C2568" s="3">
        <v>223.45</v>
      </c>
      <c r="D2568" s="3">
        <f t="shared" si="82"/>
        <v>-6.9042526864486198E-3</v>
      </c>
      <c r="E2568" s="3">
        <f t="shared" si="83"/>
        <v>1.6469633409939403E-2</v>
      </c>
    </row>
    <row r="2569" spans="1:5" x14ac:dyDescent="0.45">
      <c r="A2569" s="2">
        <v>44328</v>
      </c>
      <c r="B2569" s="3">
        <v>48690.8</v>
      </c>
      <c r="C2569" s="3">
        <v>225.8</v>
      </c>
      <c r="D2569" s="3">
        <f t="shared" si="82"/>
        <v>-9.6270020335473515E-3</v>
      </c>
      <c r="E2569" s="3">
        <f t="shared" si="83"/>
        <v>1.0461976336101155E-2</v>
      </c>
    </row>
    <row r="2570" spans="1:5" x14ac:dyDescent="0.45">
      <c r="A2570" s="2">
        <v>44330</v>
      </c>
      <c r="B2570" s="3">
        <v>48732.55</v>
      </c>
      <c r="C2570" s="3">
        <v>228.8</v>
      </c>
      <c r="D2570" s="3">
        <f t="shared" si="82"/>
        <v>8.5708410880503587E-4</v>
      </c>
      <c r="E2570" s="3">
        <f t="shared" si="83"/>
        <v>1.3198607790081125E-2</v>
      </c>
    </row>
    <row r="2571" spans="1:5" x14ac:dyDescent="0.45">
      <c r="A2571" s="2">
        <v>44333</v>
      </c>
      <c r="B2571" s="3">
        <v>49580.73</v>
      </c>
      <c r="C2571" s="3">
        <v>228.2</v>
      </c>
      <c r="D2571" s="3">
        <f t="shared" si="82"/>
        <v>1.7255065530581603E-2</v>
      </c>
      <c r="E2571" s="3">
        <f t="shared" si="83"/>
        <v>-2.6258220776676612E-3</v>
      </c>
    </row>
    <row r="2572" spans="1:5" x14ac:dyDescent="0.45">
      <c r="A2572" s="2">
        <v>44334</v>
      </c>
      <c r="B2572" s="3">
        <v>50193.33</v>
      </c>
      <c r="C2572" s="3">
        <v>232.95</v>
      </c>
      <c r="D2572" s="3">
        <f t="shared" si="82"/>
        <v>1.2279899166427492E-2</v>
      </c>
      <c r="E2572" s="3">
        <f t="shared" si="83"/>
        <v>2.0601400834830433E-2</v>
      </c>
    </row>
    <row r="2573" spans="1:5" x14ac:dyDescent="0.45">
      <c r="A2573" s="2">
        <v>44335</v>
      </c>
      <c r="B2573" s="3">
        <v>49902.64</v>
      </c>
      <c r="C2573" s="3">
        <v>233.65</v>
      </c>
      <c r="D2573" s="3">
        <f t="shared" si="82"/>
        <v>-5.808242174349402E-3</v>
      </c>
      <c r="E2573" s="3">
        <f t="shared" si="83"/>
        <v>3.0004308836293881E-3</v>
      </c>
    </row>
    <row r="2574" spans="1:5" x14ac:dyDescent="0.45">
      <c r="A2574" s="2">
        <v>44336</v>
      </c>
      <c r="B2574" s="3">
        <v>49564.86</v>
      </c>
      <c r="C2574" s="3">
        <v>228.9</v>
      </c>
      <c r="D2574" s="3">
        <f t="shared" si="82"/>
        <v>-6.7917922625534656E-3</v>
      </c>
      <c r="E2574" s="3">
        <f t="shared" si="83"/>
        <v>-2.0539042187914157E-2</v>
      </c>
    </row>
    <row r="2575" spans="1:5" x14ac:dyDescent="0.45">
      <c r="A2575" s="2">
        <v>44337</v>
      </c>
      <c r="B2575" s="3">
        <v>50540.480000000003</v>
      </c>
      <c r="C2575" s="3">
        <v>228.1</v>
      </c>
      <c r="D2575" s="3">
        <f t="shared" si="82"/>
        <v>1.9492484435648178E-2</v>
      </c>
      <c r="E2575" s="3">
        <f t="shared" si="83"/>
        <v>-3.501097668178767E-3</v>
      </c>
    </row>
    <row r="2576" spans="1:5" x14ac:dyDescent="0.45">
      <c r="A2576" s="2">
        <v>44340</v>
      </c>
      <c r="B2576" s="3">
        <v>50651.9</v>
      </c>
      <c r="C2576" s="3">
        <v>230.85</v>
      </c>
      <c r="D2576" s="3">
        <f t="shared" si="82"/>
        <v>2.2021429879795569E-3</v>
      </c>
      <c r="E2576" s="3">
        <f t="shared" si="83"/>
        <v>1.1984019662655611E-2</v>
      </c>
    </row>
    <row r="2577" spans="1:5" x14ac:dyDescent="0.45">
      <c r="A2577" s="2">
        <v>44341</v>
      </c>
      <c r="B2577" s="3">
        <v>50637.53</v>
      </c>
      <c r="C2577" s="3">
        <v>232.95</v>
      </c>
      <c r="D2577" s="3">
        <f t="shared" si="82"/>
        <v>-2.8374135576466529E-4</v>
      </c>
      <c r="E2577" s="3">
        <f t="shared" si="83"/>
        <v>9.0556893098077337E-3</v>
      </c>
    </row>
    <row r="2578" spans="1:5" x14ac:dyDescent="0.45">
      <c r="A2578" s="2">
        <v>44342</v>
      </c>
      <c r="B2578" s="3">
        <v>51017.52</v>
      </c>
      <c r="C2578" s="3">
        <v>225.7</v>
      </c>
      <c r="D2578" s="3">
        <f t="shared" si="82"/>
        <v>7.4761021684292507E-3</v>
      </c>
      <c r="E2578" s="3">
        <f t="shared" si="83"/>
        <v>-3.1617154439315703E-2</v>
      </c>
    </row>
    <row r="2579" spans="1:5" x14ac:dyDescent="0.45">
      <c r="A2579" s="2">
        <v>44343</v>
      </c>
      <c r="B2579" s="3">
        <v>51115.22</v>
      </c>
      <c r="C2579" s="3">
        <v>228.45</v>
      </c>
      <c r="D2579" s="3">
        <f t="shared" si="82"/>
        <v>1.9131970766893488E-3</v>
      </c>
      <c r="E2579" s="3">
        <f t="shared" si="83"/>
        <v>1.2110684185790426E-2</v>
      </c>
    </row>
    <row r="2580" spans="1:5" x14ac:dyDescent="0.45">
      <c r="A2580" s="2">
        <v>44344</v>
      </c>
      <c r="B2580" s="3">
        <v>51422.879999999997</v>
      </c>
      <c r="C2580" s="3">
        <v>225.55</v>
      </c>
      <c r="D2580" s="3">
        <f t="shared" si="82"/>
        <v>6.0009093841068223E-3</v>
      </c>
      <c r="E2580" s="3">
        <f t="shared" si="83"/>
        <v>-1.2775504154875437E-2</v>
      </c>
    </row>
    <row r="2581" spans="1:5" x14ac:dyDescent="0.45">
      <c r="A2581" s="2">
        <v>44347</v>
      </c>
      <c r="B2581" s="3">
        <v>51937.440000000002</v>
      </c>
      <c r="C2581" s="3">
        <v>225.5</v>
      </c>
      <c r="D2581" s="3">
        <f t="shared" si="82"/>
        <v>9.9567077761743127E-3</v>
      </c>
      <c r="E2581" s="3">
        <f t="shared" si="83"/>
        <v>-2.2170491167191743E-4</v>
      </c>
    </row>
    <row r="2582" spans="1:5" x14ac:dyDescent="0.45">
      <c r="A2582" s="2">
        <v>44348</v>
      </c>
      <c r="B2582" s="3">
        <v>51934.879999999997</v>
      </c>
      <c r="C2582" s="3">
        <v>224.4</v>
      </c>
      <c r="D2582" s="3">
        <f t="shared" si="82"/>
        <v>-4.9291283770728784E-5</v>
      </c>
      <c r="E2582" s="3">
        <f t="shared" si="83"/>
        <v>-4.8899852941917919E-3</v>
      </c>
    </row>
    <row r="2583" spans="1:5" x14ac:dyDescent="0.45">
      <c r="A2583" s="2">
        <v>44349</v>
      </c>
      <c r="B2583" s="3">
        <v>51849.48</v>
      </c>
      <c r="C2583" s="3">
        <v>227.4</v>
      </c>
      <c r="D2583" s="3">
        <f t="shared" si="82"/>
        <v>-1.6457204009301637E-3</v>
      </c>
      <c r="E2583" s="3">
        <f t="shared" si="83"/>
        <v>1.3280407667894466E-2</v>
      </c>
    </row>
    <row r="2584" spans="1:5" x14ac:dyDescent="0.45">
      <c r="A2584" s="2">
        <v>44350</v>
      </c>
      <c r="B2584" s="3">
        <v>52232.43</v>
      </c>
      <c r="C2584" s="3">
        <v>226.15</v>
      </c>
      <c r="D2584" s="3">
        <f t="shared" si="82"/>
        <v>7.3586606559525262E-3</v>
      </c>
      <c r="E2584" s="3">
        <f t="shared" si="83"/>
        <v>-5.5120853925834977E-3</v>
      </c>
    </row>
    <row r="2585" spans="1:5" x14ac:dyDescent="0.45">
      <c r="A2585" s="2">
        <v>44351</v>
      </c>
      <c r="B2585" s="3">
        <v>52100.05</v>
      </c>
      <c r="C2585" s="3">
        <v>226.15</v>
      </c>
      <c r="D2585" s="3">
        <f t="shared" si="82"/>
        <v>-2.5376578998351496E-3</v>
      </c>
      <c r="E2585" s="3">
        <f t="shared" si="83"/>
        <v>0</v>
      </c>
    </row>
    <row r="2586" spans="1:5" x14ac:dyDescent="0.45">
      <c r="A2586" s="2">
        <v>44354</v>
      </c>
      <c r="B2586" s="3">
        <v>52328.51</v>
      </c>
      <c r="C2586" s="3">
        <v>236.2</v>
      </c>
      <c r="D2586" s="3">
        <f t="shared" si="82"/>
        <v>4.3754383758333485E-3</v>
      </c>
      <c r="E2586" s="3">
        <f t="shared" si="83"/>
        <v>4.34804078394097E-2</v>
      </c>
    </row>
    <row r="2587" spans="1:5" x14ac:dyDescent="0.45">
      <c r="A2587" s="2">
        <v>44355</v>
      </c>
      <c r="B2587" s="3">
        <v>52275.57</v>
      </c>
      <c r="C2587" s="3">
        <v>234</v>
      </c>
      <c r="D2587" s="3">
        <f t="shared" si="82"/>
        <v>-1.0121976985973543E-3</v>
      </c>
      <c r="E2587" s="3">
        <f t="shared" si="83"/>
        <v>-9.3577884055604504E-3</v>
      </c>
    </row>
    <row r="2588" spans="1:5" x14ac:dyDescent="0.45">
      <c r="A2588" s="2">
        <v>44356</v>
      </c>
      <c r="B2588" s="3">
        <v>51941.64</v>
      </c>
      <c r="C2588" s="3">
        <v>242</v>
      </c>
      <c r="D2588" s="3">
        <f t="shared" si="82"/>
        <v>-6.408368498760619E-3</v>
      </c>
      <c r="E2588" s="3">
        <f t="shared" si="83"/>
        <v>3.3616610798985064E-2</v>
      </c>
    </row>
    <row r="2589" spans="1:5" x14ac:dyDescent="0.45">
      <c r="A2589" s="2">
        <v>44357</v>
      </c>
      <c r="B2589" s="3">
        <v>52300.47</v>
      </c>
      <c r="C2589" s="3">
        <v>241.55</v>
      </c>
      <c r="D2589" s="3">
        <f t="shared" si="82"/>
        <v>6.8845770159421038E-3</v>
      </c>
      <c r="E2589" s="3">
        <f t="shared" si="83"/>
        <v>-1.8612351562706665E-3</v>
      </c>
    </row>
    <row r="2590" spans="1:5" x14ac:dyDescent="0.45">
      <c r="A2590" s="2">
        <v>44358</v>
      </c>
      <c r="B2590" s="3">
        <v>52474.76</v>
      </c>
      <c r="C2590" s="3">
        <v>246.3</v>
      </c>
      <c r="D2590" s="3">
        <f t="shared" si="82"/>
        <v>3.3269344435818342E-3</v>
      </c>
      <c r="E2590" s="3">
        <f t="shared" si="83"/>
        <v>1.9473814126076613E-2</v>
      </c>
    </row>
    <row r="2591" spans="1:5" x14ac:dyDescent="0.45">
      <c r="A2591" s="2">
        <v>44361</v>
      </c>
      <c r="B2591" s="3">
        <v>52551.53</v>
      </c>
      <c r="C2591" s="3">
        <v>248.7</v>
      </c>
      <c r="D2591" s="3">
        <f t="shared" si="82"/>
        <v>1.4619199378136166E-3</v>
      </c>
      <c r="E2591" s="3">
        <f t="shared" si="83"/>
        <v>9.6970456828665529E-3</v>
      </c>
    </row>
    <row r="2592" spans="1:5" x14ac:dyDescent="0.45">
      <c r="A2592" s="2">
        <v>44362</v>
      </c>
      <c r="B2592" s="3">
        <v>52773.05</v>
      </c>
      <c r="C2592" s="3">
        <v>247.5</v>
      </c>
      <c r="D2592" s="3">
        <f t="shared" si="82"/>
        <v>4.2064317110479593E-3</v>
      </c>
      <c r="E2592" s="3">
        <f t="shared" si="83"/>
        <v>-4.8367688006139943E-3</v>
      </c>
    </row>
    <row r="2593" spans="1:5" x14ac:dyDescent="0.45">
      <c r="A2593" s="2">
        <v>44363</v>
      </c>
      <c r="B2593" s="3">
        <v>52501.98</v>
      </c>
      <c r="C2593" s="3">
        <v>242.1</v>
      </c>
      <c r="D2593" s="3">
        <f t="shared" si="82"/>
        <v>-5.1497605664932843E-3</v>
      </c>
      <c r="E2593" s="3">
        <f t="shared" si="83"/>
        <v>-2.2059718064732219E-2</v>
      </c>
    </row>
    <row r="2594" spans="1:5" x14ac:dyDescent="0.45">
      <c r="A2594" s="2">
        <v>44364</v>
      </c>
      <c r="B2594" s="3">
        <v>52323.33</v>
      </c>
      <c r="C2594" s="3">
        <v>239.7</v>
      </c>
      <c r="D2594" s="3">
        <f t="shared" si="82"/>
        <v>-3.4085312595634643E-3</v>
      </c>
      <c r="E2594" s="3">
        <f t="shared" si="83"/>
        <v>-9.9627225036741252E-3</v>
      </c>
    </row>
    <row r="2595" spans="1:5" x14ac:dyDescent="0.45">
      <c r="A2595" s="2">
        <v>44365</v>
      </c>
      <c r="B2595" s="3">
        <v>52344.45</v>
      </c>
      <c r="C2595" s="3">
        <v>233</v>
      </c>
      <c r="D2595" s="3">
        <f t="shared" si="82"/>
        <v>4.0356259178589253E-4</v>
      </c>
      <c r="E2595" s="3">
        <f t="shared" si="83"/>
        <v>-2.8349687874638096E-2</v>
      </c>
    </row>
    <row r="2596" spans="1:5" x14ac:dyDescent="0.45">
      <c r="A2596" s="2">
        <v>44368</v>
      </c>
      <c r="B2596" s="3">
        <v>52574.46</v>
      </c>
      <c r="C2596" s="3">
        <v>234.95</v>
      </c>
      <c r="D2596" s="3">
        <f t="shared" si="82"/>
        <v>4.3845359902974978E-3</v>
      </c>
      <c r="E2596" s="3">
        <f t="shared" si="83"/>
        <v>8.334271983124095E-3</v>
      </c>
    </row>
    <row r="2597" spans="1:5" x14ac:dyDescent="0.45">
      <c r="A2597" s="2">
        <v>44369</v>
      </c>
      <c r="B2597" s="3">
        <v>52588.71</v>
      </c>
      <c r="C2597" s="3">
        <v>234</v>
      </c>
      <c r="D2597" s="3">
        <f t="shared" si="82"/>
        <v>2.7100742754749939E-4</v>
      </c>
      <c r="E2597" s="3">
        <f t="shared" si="83"/>
        <v>-4.0516101911232671E-3</v>
      </c>
    </row>
    <row r="2598" spans="1:5" x14ac:dyDescent="0.45">
      <c r="A2598" s="2">
        <v>44370</v>
      </c>
      <c r="B2598" s="3">
        <v>52306.080000000002</v>
      </c>
      <c r="C2598" s="3">
        <v>232.2</v>
      </c>
      <c r="D2598" s="3">
        <f t="shared" si="82"/>
        <v>-5.3888412180447482E-3</v>
      </c>
      <c r="E2598" s="3">
        <f t="shared" si="83"/>
        <v>-7.7220460939103897E-3</v>
      </c>
    </row>
    <row r="2599" spans="1:5" x14ac:dyDescent="0.45">
      <c r="A2599" s="2">
        <v>44371</v>
      </c>
      <c r="B2599" s="3">
        <v>52699</v>
      </c>
      <c r="C2599" s="3">
        <v>231.15</v>
      </c>
      <c r="D2599" s="3">
        <f t="shared" si="82"/>
        <v>7.4838633310652849E-3</v>
      </c>
      <c r="E2599" s="3">
        <f t="shared" si="83"/>
        <v>-4.5322188295566458E-3</v>
      </c>
    </row>
    <row r="2600" spans="1:5" x14ac:dyDescent="0.45">
      <c r="A2600" s="2">
        <v>44372</v>
      </c>
      <c r="B2600" s="3">
        <v>52925.04</v>
      </c>
      <c r="C2600" s="3">
        <v>230.85</v>
      </c>
      <c r="D2600" s="3">
        <f t="shared" si="82"/>
        <v>4.280092771919224E-3</v>
      </c>
      <c r="E2600" s="3">
        <f t="shared" si="83"/>
        <v>-1.2987014812365721E-3</v>
      </c>
    </row>
    <row r="2601" spans="1:5" x14ac:dyDescent="0.45">
      <c r="A2601" s="2">
        <v>44375</v>
      </c>
      <c r="B2601" s="3">
        <v>52735.59</v>
      </c>
      <c r="C2601" s="3">
        <v>231.8</v>
      </c>
      <c r="D2601" s="3">
        <f t="shared" si="82"/>
        <v>-3.5860131255920683E-3</v>
      </c>
      <c r="E2601" s="3">
        <f t="shared" si="83"/>
        <v>4.1067819526535024E-3</v>
      </c>
    </row>
    <row r="2602" spans="1:5" x14ac:dyDescent="0.45">
      <c r="A2602" s="2">
        <v>44376</v>
      </c>
      <c r="B2602" s="3">
        <v>52549.66</v>
      </c>
      <c r="C2602" s="3">
        <v>235.85</v>
      </c>
      <c r="D2602" s="3">
        <f t="shared" si="82"/>
        <v>-3.5319324080563155E-3</v>
      </c>
      <c r="E2602" s="3">
        <f t="shared" si="83"/>
        <v>1.7321078824619245E-2</v>
      </c>
    </row>
    <row r="2603" spans="1:5" x14ac:dyDescent="0.45">
      <c r="A2603" s="2">
        <v>44377</v>
      </c>
      <c r="B2603" s="3">
        <v>52482.71</v>
      </c>
      <c r="C2603" s="3">
        <v>232.3</v>
      </c>
      <c r="D2603" s="3">
        <f t="shared" si="82"/>
        <v>-1.2748452513722519E-3</v>
      </c>
      <c r="E2603" s="3">
        <f t="shared" si="83"/>
        <v>-1.5166369953907121E-2</v>
      </c>
    </row>
    <row r="2604" spans="1:5" x14ac:dyDescent="0.45">
      <c r="A2604" s="2">
        <v>44378</v>
      </c>
      <c r="B2604" s="3">
        <v>52318.6</v>
      </c>
      <c r="C2604" s="3">
        <v>230.9</v>
      </c>
      <c r="D2604" s="3">
        <f t="shared" si="82"/>
        <v>-3.1318336409682825E-3</v>
      </c>
      <c r="E2604" s="3">
        <f t="shared" si="83"/>
        <v>-6.0449234159138578E-3</v>
      </c>
    </row>
    <row r="2605" spans="1:5" x14ac:dyDescent="0.45">
      <c r="A2605" s="2">
        <v>44379</v>
      </c>
      <c r="B2605" s="3">
        <v>52484.67</v>
      </c>
      <c r="C2605" s="3">
        <v>228.05</v>
      </c>
      <c r="D2605" s="3">
        <f t="shared" si="82"/>
        <v>3.1691785761324828E-3</v>
      </c>
      <c r="E2605" s="3">
        <f t="shared" si="83"/>
        <v>-1.2419813202740215E-2</v>
      </c>
    </row>
    <row r="2606" spans="1:5" x14ac:dyDescent="0.45">
      <c r="A2606" s="2">
        <v>44382</v>
      </c>
      <c r="B2606" s="3">
        <v>52880</v>
      </c>
      <c r="C2606" s="3">
        <v>230.25</v>
      </c>
      <c r="D2606" s="3">
        <f t="shared" si="82"/>
        <v>7.5040685861537245E-3</v>
      </c>
      <c r="E2606" s="3">
        <f t="shared" si="83"/>
        <v>9.600771977706828E-3</v>
      </c>
    </row>
    <row r="2607" spans="1:5" x14ac:dyDescent="0.45">
      <c r="A2607" s="2">
        <v>44383</v>
      </c>
      <c r="B2607" s="3">
        <v>52861.18</v>
      </c>
      <c r="C2607" s="3">
        <v>229</v>
      </c>
      <c r="D2607" s="3">
        <f t="shared" si="82"/>
        <v>-3.5596349877549095E-4</v>
      </c>
      <c r="E2607" s="3">
        <f t="shared" si="83"/>
        <v>-5.4436715811765806E-3</v>
      </c>
    </row>
    <row r="2608" spans="1:5" x14ac:dyDescent="0.45">
      <c r="A2608" s="2">
        <v>44384</v>
      </c>
      <c r="B2608" s="3">
        <v>53054.76</v>
      </c>
      <c r="C2608" s="3">
        <v>230.85</v>
      </c>
      <c r="D2608" s="3">
        <f t="shared" si="82"/>
        <v>3.655355663089672E-3</v>
      </c>
      <c r="E2608" s="3">
        <f t="shared" si="83"/>
        <v>8.0461453987583538E-3</v>
      </c>
    </row>
    <row r="2609" spans="1:5" x14ac:dyDescent="0.45">
      <c r="A2609" s="2">
        <v>44385</v>
      </c>
      <c r="B2609" s="3">
        <v>52568.94</v>
      </c>
      <c r="C2609" s="3">
        <v>231.15</v>
      </c>
      <c r="D2609" s="3">
        <f t="shared" si="82"/>
        <v>-9.1991366710782955E-3</v>
      </c>
      <c r="E2609" s="3">
        <f t="shared" si="83"/>
        <v>1.2987014812366356E-3</v>
      </c>
    </row>
    <row r="2610" spans="1:5" x14ac:dyDescent="0.45">
      <c r="A2610" s="2">
        <v>44386</v>
      </c>
      <c r="B2610" s="3">
        <v>52386.19</v>
      </c>
      <c r="C2610" s="3">
        <v>230.2</v>
      </c>
      <c r="D2610" s="3">
        <f t="shared" si="82"/>
        <v>-3.4824440632947587E-3</v>
      </c>
      <c r="E2610" s="3">
        <f t="shared" si="83"/>
        <v>-4.1183541464521987E-3</v>
      </c>
    </row>
    <row r="2611" spans="1:5" x14ac:dyDescent="0.45">
      <c r="A2611" s="2">
        <v>44389</v>
      </c>
      <c r="B2611" s="3">
        <v>52372.69</v>
      </c>
      <c r="C2611" s="3">
        <v>229.1</v>
      </c>
      <c r="D2611" s="3">
        <f t="shared" si="82"/>
        <v>-2.5773471565812935E-4</v>
      </c>
      <c r="E2611" s="3">
        <f t="shared" si="83"/>
        <v>-4.7899068283323602E-3</v>
      </c>
    </row>
    <row r="2612" spans="1:5" x14ac:dyDescent="0.45">
      <c r="A2612" s="2">
        <v>44390</v>
      </c>
      <c r="B2612" s="3">
        <v>52769.73</v>
      </c>
      <c r="C2612" s="3">
        <v>228.6</v>
      </c>
      <c r="D2612" s="3">
        <f t="shared" si="82"/>
        <v>7.5524586032823847E-3</v>
      </c>
      <c r="E2612" s="3">
        <f t="shared" si="83"/>
        <v>-2.1848380987395562E-3</v>
      </c>
    </row>
    <row r="2613" spans="1:5" x14ac:dyDescent="0.45">
      <c r="A2613" s="2">
        <v>44391</v>
      </c>
      <c r="B2613" s="3">
        <v>52904.05</v>
      </c>
      <c r="C2613" s="3">
        <v>229.95</v>
      </c>
      <c r="D2613" s="3">
        <f t="shared" si="82"/>
        <v>2.5421646190386658E-3</v>
      </c>
      <c r="E2613" s="3">
        <f t="shared" si="83"/>
        <v>5.8881426252225316E-3</v>
      </c>
    </row>
    <row r="2614" spans="1:5" x14ac:dyDescent="0.45">
      <c r="A2614" s="2">
        <v>44392</v>
      </c>
      <c r="B2614" s="3">
        <v>53158.85</v>
      </c>
      <c r="C2614" s="3">
        <v>230.35</v>
      </c>
      <c r="D2614" s="3">
        <f t="shared" si="82"/>
        <v>4.8047053243954821E-3</v>
      </c>
      <c r="E2614" s="3">
        <f t="shared" si="83"/>
        <v>1.7379973959931632E-3</v>
      </c>
    </row>
    <row r="2615" spans="1:5" x14ac:dyDescent="0.45">
      <c r="A2615" s="2">
        <v>44393</v>
      </c>
      <c r="B2615" s="3">
        <v>53140.06</v>
      </c>
      <c r="C2615" s="3">
        <v>233.8</v>
      </c>
      <c r="D2615" s="3">
        <f t="shared" si="82"/>
        <v>-3.5353138043854989E-4</v>
      </c>
      <c r="E2615" s="3">
        <f t="shared" si="83"/>
        <v>1.4866157656042147E-2</v>
      </c>
    </row>
    <row r="2616" spans="1:5" x14ac:dyDescent="0.45">
      <c r="A2616" s="2">
        <v>44396</v>
      </c>
      <c r="B2616" s="3">
        <v>52553.4</v>
      </c>
      <c r="C2616" s="3">
        <v>233</v>
      </c>
      <c r="D2616" s="3">
        <f t="shared" si="82"/>
        <v>-1.1101273908562598E-2</v>
      </c>
      <c r="E2616" s="3">
        <f t="shared" si="83"/>
        <v>-3.4275954722674837E-3</v>
      </c>
    </row>
    <row r="2617" spans="1:5" x14ac:dyDescent="0.45">
      <c r="A2617" s="2">
        <v>44397</v>
      </c>
      <c r="B2617" s="3">
        <v>52198.51</v>
      </c>
      <c r="C2617" s="3">
        <v>231.3</v>
      </c>
      <c r="D2617" s="3">
        <f t="shared" si="82"/>
        <v>-6.7758450955284783E-3</v>
      </c>
      <c r="E2617" s="3">
        <f t="shared" si="83"/>
        <v>-7.3228843283070378E-3</v>
      </c>
    </row>
    <row r="2618" spans="1:5" x14ac:dyDescent="0.45">
      <c r="A2618" s="2">
        <v>44399</v>
      </c>
      <c r="B2618" s="3">
        <v>52837.21</v>
      </c>
      <c r="C2618" s="3">
        <v>233.15</v>
      </c>
      <c r="D2618" s="3">
        <f t="shared" si="82"/>
        <v>1.2161726931803774E-2</v>
      </c>
      <c r="E2618" s="3">
        <f t="shared" si="83"/>
        <v>7.9664540169363408E-3</v>
      </c>
    </row>
    <row r="2619" spans="1:5" x14ac:dyDescent="0.45">
      <c r="A2619" s="2">
        <v>44400</v>
      </c>
      <c r="B2619" s="3">
        <v>52975.8</v>
      </c>
      <c r="C2619" s="3">
        <v>233.05</v>
      </c>
      <c r="D2619" s="3">
        <f t="shared" si="82"/>
        <v>2.6195281515862872E-3</v>
      </c>
      <c r="E2619" s="3">
        <f t="shared" si="83"/>
        <v>-4.2900043557984852E-4</v>
      </c>
    </row>
    <row r="2620" spans="1:5" x14ac:dyDescent="0.45">
      <c r="A2620" s="2">
        <v>44403</v>
      </c>
      <c r="B2620" s="3">
        <v>52852.27</v>
      </c>
      <c r="C2620" s="3">
        <v>232.55</v>
      </c>
      <c r="D2620" s="3">
        <f t="shared" si="82"/>
        <v>-2.3345423592080628E-3</v>
      </c>
      <c r="E2620" s="3">
        <f t="shared" si="83"/>
        <v>-2.1477671486439857E-3</v>
      </c>
    </row>
    <row r="2621" spans="1:5" x14ac:dyDescent="0.45">
      <c r="A2621" s="2">
        <v>44404</v>
      </c>
      <c r="B2621" s="3">
        <v>52578.76</v>
      </c>
      <c r="C2621" s="3">
        <v>232.1</v>
      </c>
      <c r="D2621" s="3">
        <f t="shared" si="82"/>
        <v>-5.1884272318830594E-3</v>
      </c>
      <c r="E2621" s="3">
        <f t="shared" si="83"/>
        <v>-1.9369423897147165E-3</v>
      </c>
    </row>
    <row r="2622" spans="1:5" x14ac:dyDescent="0.45">
      <c r="A2622" s="2">
        <v>44405</v>
      </c>
      <c r="B2622" s="3">
        <v>52443.71</v>
      </c>
      <c r="C2622" s="3">
        <v>228.05</v>
      </c>
      <c r="D2622" s="3">
        <f t="shared" si="82"/>
        <v>-2.5718319982124152E-3</v>
      </c>
      <c r="E2622" s="3">
        <f t="shared" si="83"/>
        <v>-1.7603410122681799E-2</v>
      </c>
    </row>
    <row r="2623" spans="1:5" x14ac:dyDescent="0.45">
      <c r="A2623" s="2">
        <v>44406</v>
      </c>
      <c r="B2623" s="3">
        <v>52653.07</v>
      </c>
      <c r="C2623" s="3">
        <v>167.4</v>
      </c>
      <c r="D2623" s="3">
        <f t="shared" si="82"/>
        <v>3.9841425577017506E-3</v>
      </c>
      <c r="E2623" s="3">
        <f t="shared" si="83"/>
        <v>-0.30917874510233445</v>
      </c>
    </row>
    <row r="2624" spans="1:5" x14ac:dyDescent="0.45">
      <c r="A2624" s="2">
        <v>44407</v>
      </c>
      <c r="B2624" s="3">
        <v>52586.84</v>
      </c>
      <c r="C2624" s="3">
        <v>171.05</v>
      </c>
      <c r="D2624" s="3">
        <f t="shared" si="82"/>
        <v>-1.2586481448613727E-3</v>
      </c>
      <c r="E2624" s="3">
        <f t="shared" si="83"/>
        <v>2.1569753368238843E-2</v>
      </c>
    </row>
    <row r="2625" spans="1:5" x14ac:dyDescent="0.45">
      <c r="A2625" s="2">
        <v>44410</v>
      </c>
      <c r="B2625" s="3">
        <v>52950.63</v>
      </c>
      <c r="C2625" s="3">
        <v>170.9</v>
      </c>
      <c r="D2625" s="3">
        <f t="shared" si="82"/>
        <v>6.8940716668038221E-3</v>
      </c>
      <c r="E2625" s="3">
        <f t="shared" si="83"/>
        <v>-8.7732130206852083E-4</v>
      </c>
    </row>
    <row r="2626" spans="1:5" x14ac:dyDescent="0.45">
      <c r="A2626" s="2">
        <v>44411</v>
      </c>
      <c r="B2626" s="3">
        <v>53823.360000000001</v>
      </c>
      <c r="C2626" s="3">
        <v>174.45</v>
      </c>
      <c r="D2626" s="3">
        <f t="shared" si="82"/>
        <v>1.6347603679736318E-2</v>
      </c>
      <c r="E2626" s="3">
        <f t="shared" si="83"/>
        <v>2.0559577511237919E-2</v>
      </c>
    </row>
    <row r="2627" spans="1:5" x14ac:dyDescent="0.45">
      <c r="A2627" s="2">
        <v>44412</v>
      </c>
      <c r="B2627" s="3">
        <v>54369.77</v>
      </c>
      <c r="C2627" s="3">
        <v>175.15</v>
      </c>
      <c r="D2627" s="3">
        <f t="shared" si="82"/>
        <v>1.010072720146522E-2</v>
      </c>
      <c r="E2627" s="3">
        <f t="shared" si="83"/>
        <v>4.0045820107128191E-3</v>
      </c>
    </row>
    <row r="2628" spans="1:5" x14ac:dyDescent="0.45">
      <c r="A2628" s="2">
        <v>44413</v>
      </c>
      <c r="B2628" s="3">
        <v>54492.84</v>
      </c>
      <c r="C2628" s="3">
        <v>175</v>
      </c>
      <c r="D2628" s="3">
        <f t="shared" si="82"/>
        <v>2.2610160169739741E-3</v>
      </c>
      <c r="E2628" s="3">
        <f t="shared" si="83"/>
        <v>-8.5677571998178962E-4</v>
      </c>
    </row>
    <row r="2629" spans="1:5" x14ac:dyDescent="0.45">
      <c r="A2629" s="2">
        <v>44414</v>
      </c>
      <c r="B2629" s="3">
        <v>54277.72</v>
      </c>
      <c r="C2629" s="3">
        <v>175.05</v>
      </c>
      <c r="D2629" s="3">
        <f t="shared" si="82"/>
        <v>-3.9554872288675488E-3</v>
      </c>
      <c r="E2629" s="3">
        <f t="shared" si="83"/>
        <v>2.856734771607867E-4</v>
      </c>
    </row>
    <row r="2630" spans="1:5" x14ac:dyDescent="0.45">
      <c r="A2630" s="2">
        <v>44417</v>
      </c>
      <c r="B2630" s="3">
        <v>54402.85</v>
      </c>
      <c r="C2630" s="3">
        <v>176.45</v>
      </c>
      <c r="D2630" s="3">
        <f t="shared" ref="D2630:D2693" si="84">LN(B2630/B2629)</f>
        <v>2.3027125325465829E-3</v>
      </c>
      <c r="E2630" s="3">
        <f t="shared" ref="E2630:E2693" si="85">LN(C2630/C2629)</f>
        <v>7.9659027206042243E-3</v>
      </c>
    </row>
    <row r="2631" spans="1:5" x14ac:dyDescent="0.45">
      <c r="A2631" s="2">
        <v>44418</v>
      </c>
      <c r="B2631" s="3">
        <v>54554.66</v>
      </c>
      <c r="C2631" s="3">
        <v>172.55</v>
      </c>
      <c r="D2631" s="3">
        <f t="shared" si="84"/>
        <v>2.786592649464154E-3</v>
      </c>
      <c r="E2631" s="3">
        <f t="shared" si="85"/>
        <v>-2.2350500577266529E-2</v>
      </c>
    </row>
    <row r="2632" spans="1:5" x14ac:dyDescent="0.45">
      <c r="A2632" s="2">
        <v>44419</v>
      </c>
      <c r="B2632" s="3">
        <v>54525.93</v>
      </c>
      <c r="C2632" s="3">
        <v>176.1</v>
      </c>
      <c r="D2632" s="3">
        <f t="shared" si="84"/>
        <v>-5.2676650656809272E-4</v>
      </c>
      <c r="E2632" s="3">
        <f t="shared" si="85"/>
        <v>2.036496595814798E-2</v>
      </c>
    </row>
    <row r="2633" spans="1:5" x14ac:dyDescent="0.45">
      <c r="A2633" s="2">
        <v>44420</v>
      </c>
      <c r="B2633" s="3">
        <v>54843.98</v>
      </c>
      <c r="C2633" s="3">
        <v>187.05</v>
      </c>
      <c r="D2633" s="3">
        <f t="shared" si="84"/>
        <v>5.816058485257217E-3</v>
      </c>
      <c r="E2633" s="3">
        <f t="shared" si="85"/>
        <v>6.0323945291994689E-2</v>
      </c>
    </row>
    <row r="2634" spans="1:5" x14ac:dyDescent="0.45">
      <c r="A2634" s="2">
        <v>44421</v>
      </c>
      <c r="B2634" s="3">
        <v>55437.29</v>
      </c>
      <c r="C2634" s="3">
        <v>184.65</v>
      </c>
      <c r="D2634" s="3">
        <f t="shared" si="84"/>
        <v>1.0760045189378332E-2</v>
      </c>
      <c r="E2634" s="3">
        <f t="shared" si="85"/>
        <v>-1.2913819495582939E-2</v>
      </c>
    </row>
    <row r="2635" spans="1:5" x14ac:dyDescent="0.45">
      <c r="A2635" s="2">
        <v>44424</v>
      </c>
      <c r="B2635" s="3">
        <v>55582.58</v>
      </c>
      <c r="C2635" s="3">
        <v>180.7</v>
      </c>
      <c r="D2635" s="3">
        <f t="shared" si="84"/>
        <v>2.6173707993712757E-3</v>
      </c>
      <c r="E2635" s="3">
        <f t="shared" si="85"/>
        <v>-2.1623943700389538E-2</v>
      </c>
    </row>
    <row r="2636" spans="1:5" x14ac:dyDescent="0.45">
      <c r="A2636" s="2">
        <v>44425</v>
      </c>
      <c r="B2636" s="3">
        <v>55792.27</v>
      </c>
      <c r="C2636" s="3">
        <v>183.2</v>
      </c>
      <c r="D2636" s="3">
        <f t="shared" si="84"/>
        <v>3.7654865126948117E-3</v>
      </c>
      <c r="E2636" s="3">
        <f t="shared" si="85"/>
        <v>1.374025464184705E-2</v>
      </c>
    </row>
    <row r="2637" spans="1:5" x14ac:dyDescent="0.45">
      <c r="A2637" s="2">
        <v>44426</v>
      </c>
      <c r="B2637" s="3">
        <v>55629.49</v>
      </c>
      <c r="C2637" s="3">
        <v>180.4</v>
      </c>
      <c r="D2637" s="3">
        <f t="shared" si="84"/>
        <v>-2.9218729951675862E-3</v>
      </c>
      <c r="E2637" s="3">
        <f t="shared" si="85"/>
        <v>-1.5401844611506477E-2</v>
      </c>
    </row>
    <row r="2638" spans="1:5" x14ac:dyDescent="0.45">
      <c r="A2638" s="2">
        <v>44428</v>
      </c>
      <c r="B2638" s="3">
        <v>55329.32</v>
      </c>
      <c r="C2638" s="3">
        <v>178.5</v>
      </c>
      <c r="D2638" s="3">
        <f t="shared" si="84"/>
        <v>-5.410489392401319E-3</v>
      </c>
      <c r="E2638" s="3">
        <f t="shared" si="85"/>
        <v>-1.0588006408829596E-2</v>
      </c>
    </row>
    <row r="2639" spans="1:5" x14ac:dyDescent="0.45">
      <c r="A2639" s="2">
        <v>44431</v>
      </c>
      <c r="B2639" s="3">
        <v>55555.79</v>
      </c>
      <c r="C2639" s="3">
        <v>175.7</v>
      </c>
      <c r="D2639" s="3">
        <f t="shared" si="84"/>
        <v>4.0847741395528808E-3</v>
      </c>
      <c r="E2639" s="3">
        <f t="shared" si="85"/>
        <v>-1.5810606026642315E-2</v>
      </c>
    </row>
    <row r="2640" spans="1:5" x14ac:dyDescent="0.45">
      <c r="A2640" s="2">
        <v>44432</v>
      </c>
      <c r="B2640" s="3">
        <v>55958.98</v>
      </c>
      <c r="C2640" s="3">
        <v>176.95</v>
      </c>
      <c r="D2640" s="3">
        <f t="shared" si="84"/>
        <v>7.2311812488748536E-3</v>
      </c>
      <c r="E2640" s="3">
        <f t="shared" si="85"/>
        <v>7.0892115984209679E-3</v>
      </c>
    </row>
    <row r="2641" spans="1:5" x14ac:dyDescent="0.45">
      <c r="A2641" s="2">
        <v>44433</v>
      </c>
      <c r="B2641" s="3">
        <v>55944.21</v>
      </c>
      <c r="C2641" s="3">
        <v>175.55</v>
      </c>
      <c r="D2641" s="3">
        <f t="shared" si="84"/>
        <v>-2.6397817766903508E-4</v>
      </c>
      <c r="E2641" s="3">
        <f t="shared" si="85"/>
        <v>-7.9433041770310218E-3</v>
      </c>
    </row>
    <row r="2642" spans="1:5" x14ac:dyDescent="0.45">
      <c r="A2642" s="2">
        <v>44434</v>
      </c>
      <c r="B2642" s="3">
        <v>55949.1</v>
      </c>
      <c r="C2642" s="3">
        <v>173.2</v>
      </c>
      <c r="D2642" s="3">
        <f t="shared" si="84"/>
        <v>8.7404689397624889E-5</v>
      </c>
      <c r="E2642" s="3">
        <f t="shared" si="85"/>
        <v>-1.3476906486106562E-2</v>
      </c>
    </row>
    <row r="2643" spans="1:5" x14ac:dyDescent="0.45">
      <c r="A2643" s="2">
        <v>44435</v>
      </c>
      <c r="B2643" s="3">
        <v>56124.72</v>
      </c>
      <c r="C2643" s="3">
        <v>174.35</v>
      </c>
      <c r="D2643" s="3">
        <f t="shared" si="84"/>
        <v>3.1340083481596762E-3</v>
      </c>
      <c r="E2643" s="3">
        <f t="shared" si="85"/>
        <v>6.6177769933254147E-3</v>
      </c>
    </row>
    <row r="2644" spans="1:5" x14ac:dyDescent="0.45">
      <c r="A2644" s="2">
        <v>44438</v>
      </c>
      <c r="B2644" s="3">
        <v>56889.760000000002</v>
      </c>
      <c r="C2644" s="3">
        <v>175.55</v>
      </c>
      <c r="D2644" s="3">
        <f t="shared" si="84"/>
        <v>1.3539002900221838E-2</v>
      </c>
      <c r="E2644" s="3">
        <f t="shared" si="85"/>
        <v>6.8591294927812223E-3</v>
      </c>
    </row>
    <row r="2645" spans="1:5" x14ac:dyDescent="0.45">
      <c r="A2645" s="2">
        <v>44439</v>
      </c>
      <c r="B2645" s="3">
        <v>57552.39</v>
      </c>
      <c r="C2645" s="3">
        <v>175.65</v>
      </c>
      <c r="D2645" s="3">
        <f t="shared" si="84"/>
        <v>1.1580303324654869E-2</v>
      </c>
      <c r="E2645" s="3">
        <f t="shared" si="85"/>
        <v>5.6947609739464798E-4</v>
      </c>
    </row>
    <row r="2646" spans="1:5" x14ac:dyDescent="0.45">
      <c r="A2646" s="2">
        <v>44440</v>
      </c>
      <c r="B2646" s="3">
        <v>57338.21</v>
      </c>
      <c r="C2646" s="3">
        <v>175.6</v>
      </c>
      <c r="D2646" s="3">
        <f t="shared" si="84"/>
        <v>-3.7284207430684606E-3</v>
      </c>
      <c r="E2646" s="3">
        <f t="shared" si="85"/>
        <v>-2.8469751081982653E-4</v>
      </c>
    </row>
    <row r="2647" spans="1:5" x14ac:dyDescent="0.45">
      <c r="A2647" s="2">
        <v>44441</v>
      </c>
      <c r="B2647" s="3">
        <v>57852.54</v>
      </c>
      <c r="C2647" s="3">
        <v>175.9</v>
      </c>
      <c r="D2647" s="3">
        <f t="shared" si="84"/>
        <v>8.9301166633194064E-3</v>
      </c>
      <c r="E2647" s="3">
        <f t="shared" si="85"/>
        <v>1.7069705424963377E-3</v>
      </c>
    </row>
    <row r="2648" spans="1:5" x14ac:dyDescent="0.45">
      <c r="A2648" s="2">
        <v>44442</v>
      </c>
      <c r="B2648" s="3">
        <v>58129.95</v>
      </c>
      <c r="C2648" s="3">
        <v>175.5</v>
      </c>
      <c r="D2648" s="3">
        <f t="shared" si="84"/>
        <v>4.7836622408668067E-3</v>
      </c>
      <c r="E2648" s="3">
        <f t="shared" si="85"/>
        <v>-2.2766088375920654E-3</v>
      </c>
    </row>
    <row r="2649" spans="1:5" x14ac:dyDescent="0.45">
      <c r="A2649" s="2">
        <v>44445</v>
      </c>
      <c r="B2649" s="3">
        <v>58296.91</v>
      </c>
      <c r="C2649" s="3">
        <v>174.25</v>
      </c>
      <c r="D2649" s="3">
        <f t="shared" si="84"/>
        <v>2.8680686647141996E-3</v>
      </c>
      <c r="E2649" s="3">
        <f t="shared" si="85"/>
        <v>-7.1479932652872844E-3</v>
      </c>
    </row>
    <row r="2650" spans="1:5" x14ac:dyDescent="0.45">
      <c r="A2650" s="2">
        <v>44446</v>
      </c>
      <c r="B2650" s="3">
        <v>58279.48</v>
      </c>
      <c r="C2650" s="3">
        <v>173.2</v>
      </c>
      <c r="D2650" s="3">
        <f t="shared" si="84"/>
        <v>-2.9903139271825668E-4</v>
      </c>
      <c r="E2650" s="3">
        <f t="shared" si="85"/>
        <v>-6.0440535122985549E-3</v>
      </c>
    </row>
    <row r="2651" spans="1:5" x14ac:dyDescent="0.45">
      <c r="A2651" s="2">
        <v>44447</v>
      </c>
      <c r="B2651" s="3">
        <v>58250.26</v>
      </c>
      <c r="C2651" s="3">
        <v>172.9</v>
      </c>
      <c r="D2651" s="3">
        <f t="shared" si="84"/>
        <v>-5.0150288866028536E-4</v>
      </c>
      <c r="E2651" s="3">
        <f t="shared" si="85"/>
        <v>-1.7336034390898565E-3</v>
      </c>
    </row>
    <row r="2652" spans="1:5" x14ac:dyDescent="0.45">
      <c r="A2652" s="2">
        <v>44448</v>
      </c>
      <c r="B2652" s="3">
        <v>58305.07</v>
      </c>
      <c r="C2652" s="3">
        <v>173.5</v>
      </c>
      <c r="D2652" s="3">
        <f t="shared" si="84"/>
        <v>9.4049759955406123E-4</v>
      </c>
      <c r="E2652" s="3">
        <f t="shared" si="85"/>
        <v>3.4642066976689721E-3</v>
      </c>
    </row>
    <row r="2653" spans="1:5" x14ac:dyDescent="0.45">
      <c r="A2653" s="2">
        <v>44452</v>
      </c>
      <c r="B2653" s="3">
        <v>58177.760000000002</v>
      </c>
      <c r="C2653" s="3">
        <v>173.9</v>
      </c>
      <c r="D2653" s="3">
        <f t="shared" si="84"/>
        <v>-2.1859024320132112E-3</v>
      </c>
      <c r="E2653" s="3">
        <f t="shared" si="85"/>
        <v>2.3028219733235047E-3</v>
      </c>
    </row>
    <row r="2654" spans="1:5" x14ac:dyDescent="0.45">
      <c r="A2654" s="2">
        <v>44453</v>
      </c>
      <c r="B2654" s="3">
        <v>58247.09</v>
      </c>
      <c r="C2654" s="3">
        <v>174</v>
      </c>
      <c r="D2654" s="3">
        <f t="shared" si="84"/>
        <v>1.190982993665641E-3</v>
      </c>
      <c r="E2654" s="3">
        <f t="shared" si="85"/>
        <v>5.7487785429159472E-4</v>
      </c>
    </row>
    <row r="2655" spans="1:5" x14ac:dyDescent="0.45">
      <c r="A2655" s="2">
        <v>44454</v>
      </c>
      <c r="B2655" s="3">
        <v>58723.199999999997</v>
      </c>
      <c r="C2655" s="3">
        <v>177.85</v>
      </c>
      <c r="D2655" s="3">
        <f t="shared" si="84"/>
        <v>8.1407446178501583E-3</v>
      </c>
      <c r="E2655" s="3">
        <f t="shared" si="85"/>
        <v>2.1885199179935175E-2</v>
      </c>
    </row>
    <row r="2656" spans="1:5" x14ac:dyDescent="0.45">
      <c r="A2656" s="2">
        <v>44455</v>
      </c>
      <c r="B2656" s="3">
        <v>59141.16</v>
      </c>
      <c r="C2656" s="3">
        <v>179.4</v>
      </c>
      <c r="D2656" s="3">
        <f t="shared" si="84"/>
        <v>7.09224997188078E-3</v>
      </c>
      <c r="E2656" s="3">
        <f t="shared" si="85"/>
        <v>8.6774512302317044E-3</v>
      </c>
    </row>
    <row r="2657" spans="1:5" x14ac:dyDescent="0.45">
      <c r="A2657" s="2">
        <v>44456</v>
      </c>
      <c r="B2657" s="3">
        <v>59015.89</v>
      </c>
      <c r="C2657" s="3">
        <v>178.75</v>
      </c>
      <c r="D2657" s="3">
        <f t="shared" si="84"/>
        <v>-2.1203990271500099E-3</v>
      </c>
      <c r="E2657" s="3">
        <f t="shared" si="85"/>
        <v>-3.6297680505787237E-3</v>
      </c>
    </row>
    <row r="2658" spans="1:5" x14ac:dyDescent="0.45">
      <c r="A2658" s="2">
        <v>44459</v>
      </c>
      <c r="B2658" s="3">
        <v>58490.93</v>
      </c>
      <c r="C2658" s="3">
        <v>176.8</v>
      </c>
      <c r="D2658" s="3">
        <f t="shared" si="84"/>
        <v>-8.9350301965483662E-3</v>
      </c>
      <c r="E2658" s="3">
        <f t="shared" si="85"/>
        <v>-1.0969031370573933E-2</v>
      </c>
    </row>
    <row r="2659" spans="1:5" x14ac:dyDescent="0.45">
      <c r="A2659" s="2">
        <v>44460</v>
      </c>
      <c r="B2659" s="3">
        <v>59005.27</v>
      </c>
      <c r="C2659" s="3">
        <v>176</v>
      </c>
      <c r="D2659" s="3">
        <f t="shared" si="84"/>
        <v>8.7550624682416252E-3</v>
      </c>
      <c r="E2659" s="3">
        <f t="shared" si="85"/>
        <v>-4.5351551653913741E-3</v>
      </c>
    </row>
    <row r="2660" spans="1:5" x14ac:dyDescent="0.45">
      <c r="A2660" s="2">
        <v>44461</v>
      </c>
      <c r="B2660" s="3">
        <v>58927.33</v>
      </c>
      <c r="C2660" s="3">
        <v>176.65</v>
      </c>
      <c r="D2660" s="3">
        <f t="shared" si="84"/>
        <v>-1.3217721197919421E-3</v>
      </c>
      <c r="E2660" s="3">
        <f t="shared" si="85"/>
        <v>3.6863787670024144E-3</v>
      </c>
    </row>
    <row r="2661" spans="1:5" x14ac:dyDescent="0.45">
      <c r="A2661" s="2">
        <v>44462</v>
      </c>
      <c r="B2661" s="3">
        <v>59885.36</v>
      </c>
      <c r="C2661" s="3">
        <v>178.15</v>
      </c>
      <c r="D2661" s="3">
        <f t="shared" si="84"/>
        <v>1.6127078072634585E-2</v>
      </c>
      <c r="E2661" s="3">
        <f t="shared" si="85"/>
        <v>8.4555182466908886E-3</v>
      </c>
    </row>
    <row r="2662" spans="1:5" x14ac:dyDescent="0.45">
      <c r="A2662" s="2">
        <v>44463</v>
      </c>
      <c r="B2662" s="3">
        <v>60048.47</v>
      </c>
      <c r="C2662" s="3">
        <v>176.15</v>
      </c>
      <c r="D2662" s="3">
        <f t="shared" si="84"/>
        <v>2.7200015302247089E-3</v>
      </c>
      <c r="E2662" s="3">
        <f t="shared" si="85"/>
        <v>-1.1289987264598402E-2</v>
      </c>
    </row>
    <row r="2663" spans="1:5" x14ac:dyDescent="0.45">
      <c r="A2663" s="2">
        <v>44466</v>
      </c>
      <c r="B2663" s="3">
        <v>60077.88</v>
      </c>
      <c r="C2663" s="3">
        <v>176</v>
      </c>
      <c r="D2663" s="3">
        <f t="shared" si="84"/>
        <v>4.8965111464052214E-4</v>
      </c>
      <c r="E2663" s="3">
        <f t="shared" si="85"/>
        <v>-8.519097490949178E-4</v>
      </c>
    </row>
    <row r="2664" spans="1:5" x14ac:dyDescent="0.45">
      <c r="A2664" s="2">
        <v>44467</v>
      </c>
      <c r="B2664" s="3">
        <v>59667.6</v>
      </c>
      <c r="C2664" s="3">
        <v>183.75</v>
      </c>
      <c r="D2664" s="3">
        <f t="shared" si="84"/>
        <v>-6.8525610399463952E-3</v>
      </c>
      <c r="E2664" s="3">
        <f t="shared" si="85"/>
        <v>4.3092143054794196E-2</v>
      </c>
    </row>
    <row r="2665" spans="1:5" x14ac:dyDescent="0.45">
      <c r="A2665" s="2">
        <v>44468</v>
      </c>
      <c r="B2665" s="3">
        <v>59413.27</v>
      </c>
      <c r="C2665" s="3">
        <v>195.1</v>
      </c>
      <c r="D2665" s="3">
        <f t="shared" si="84"/>
        <v>-4.2715574166185639E-3</v>
      </c>
      <c r="E2665" s="3">
        <f t="shared" si="85"/>
        <v>5.99361095361194E-2</v>
      </c>
    </row>
    <row r="2666" spans="1:5" x14ac:dyDescent="0.45">
      <c r="A2666" s="2">
        <v>44469</v>
      </c>
      <c r="B2666" s="3">
        <v>59126.36</v>
      </c>
      <c r="C2666" s="3">
        <v>189.9</v>
      </c>
      <c r="D2666" s="3">
        <f t="shared" si="84"/>
        <v>-4.8407534300678855E-3</v>
      </c>
      <c r="E2666" s="3">
        <f t="shared" si="85"/>
        <v>-2.7014629810825256E-2</v>
      </c>
    </row>
    <row r="2667" spans="1:5" x14ac:dyDescent="0.45">
      <c r="A2667" s="2">
        <v>44470</v>
      </c>
      <c r="B2667" s="3">
        <v>58765.58</v>
      </c>
      <c r="C2667" s="3">
        <v>191.8</v>
      </c>
      <c r="D2667" s="3">
        <f t="shared" si="84"/>
        <v>-6.120539305134844E-3</v>
      </c>
      <c r="E2667" s="3">
        <f t="shared" si="85"/>
        <v>9.9555446310976188E-3</v>
      </c>
    </row>
    <row r="2668" spans="1:5" x14ac:dyDescent="0.45">
      <c r="A2668" s="2">
        <v>44473</v>
      </c>
      <c r="B2668" s="3">
        <v>59299.32</v>
      </c>
      <c r="C2668" s="3">
        <v>191.55</v>
      </c>
      <c r="D2668" s="3">
        <f t="shared" si="84"/>
        <v>9.0415294649919299E-3</v>
      </c>
      <c r="E2668" s="3">
        <f t="shared" si="85"/>
        <v>-1.3042913026798829E-3</v>
      </c>
    </row>
    <row r="2669" spans="1:5" x14ac:dyDescent="0.45">
      <c r="A2669" s="2">
        <v>44474</v>
      </c>
      <c r="B2669" s="3">
        <v>59744.88</v>
      </c>
      <c r="C2669" s="3">
        <v>189.8</v>
      </c>
      <c r="D2669" s="3">
        <f t="shared" si="84"/>
        <v>7.4856579418464209E-3</v>
      </c>
      <c r="E2669" s="3">
        <f t="shared" si="85"/>
        <v>-9.1779849708304717E-3</v>
      </c>
    </row>
    <row r="2670" spans="1:5" x14ac:dyDescent="0.45">
      <c r="A2670" s="2">
        <v>44475</v>
      </c>
      <c r="B2670" s="3">
        <v>59189.73</v>
      </c>
      <c r="C2670" s="3">
        <v>187.65</v>
      </c>
      <c r="D2670" s="3">
        <f t="shared" si="84"/>
        <v>-9.3354496525393793E-3</v>
      </c>
      <c r="E2670" s="3">
        <f t="shared" si="85"/>
        <v>-1.1392360594797681E-2</v>
      </c>
    </row>
    <row r="2671" spans="1:5" x14ac:dyDescent="0.45">
      <c r="A2671" s="2">
        <v>44476</v>
      </c>
      <c r="B2671" s="3">
        <v>59677.83</v>
      </c>
      <c r="C2671" s="3">
        <v>188.35</v>
      </c>
      <c r="D2671" s="3">
        <f t="shared" si="84"/>
        <v>8.2125475337492589E-3</v>
      </c>
      <c r="E2671" s="3">
        <f t="shared" si="85"/>
        <v>3.7234085570202633E-3</v>
      </c>
    </row>
    <row r="2672" spans="1:5" x14ac:dyDescent="0.45">
      <c r="A2672" s="2">
        <v>44477</v>
      </c>
      <c r="B2672" s="3">
        <v>60059.06</v>
      </c>
      <c r="C2672" s="3">
        <v>187.65</v>
      </c>
      <c r="D2672" s="3">
        <f t="shared" si="84"/>
        <v>6.3678167724239175E-3</v>
      </c>
      <c r="E2672" s="3">
        <f t="shared" si="85"/>
        <v>-3.7234085570201575E-3</v>
      </c>
    </row>
    <row r="2673" spans="1:5" x14ac:dyDescent="0.45">
      <c r="A2673" s="2">
        <v>44480</v>
      </c>
      <c r="B2673" s="3">
        <v>60135.78</v>
      </c>
      <c r="C2673" s="3">
        <v>193.45</v>
      </c>
      <c r="D2673" s="3">
        <f t="shared" si="84"/>
        <v>1.2765940770696352E-3</v>
      </c>
      <c r="E2673" s="3">
        <f t="shared" si="85"/>
        <v>3.0440555565492064E-2</v>
      </c>
    </row>
    <row r="2674" spans="1:5" x14ac:dyDescent="0.45">
      <c r="A2674" s="2">
        <v>44481</v>
      </c>
      <c r="B2674" s="3">
        <v>60284.31</v>
      </c>
      <c r="C2674" s="3">
        <v>193.3</v>
      </c>
      <c r="D2674" s="3">
        <f t="shared" si="84"/>
        <v>2.4668653764058769E-3</v>
      </c>
      <c r="E2674" s="3">
        <f t="shared" si="85"/>
        <v>-7.7569493223662541E-4</v>
      </c>
    </row>
    <row r="2675" spans="1:5" x14ac:dyDescent="0.45">
      <c r="A2675" s="2">
        <v>44482</v>
      </c>
      <c r="B2675" s="3">
        <v>60737.05</v>
      </c>
      <c r="C2675" s="3">
        <v>199.5</v>
      </c>
      <c r="D2675" s="3">
        <f t="shared" si="84"/>
        <v>7.4820199021658623E-3</v>
      </c>
      <c r="E2675" s="3">
        <f t="shared" si="85"/>
        <v>3.1570850115632973E-2</v>
      </c>
    </row>
    <row r="2676" spans="1:5" x14ac:dyDescent="0.45">
      <c r="A2676" s="2">
        <v>44483</v>
      </c>
      <c r="B2676" s="3">
        <v>61305.95</v>
      </c>
      <c r="C2676" s="3">
        <v>204.5</v>
      </c>
      <c r="D2676" s="3">
        <f t="shared" si="84"/>
        <v>9.3230110806343282E-3</v>
      </c>
      <c r="E2676" s="3">
        <f t="shared" si="85"/>
        <v>2.4753739152938395E-2</v>
      </c>
    </row>
    <row r="2677" spans="1:5" x14ac:dyDescent="0.45">
      <c r="A2677" s="2">
        <v>44487</v>
      </c>
      <c r="B2677" s="3">
        <v>61765.59</v>
      </c>
      <c r="C2677" s="3">
        <v>203.8</v>
      </c>
      <c r="D2677" s="3">
        <f t="shared" si="84"/>
        <v>7.4695114252882238E-3</v>
      </c>
      <c r="E2677" s="3">
        <f t="shared" si="85"/>
        <v>-3.4288546942318906E-3</v>
      </c>
    </row>
    <row r="2678" spans="1:5" x14ac:dyDescent="0.45">
      <c r="A2678" s="2">
        <v>44488</v>
      </c>
      <c r="B2678" s="3">
        <v>61716.05</v>
      </c>
      <c r="C2678" s="3">
        <v>198.5</v>
      </c>
      <c r="D2678" s="3">
        <f t="shared" si="84"/>
        <v>-8.0238653548675106E-4</v>
      </c>
      <c r="E2678" s="3">
        <f t="shared" si="85"/>
        <v>-2.6350020661379432E-2</v>
      </c>
    </row>
    <row r="2679" spans="1:5" x14ac:dyDescent="0.45">
      <c r="A2679" s="2">
        <v>44489</v>
      </c>
      <c r="B2679" s="3">
        <v>61259.96</v>
      </c>
      <c r="C2679" s="3">
        <v>194.3</v>
      </c>
      <c r="D2679" s="3">
        <f t="shared" si="84"/>
        <v>-7.4175782933356988E-3</v>
      </c>
      <c r="E2679" s="3">
        <f t="shared" si="85"/>
        <v>-2.1385743743850605E-2</v>
      </c>
    </row>
    <row r="2680" spans="1:5" x14ac:dyDescent="0.45">
      <c r="A2680" s="2">
        <v>44490</v>
      </c>
      <c r="B2680" s="3">
        <v>60923.5</v>
      </c>
      <c r="C2680" s="3">
        <v>193.9</v>
      </c>
      <c r="D2680" s="3">
        <f t="shared" si="84"/>
        <v>-5.5074696765752759E-3</v>
      </c>
      <c r="E2680" s="3">
        <f t="shared" si="85"/>
        <v>-2.0607941347883609E-3</v>
      </c>
    </row>
    <row r="2681" spans="1:5" x14ac:dyDescent="0.45">
      <c r="A2681" s="2">
        <v>44491</v>
      </c>
      <c r="B2681" s="3">
        <v>60821.62</v>
      </c>
      <c r="C2681" s="3">
        <v>194.35</v>
      </c>
      <c r="D2681" s="3">
        <f t="shared" si="84"/>
        <v>-1.6736609037254348E-3</v>
      </c>
      <c r="E2681" s="3">
        <f t="shared" si="85"/>
        <v>2.3180950496258916E-3</v>
      </c>
    </row>
    <row r="2682" spans="1:5" x14ac:dyDescent="0.45">
      <c r="A2682" s="2">
        <v>44494</v>
      </c>
      <c r="B2682" s="3">
        <v>60967.05</v>
      </c>
      <c r="C2682" s="3">
        <v>192.8</v>
      </c>
      <c r="D2682" s="3">
        <f t="shared" si="84"/>
        <v>2.3882364282942809E-3</v>
      </c>
      <c r="E2682" s="3">
        <f t="shared" si="85"/>
        <v>-8.0072751217868301E-3</v>
      </c>
    </row>
    <row r="2683" spans="1:5" x14ac:dyDescent="0.45">
      <c r="A2683" s="2">
        <v>44495</v>
      </c>
      <c r="B2683" s="3">
        <v>61350.26</v>
      </c>
      <c r="C2683" s="3">
        <v>190.3</v>
      </c>
      <c r="D2683" s="3">
        <f t="shared" si="84"/>
        <v>6.2658548289605551E-3</v>
      </c>
      <c r="E2683" s="3">
        <f t="shared" si="85"/>
        <v>-1.3051607874341386E-2</v>
      </c>
    </row>
    <row r="2684" spans="1:5" x14ac:dyDescent="0.45">
      <c r="A2684" s="2">
        <v>44496</v>
      </c>
      <c r="B2684" s="3">
        <v>61143.33</v>
      </c>
      <c r="C2684" s="3">
        <v>190.25</v>
      </c>
      <c r="D2684" s="3">
        <f t="shared" si="84"/>
        <v>-3.3786289853115175E-3</v>
      </c>
      <c r="E2684" s="3">
        <f t="shared" si="85"/>
        <v>-2.6277756030863224E-4</v>
      </c>
    </row>
    <row r="2685" spans="1:5" x14ac:dyDescent="0.45">
      <c r="A2685" s="2">
        <v>44497</v>
      </c>
      <c r="B2685" s="3">
        <v>59984.7</v>
      </c>
      <c r="C2685" s="3">
        <v>186.05</v>
      </c>
      <c r="D2685" s="3">
        <f t="shared" si="84"/>
        <v>-1.9131250437366378E-2</v>
      </c>
      <c r="E2685" s="3">
        <f t="shared" si="85"/>
        <v>-2.2323541949163649E-2</v>
      </c>
    </row>
    <row r="2686" spans="1:5" x14ac:dyDescent="0.45">
      <c r="A2686" s="2">
        <v>44498</v>
      </c>
      <c r="B2686" s="3">
        <v>59306.93</v>
      </c>
      <c r="C2686" s="3">
        <v>185.05</v>
      </c>
      <c r="D2686" s="3">
        <f t="shared" si="84"/>
        <v>-1.1363367121980555E-2</v>
      </c>
      <c r="E2686" s="3">
        <f t="shared" si="85"/>
        <v>-5.3893959604665153E-3</v>
      </c>
    </row>
    <row r="2687" spans="1:5" x14ac:dyDescent="0.45">
      <c r="A2687" s="2">
        <v>44501</v>
      </c>
      <c r="B2687" s="3">
        <v>60138.46</v>
      </c>
      <c r="C2687" s="3">
        <v>187.6</v>
      </c>
      <c r="D2687" s="3">
        <f t="shared" si="84"/>
        <v>1.3923407733235206E-2</v>
      </c>
      <c r="E2687" s="3">
        <f t="shared" si="85"/>
        <v>1.3685977739959306E-2</v>
      </c>
    </row>
    <row r="2688" spans="1:5" x14ac:dyDescent="0.45">
      <c r="A2688" s="2">
        <v>44502</v>
      </c>
      <c r="B2688" s="3">
        <v>60029.06</v>
      </c>
      <c r="C2688" s="3">
        <v>185.65</v>
      </c>
      <c r="D2688" s="3">
        <f t="shared" si="84"/>
        <v>-1.8207920114242748E-3</v>
      </c>
      <c r="E2688" s="3">
        <f t="shared" si="85"/>
        <v>-1.0448855949035126E-2</v>
      </c>
    </row>
    <row r="2689" spans="1:5" x14ac:dyDescent="0.45">
      <c r="A2689" s="2">
        <v>44503</v>
      </c>
      <c r="B2689" s="3">
        <v>59771.92</v>
      </c>
      <c r="C2689" s="3">
        <v>183.85</v>
      </c>
      <c r="D2689" s="3">
        <f t="shared" si="84"/>
        <v>-4.2927928449785794E-3</v>
      </c>
      <c r="E2689" s="3">
        <f t="shared" si="85"/>
        <v>-9.7429728758081022E-3</v>
      </c>
    </row>
    <row r="2690" spans="1:5" x14ac:dyDescent="0.45">
      <c r="A2690" s="2">
        <v>44504</v>
      </c>
      <c r="B2690" s="3">
        <v>60067.62</v>
      </c>
      <c r="C2690" s="3">
        <v>185.1</v>
      </c>
      <c r="D2690" s="3">
        <f t="shared" si="84"/>
        <v>4.9349421754187476E-3</v>
      </c>
      <c r="E2690" s="3">
        <f t="shared" si="85"/>
        <v>6.7760118321708116E-3</v>
      </c>
    </row>
    <row r="2691" spans="1:5" x14ac:dyDescent="0.45">
      <c r="A2691" s="2">
        <v>44508</v>
      </c>
      <c r="B2691" s="3">
        <v>60545.61</v>
      </c>
      <c r="C2691" s="3">
        <v>189.1</v>
      </c>
      <c r="D2691" s="3">
        <f t="shared" si="84"/>
        <v>7.9260376719469811E-3</v>
      </c>
      <c r="E2691" s="3">
        <f t="shared" si="85"/>
        <v>2.1379756084960084E-2</v>
      </c>
    </row>
    <row r="2692" spans="1:5" x14ac:dyDescent="0.45">
      <c r="A2692" s="2">
        <v>44509</v>
      </c>
      <c r="B2692" s="3">
        <v>60433.45</v>
      </c>
      <c r="C2692" s="3">
        <v>186.6</v>
      </c>
      <c r="D2692" s="3">
        <f t="shared" si="84"/>
        <v>-1.8542057135272727E-3</v>
      </c>
      <c r="E2692" s="3">
        <f t="shared" si="85"/>
        <v>-1.330868725116832E-2</v>
      </c>
    </row>
    <row r="2693" spans="1:5" x14ac:dyDescent="0.45">
      <c r="A2693" s="2">
        <v>44510</v>
      </c>
      <c r="B2693" s="3">
        <v>60352.82</v>
      </c>
      <c r="C2693" s="3">
        <v>184.5</v>
      </c>
      <c r="D2693" s="3">
        <f t="shared" si="84"/>
        <v>-1.3350857175505665E-3</v>
      </c>
      <c r="E2693" s="3">
        <f t="shared" si="85"/>
        <v>-1.1317824932661572E-2</v>
      </c>
    </row>
    <row r="2694" spans="1:5" x14ac:dyDescent="0.45">
      <c r="A2694" s="2">
        <v>44511</v>
      </c>
      <c r="B2694" s="3">
        <v>59919.69</v>
      </c>
      <c r="C2694" s="3">
        <v>182.2</v>
      </c>
      <c r="D2694" s="3">
        <f t="shared" ref="D2694:D2757" si="86">LN(B2694/B2693)</f>
        <v>-7.2025082443840137E-3</v>
      </c>
      <c r="E2694" s="3">
        <f t="shared" ref="E2694:E2757" si="87">LN(C2694/C2693)</f>
        <v>-1.2544478654723955E-2</v>
      </c>
    </row>
    <row r="2695" spans="1:5" x14ac:dyDescent="0.45">
      <c r="A2695" s="2">
        <v>44512</v>
      </c>
      <c r="B2695" s="3">
        <v>60686.69</v>
      </c>
      <c r="C2695" s="3">
        <v>182</v>
      </c>
      <c r="D2695" s="3">
        <f t="shared" si="86"/>
        <v>1.2719233266761099E-2</v>
      </c>
      <c r="E2695" s="3">
        <f t="shared" si="87"/>
        <v>-1.0982977490625657E-3</v>
      </c>
    </row>
    <row r="2696" spans="1:5" x14ac:dyDescent="0.45">
      <c r="A2696" s="2">
        <v>44515</v>
      </c>
      <c r="B2696" s="3">
        <v>60718.71</v>
      </c>
      <c r="C2696" s="3">
        <v>188.3</v>
      </c>
      <c r="D2696" s="3">
        <f t="shared" si="86"/>
        <v>5.2748890481708801E-4</v>
      </c>
      <c r="E2696" s="3">
        <f t="shared" si="87"/>
        <v>3.402974858631147E-2</v>
      </c>
    </row>
    <row r="2697" spans="1:5" x14ac:dyDescent="0.45">
      <c r="A2697" s="2">
        <v>44516</v>
      </c>
      <c r="B2697" s="3">
        <v>60322.37</v>
      </c>
      <c r="C2697" s="3">
        <v>187.25</v>
      </c>
      <c r="D2697" s="3">
        <f t="shared" si="86"/>
        <v>-6.5488744236269414E-3</v>
      </c>
      <c r="E2697" s="3">
        <f t="shared" si="87"/>
        <v>-5.5918132657779415E-3</v>
      </c>
    </row>
    <row r="2698" spans="1:5" x14ac:dyDescent="0.45">
      <c r="A2698" s="2">
        <v>44517</v>
      </c>
      <c r="B2698" s="3">
        <v>60008.33</v>
      </c>
      <c r="C2698" s="3">
        <v>191.15</v>
      </c>
      <c r="D2698" s="3">
        <f t="shared" si="86"/>
        <v>-5.2196274598008364E-3</v>
      </c>
      <c r="E2698" s="3">
        <f t="shared" si="87"/>
        <v>2.0613837745092966E-2</v>
      </c>
    </row>
    <row r="2699" spans="1:5" x14ac:dyDescent="0.45">
      <c r="A2699" s="2">
        <v>44518</v>
      </c>
      <c r="B2699" s="3">
        <v>59636.01</v>
      </c>
      <c r="C2699" s="3">
        <v>192.35</v>
      </c>
      <c r="D2699" s="3">
        <f t="shared" si="86"/>
        <v>-6.223799668890779E-3</v>
      </c>
      <c r="E2699" s="3">
        <f t="shared" si="87"/>
        <v>6.2581690558822867E-3</v>
      </c>
    </row>
    <row r="2700" spans="1:5" x14ac:dyDescent="0.45">
      <c r="A2700" s="2">
        <v>44522</v>
      </c>
      <c r="B2700" s="3">
        <v>58465.89</v>
      </c>
      <c r="C2700" s="3">
        <v>194.25</v>
      </c>
      <c r="D2700" s="3">
        <f t="shared" si="86"/>
        <v>-1.9816078990810022E-2</v>
      </c>
      <c r="E2700" s="3">
        <f t="shared" si="87"/>
        <v>9.8293600494526769E-3</v>
      </c>
    </row>
    <row r="2701" spans="1:5" x14ac:dyDescent="0.45">
      <c r="A2701" s="2">
        <v>44523</v>
      </c>
      <c r="B2701" s="3">
        <v>58664.33</v>
      </c>
      <c r="C2701" s="3">
        <v>201.85</v>
      </c>
      <c r="D2701" s="3">
        <f t="shared" si="86"/>
        <v>3.3883687720922461E-3</v>
      </c>
      <c r="E2701" s="3">
        <f t="shared" si="87"/>
        <v>3.8378858051192982E-2</v>
      </c>
    </row>
    <row r="2702" spans="1:5" x14ac:dyDescent="0.45">
      <c r="A2702" s="2">
        <v>44524</v>
      </c>
      <c r="B2702" s="3">
        <v>58340.99</v>
      </c>
      <c r="C2702" s="3">
        <v>203.1</v>
      </c>
      <c r="D2702" s="3">
        <f t="shared" si="86"/>
        <v>-5.5269422465737891E-3</v>
      </c>
      <c r="E2702" s="3">
        <f t="shared" si="87"/>
        <v>6.1736212873891184E-3</v>
      </c>
    </row>
    <row r="2703" spans="1:5" x14ac:dyDescent="0.45">
      <c r="A2703" s="2">
        <v>44525</v>
      </c>
      <c r="B2703" s="3">
        <v>58795.09</v>
      </c>
      <c r="C2703" s="3">
        <v>204.2</v>
      </c>
      <c r="D2703" s="3">
        <f t="shared" si="86"/>
        <v>7.7534142318211327E-3</v>
      </c>
      <c r="E2703" s="3">
        <f t="shared" si="87"/>
        <v>5.4014371442262631E-3</v>
      </c>
    </row>
    <row r="2704" spans="1:5" x14ac:dyDescent="0.45">
      <c r="A2704" s="2">
        <v>44526</v>
      </c>
      <c r="B2704" s="3">
        <v>57107.15</v>
      </c>
      <c r="C2704" s="3">
        <v>201.85</v>
      </c>
      <c r="D2704" s="3">
        <f t="shared" si="86"/>
        <v>-2.9129020279701188E-2</v>
      </c>
      <c r="E2704" s="3">
        <f t="shared" si="87"/>
        <v>-1.1575058431615317E-2</v>
      </c>
    </row>
    <row r="2705" spans="1:5" x14ac:dyDescent="0.45">
      <c r="A2705" s="2">
        <v>44529</v>
      </c>
      <c r="B2705" s="3">
        <v>57260.58</v>
      </c>
      <c r="C2705" s="3">
        <v>199.95</v>
      </c>
      <c r="D2705" s="3">
        <f t="shared" si="86"/>
        <v>2.6831011168203622E-3</v>
      </c>
      <c r="E2705" s="3">
        <f t="shared" si="87"/>
        <v>-9.4575120061224528E-3</v>
      </c>
    </row>
    <row r="2706" spans="1:5" x14ac:dyDescent="0.45">
      <c r="A2706" s="2">
        <v>44530</v>
      </c>
      <c r="B2706" s="3">
        <v>57064.87</v>
      </c>
      <c r="C2706" s="3">
        <v>206.8</v>
      </c>
      <c r="D2706" s="3">
        <f t="shared" si="86"/>
        <v>-3.4237379546848221E-3</v>
      </c>
      <c r="E2706" s="3">
        <f t="shared" si="87"/>
        <v>3.3684807341446799E-2</v>
      </c>
    </row>
    <row r="2707" spans="1:5" x14ac:dyDescent="0.45">
      <c r="A2707" s="2">
        <v>44531</v>
      </c>
      <c r="B2707" s="3">
        <v>57684.79</v>
      </c>
      <c r="C2707" s="3">
        <v>207.1</v>
      </c>
      <c r="D2707" s="3">
        <f t="shared" si="86"/>
        <v>1.0804843012449591E-2</v>
      </c>
      <c r="E2707" s="3">
        <f t="shared" si="87"/>
        <v>1.4496257672642491E-3</v>
      </c>
    </row>
    <row r="2708" spans="1:5" x14ac:dyDescent="0.45">
      <c r="A2708" s="2">
        <v>44532</v>
      </c>
      <c r="B2708" s="3">
        <v>58461.29</v>
      </c>
      <c r="C2708" s="3">
        <v>214.65</v>
      </c>
      <c r="D2708" s="3">
        <f t="shared" si="86"/>
        <v>1.3371291898307351E-2</v>
      </c>
      <c r="E2708" s="3">
        <f t="shared" si="87"/>
        <v>3.5807026269031095E-2</v>
      </c>
    </row>
    <row r="2709" spans="1:5" x14ac:dyDescent="0.45">
      <c r="A2709" s="2">
        <v>44533</v>
      </c>
      <c r="B2709" s="3">
        <v>57696.46</v>
      </c>
      <c r="C2709" s="3">
        <v>206</v>
      </c>
      <c r="D2709" s="3">
        <f t="shared" si="86"/>
        <v>-1.3169005997612138E-2</v>
      </c>
      <c r="E2709" s="3">
        <f t="shared" si="87"/>
        <v>-4.1132625880988552E-2</v>
      </c>
    </row>
    <row r="2710" spans="1:5" x14ac:dyDescent="0.45">
      <c r="A2710" s="2">
        <v>44536</v>
      </c>
      <c r="B2710" s="3">
        <v>56747.14</v>
      </c>
      <c r="C2710" s="3">
        <v>201.85</v>
      </c>
      <c r="D2710" s="3">
        <f t="shared" si="86"/>
        <v>-1.65905611964005E-2</v>
      </c>
      <c r="E2710" s="3">
        <f t="shared" si="87"/>
        <v>-2.0351321490631284E-2</v>
      </c>
    </row>
    <row r="2711" spans="1:5" x14ac:dyDescent="0.45">
      <c r="A2711" s="2">
        <v>44537</v>
      </c>
      <c r="B2711" s="3">
        <v>57633.65</v>
      </c>
      <c r="C2711" s="3">
        <v>205.85</v>
      </c>
      <c r="D2711" s="3">
        <f t="shared" si="86"/>
        <v>1.5501339895738743E-2</v>
      </c>
      <c r="E2711" s="3">
        <f t="shared" si="87"/>
        <v>1.9622900916963899E-2</v>
      </c>
    </row>
    <row r="2712" spans="1:5" x14ac:dyDescent="0.45">
      <c r="A2712" s="2">
        <v>44538</v>
      </c>
      <c r="B2712" s="3">
        <v>58649.68</v>
      </c>
      <c r="C2712" s="3">
        <v>204.85</v>
      </c>
      <c r="D2712" s="3">
        <f t="shared" si="86"/>
        <v>1.7475520477583321E-2</v>
      </c>
      <c r="E2712" s="3">
        <f t="shared" si="87"/>
        <v>-4.8697442230336493E-3</v>
      </c>
    </row>
    <row r="2713" spans="1:5" x14ac:dyDescent="0.45">
      <c r="A2713" s="2">
        <v>44539</v>
      </c>
      <c r="B2713" s="3">
        <v>58807.13</v>
      </c>
      <c r="C2713" s="3">
        <v>203.15</v>
      </c>
      <c r="D2713" s="3">
        <f t="shared" si="86"/>
        <v>2.6809870676461458E-3</v>
      </c>
      <c r="E2713" s="3">
        <f t="shared" si="87"/>
        <v>-8.3333815591442994E-3</v>
      </c>
    </row>
    <row r="2714" spans="1:5" x14ac:dyDescent="0.45">
      <c r="A2714" s="2">
        <v>44540</v>
      </c>
      <c r="B2714" s="3">
        <v>58786.67</v>
      </c>
      <c r="C2714" s="3">
        <v>202.6</v>
      </c>
      <c r="D2714" s="3">
        <f t="shared" si="86"/>
        <v>-3.4797753293883935E-4</v>
      </c>
      <c r="E2714" s="3">
        <f t="shared" si="87"/>
        <v>-2.7110306191527648E-3</v>
      </c>
    </row>
    <row r="2715" spans="1:5" x14ac:dyDescent="0.45">
      <c r="A2715" s="2">
        <v>44543</v>
      </c>
      <c r="B2715" s="3">
        <v>58283.42</v>
      </c>
      <c r="C2715" s="3">
        <v>204.45</v>
      </c>
      <c r="D2715" s="3">
        <f t="shared" si="86"/>
        <v>-8.5974666948084415E-3</v>
      </c>
      <c r="E2715" s="3">
        <f t="shared" si="87"/>
        <v>9.0898549960682154E-3</v>
      </c>
    </row>
    <row r="2716" spans="1:5" x14ac:dyDescent="0.45">
      <c r="A2716" s="2">
        <v>44544</v>
      </c>
      <c r="B2716" s="3">
        <v>58117.09</v>
      </c>
      <c r="C2716" s="3">
        <v>212.3</v>
      </c>
      <c r="D2716" s="3">
        <f t="shared" si="86"/>
        <v>-2.8578932035449697E-3</v>
      </c>
      <c r="E2716" s="3">
        <f t="shared" si="87"/>
        <v>3.7676921898559312E-2</v>
      </c>
    </row>
    <row r="2717" spans="1:5" x14ac:dyDescent="0.45">
      <c r="A2717" s="2">
        <v>44545</v>
      </c>
      <c r="B2717" s="3">
        <v>57788.03</v>
      </c>
      <c r="C2717" s="3">
        <v>210</v>
      </c>
      <c r="D2717" s="3">
        <f t="shared" si="86"/>
        <v>-5.6781078195504483E-3</v>
      </c>
      <c r="E2717" s="3">
        <f t="shared" si="87"/>
        <v>-1.089283799174174E-2</v>
      </c>
    </row>
    <row r="2718" spans="1:5" x14ac:dyDescent="0.45">
      <c r="A2718" s="2">
        <v>44546</v>
      </c>
      <c r="B2718" s="3">
        <v>57901.14</v>
      </c>
      <c r="C2718" s="3">
        <v>208.25</v>
      </c>
      <c r="D2718" s="3">
        <f t="shared" si="86"/>
        <v>1.9554126983705828E-3</v>
      </c>
      <c r="E2718" s="3">
        <f t="shared" si="87"/>
        <v>-8.3682496705165792E-3</v>
      </c>
    </row>
    <row r="2719" spans="1:5" x14ac:dyDescent="0.45">
      <c r="A2719" s="2">
        <v>44547</v>
      </c>
      <c r="B2719" s="3">
        <v>57011.74</v>
      </c>
      <c r="C2719" s="3">
        <v>209.95</v>
      </c>
      <c r="D2719" s="3">
        <f t="shared" si="86"/>
        <v>-1.5479861965322049E-2</v>
      </c>
      <c r="E2719" s="3">
        <f t="shared" si="87"/>
        <v>8.1301260832500888E-3</v>
      </c>
    </row>
    <row r="2720" spans="1:5" x14ac:dyDescent="0.45">
      <c r="A2720" s="2">
        <v>44550</v>
      </c>
      <c r="B2720" s="3">
        <v>55822.01</v>
      </c>
      <c r="C2720" s="3">
        <v>209.8</v>
      </c>
      <c r="D2720" s="3">
        <f t="shared" si="86"/>
        <v>-2.1088975480019697E-2</v>
      </c>
      <c r="E2720" s="3">
        <f t="shared" si="87"/>
        <v>-7.1471116800534535E-4</v>
      </c>
    </row>
    <row r="2721" spans="1:5" x14ac:dyDescent="0.45">
      <c r="A2721" s="2">
        <v>44551</v>
      </c>
      <c r="B2721" s="3">
        <v>56319.01</v>
      </c>
      <c r="C2721" s="3">
        <v>206.65</v>
      </c>
      <c r="D2721" s="3">
        <f t="shared" si="86"/>
        <v>8.8638975113393987E-3</v>
      </c>
      <c r="E2721" s="3">
        <f t="shared" si="87"/>
        <v>-1.5128155004455449E-2</v>
      </c>
    </row>
    <row r="2722" spans="1:5" x14ac:dyDescent="0.45">
      <c r="A2722" s="2">
        <v>44552</v>
      </c>
      <c r="B2722" s="3">
        <v>56930.559999999998</v>
      </c>
      <c r="C2722" s="3">
        <v>201.55</v>
      </c>
      <c r="D2722" s="3">
        <f t="shared" si="86"/>
        <v>1.0800145985810543E-2</v>
      </c>
      <c r="E2722" s="3">
        <f t="shared" si="87"/>
        <v>-2.4989051394566576E-2</v>
      </c>
    </row>
    <row r="2723" spans="1:5" x14ac:dyDescent="0.45">
      <c r="A2723" s="2">
        <v>44553</v>
      </c>
      <c r="B2723" s="3">
        <v>57315.28</v>
      </c>
      <c r="C2723" s="3">
        <v>208.4</v>
      </c>
      <c r="D2723" s="3">
        <f t="shared" si="86"/>
        <v>6.7349752820241599E-3</v>
      </c>
      <c r="E2723" s="3">
        <f t="shared" si="87"/>
        <v>3.3421820316037076E-2</v>
      </c>
    </row>
    <row r="2724" spans="1:5" x14ac:dyDescent="0.45">
      <c r="A2724" s="2">
        <v>44554</v>
      </c>
      <c r="B2724" s="3">
        <v>57124.31</v>
      </c>
      <c r="C2724" s="3">
        <v>203.25</v>
      </c>
      <c r="D2724" s="3">
        <f t="shared" si="86"/>
        <v>-3.3374844713220386E-3</v>
      </c>
      <c r="E2724" s="3">
        <f t="shared" si="87"/>
        <v>-2.502256145129193E-2</v>
      </c>
    </row>
    <row r="2725" spans="1:5" x14ac:dyDescent="0.45">
      <c r="A2725" s="2">
        <v>44557</v>
      </c>
      <c r="B2725" s="3">
        <v>57420.24</v>
      </c>
      <c r="C2725" s="3">
        <v>206.05</v>
      </c>
      <c r="D2725" s="3">
        <f t="shared" si="86"/>
        <v>5.1670840456977309E-3</v>
      </c>
      <c r="E2725" s="3">
        <f t="shared" si="87"/>
        <v>1.3682109356906419E-2</v>
      </c>
    </row>
    <row r="2726" spans="1:5" x14ac:dyDescent="0.45">
      <c r="A2726" s="2">
        <v>44558</v>
      </c>
      <c r="B2726" s="3">
        <v>57897.48</v>
      </c>
      <c r="C2726" s="3">
        <v>205.45</v>
      </c>
      <c r="D2726" s="3">
        <f t="shared" si="86"/>
        <v>8.2770059032200548E-3</v>
      </c>
      <c r="E2726" s="3">
        <f t="shared" si="87"/>
        <v>-2.9161624554077158E-3</v>
      </c>
    </row>
    <row r="2727" spans="1:5" x14ac:dyDescent="0.45">
      <c r="A2727" s="2">
        <v>44559</v>
      </c>
      <c r="B2727" s="3">
        <v>57806.49</v>
      </c>
      <c r="C2727" s="3">
        <v>204.35</v>
      </c>
      <c r="D2727" s="3">
        <f t="shared" si="86"/>
        <v>-1.5728072037114555E-3</v>
      </c>
      <c r="E2727" s="3">
        <f t="shared" si="87"/>
        <v>-5.3684853191324012E-3</v>
      </c>
    </row>
    <row r="2728" spans="1:5" x14ac:dyDescent="0.45">
      <c r="A2728" s="2">
        <v>44560</v>
      </c>
      <c r="B2728" s="3">
        <v>57794.32</v>
      </c>
      <c r="C2728" s="3">
        <v>205.35</v>
      </c>
      <c r="D2728" s="3">
        <f t="shared" si="86"/>
        <v>-2.1055215867365641E-4</v>
      </c>
      <c r="E2728" s="3">
        <f t="shared" si="87"/>
        <v>4.8816303922813364E-3</v>
      </c>
    </row>
    <row r="2729" spans="1:5" x14ac:dyDescent="0.45">
      <c r="A2729" s="2">
        <v>44561</v>
      </c>
      <c r="B2729" s="3">
        <v>58253.82</v>
      </c>
      <c r="C2729" s="3">
        <v>204.35</v>
      </c>
      <c r="D2729" s="3">
        <f t="shared" si="86"/>
        <v>7.9191687413812696E-3</v>
      </c>
      <c r="E2729" s="3">
        <f t="shared" si="87"/>
        <v>-4.8816303922813243E-3</v>
      </c>
    </row>
    <row r="2730" spans="1:5" x14ac:dyDescent="0.45">
      <c r="A2730" s="2">
        <v>44564</v>
      </c>
      <c r="B2730" s="3">
        <v>59183.22</v>
      </c>
      <c r="C2730" s="3">
        <v>204.9</v>
      </c>
      <c r="D2730" s="3">
        <f t="shared" si="86"/>
        <v>1.5828386070902721E-2</v>
      </c>
      <c r="E2730" s="3">
        <f t="shared" si="87"/>
        <v>2.6878452345678581E-3</v>
      </c>
    </row>
    <row r="2731" spans="1:5" x14ac:dyDescent="0.45">
      <c r="A2731" s="2">
        <v>44565</v>
      </c>
      <c r="B2731" s="3">
        <v>59855.93</v>
      </c>
      <c r="C2731" s="3">
        <v>210.5</v>
      </c>
      <c r="D2731" s="3">
        <f t="shared" si="86"/>
        <v>1.1302452366084284E-2</v>
      </c>
      <c r="E2731" s="3">
        <f t="shared" si="87"/>
        <v>2.6963597877582037E-2</v>
      </c>
    </row>
    <row r="2732" spans="1:5" x14ac:dyDescent="0.45">
      <c r="A2732" s="2">
        <v>44566</v>
      </c>
      <c r="B2732" s="3">
        <v>60223.15</v>
      </c>
      <c r="C2732" s="3">
        <v>208.4</v>
      </c>
      <c r="D2732" s="3">
        <f t="shared" si="86"/>
        <v>6.1163217571125863E-3</v>
      </c>
      <c r="E2732" s="3">
        <f t="shared" si="87"/>
        <v>-1.0026343243224245E-2</v>
      </c>
    </row>
    <row r="2733" spans="1:5" x14ac:dyDescent="0.45">
      <c r="A2733" s="2">
        <v>44567</v>
      </c>
      <c r="B2733" s="3">
        <v>59601.84</v>
      </c>
      <c r="C2733" s="3">
        <v>206</v>
      </c>
      <c r="D2733" s="3">
        <f t="shared" si="86"/>
        <v>-1.0370383810835968E-2</v>
      </c>
      <c r="E2733" s="3">
        <f t="shared" si="87"/>
        <v>-1.1583141089630759E-2</v>
      </c>
    </row>
    <row r="2734" spans="1:5" x14ac:dyDescent="0.45">
      <c r="A2734" s="2">
        <v>44568</v>
      </c>
      <c r="B2734" s="3">
        <v>59744.65</v>
      </c>
      <c r="C2734" s="3">
        <v>205.05</v>
      </c>
      <c r="D2734" s="3">
        <f t="shared" si="86"/>
        <v>2.3932009757633012E-3</v>
      </c>
      <c r="E2734" s="3">
        <f t="shared" si="87"/>
        <v>-4.6223169515128082E-3</v>
      </c>
    </row>
    <row r="2735" spans="1:5" x14ac:dyDescent="0.45">
      <c r="A2735" s="2">
        <v>44571</v>
      </c>
      <c r="B2735" s="3">
        <v>60395.63</v>
      </c>
      <c r="C2735" s="3">
        <v>204</v>
      </c>
      <c r="D2735" s="3">
        <f t="shared" si="86"/>
        <v>1.0837104276188917E-2</v>
      </c>
      <c r="E2735" s="3">
        <f t="shared" si="87"/>
        <v>-5.1338579938519334E-3</v>
      </c>
    </row>
    <row r="2736" spans="1:5" x14ac:dyDescent="0.45">
      <c r="A2736" s="2">
        <v>44572</v>
      </c>
      <c r="B2736" s="3">
        <v>60616.89</v>
      </c>
      <c r="C2736" s="3">
        <v>203.9</v>
      </c>
      <c r="D2736" s="3">
        <f t="shared" si="86"/>
        <v>3.6568157834066563E-3</v>
      </c>
      <c r="E2736" s="3">
        <f t="shared" si="87"/>
        <v>-4.9031626380689687E-4</v>
      </c>
    </row>
    <row r="2737" spans="1:5" x14ac:dyDescent="0.45">
      <c r="A2737" s="2">
        <v>44573</v>
      </c>
      <c r="B2737" s="3">
        <v>61150.04</v>
      </c>
      <c r="C2737" s="3">
        <v>204.85</v>
      </c>
      <c r="D2737" s="3">
        <f t="shared" si="86"/>
        <v>8.7569491488189259E-3</v>
      </c>
      <c r="E2737" s="3">
        <f t="shared" si="87"/>
        <v>4.6483264124704627E-3</v>
      </c>
    </row>
    <row r="2738" spans="1:5" x14ac:dyDescent="0.45">
      <c r="A2738" s="2">
        <v>44574</v>
      </c>
      <c r="B2738" s="3">
        <v>61235.3</v>
      </c>
      <c r="C2738" s="3">
        <v>207.9</v>
      </c>
      <c r="D2738" s="3">
        <f t="shared" si="86"/>
        <v>1.3933043580695533E-3</v>
      </c>
      <c r="E2738" s="3">
        <f t="shared" si="87"/>
        <v>1.4779190871087105E-2</v>
      </c>
    </row>
    <row r="2739" spans="1:5" x14ac:dyDescent="0.45">
      <c r="A2739" s="2">
        <v>44575</v>
      </c>
      <c r="B2739" s="3">
        <v>61223.03</v>
      </c>
      <c r="C2739" s="3">
        <v>207.8</v>
      </c>
      <c r="D2739" s="3">
        <f t="shared" si="86"/>
        <v>-2.0039469819760583E-4</v>
      </c>
      <c r="E2739" s="3">
        <f t="shared" si="87"/>
        <v>-4.8111619884015546E-4</v>
      </c>
    </row>
    <row r="2740" spans="1:5" x14ac:dyDescent="0.45">
      <c r="A2740" s="2">
        <v>44578</v>
      </c>
      <c r="B2740" s="3">
        <v>61308.91</v>
      </c>
      <c r="C2740" s="3">
        <v>206.2</v>
      </c>
      <c r="D2740" s="3">
        <f t="shared" si="86"/>
        <v>1.4017571918359412E-3</v>
      </c>
      <c r="E2740" s="3">
        <f t="shared" si="87"/>
        <v>-7.7295070822675513E-3</v>
      </c>
    </row>
    <row r="2741" spans="1:5" x14ac:dyDescent="0.45">
      <c r="A2741" s="2">
        <v>44579</v>
      </c>
      <c r="B2741" s="3">
        <v>60754.86</v>
      </c>
      <c r="C2741" s="3">
        <v>205.1</v>
      </c>
      <c r="D2741" s="3">
        <f t="shared" si="86"/>
        <v>-9.0781040930373747E-3</v>
      </c>
      <c r="E2741" s="3">
        <f t="shared" si="87"/>
        <v>-5.3489065045245424E-3</v>
      </c>
    </row>
    <row r="2742" spans="1:5" x14ac:dyDescent="0.45">
      <c r="A2742" s="2">
        <v>44580</v>
      </c>
      <c r="B2742" s="3">
        <v>60098.82</v>
      </c>
      <c r="C2742" s="3">
        <v>204.65</v>
      </c>
      <c r="D2742" s="3">
        <f t="shared" si="86"/>
        <v>-1.0856871615842667E-2</v>
      </c>
      <c r="E2742" s="3">
        <f t="shared" si="87"/>
        <v>-2.1964621399228079E-3</v>
      </c>
    </row>
    <row r="2743" spans="1:5" x14ac:dyDescent="0.45">
      <c r="A2743" s="2">
        <v>44581</v>
      </c>
      <c r="B2743" s="3">
        <v>59464.62</v>
      </c>
      <c r="C2743" s="3">
        <v>214.6</v>
      </c>
      <c r="D2743" s="3">
        <f t="shared" si="86"/>
        <v>-1.060869355982515E-2</v>
      </c>
      <c r="E2743" s="3">
        <f t="shared" si="87"/>
        <v>4.7474627258186089E-2</v>
      </c>
    </row>
    <row r="2744" spans="1:5" x14ac:dyDescent="0.45">
      <c r="A2744" s="2">
        <v>44582</v>
      </c>
      <c r="B2744" s="3">
        <v>59037.18</v>
      </c>
      <c r="C2744" s="3">
        <v>214.95</v>
      </c>
      <c r="D2744" s="3">
        <f t="shared" si="86"/>
        <v>-7.2140989213329574E-3</v>
      </c>
      <c r="E2744" s="3">
        <f t="shared" si="87"/>
        <v>1.6296127456924918E-3</v>
      </c>
    </row>
    <row r="2745" spans="1:5" x14ac:dyDescent="0.45">
      <c r="A2745" s="2">
        <v>44585</v>
      </c>
      <c r="B2745" s="3">
        <v>57491.51</v>
      </c>
      <c r="C2745" s="3">
        <v>213.9</v>
      </c>
      <c r="D2745" s="3">
        <f t="shared" si="86"/>
        <v>-2.6530130196091344E-2</v>
      </c>
      <c r="E2745" s="3">
        <f t="shared" si="87"/>
        <v>-4.8968268539305564E-3</v>
      </c>
    </row>
    <row r="2746" spans="1:5" x14ac:dyDescent="0.45">
      <c r="A2746" s="2">
        <v>44586</v>
      </c>
      <c r="B2746" s="3">
        <v>57858.15</v>
      </c>
      <c r="C2746" s="3">
        <v>218.75</v>
      </c>
      <c r="D2746" s="3">
        <f t="shared" si="86"/>
        <v>6.3570405793896001E-3</v>
      </c>
      <c r="E2746" s="3">
        <f t="shared" si="87"/>
        <v>2.242090914936376E-2</v>
      </c>
    </row>
    <row r="2747" spans="1:5" x14ac:dyDescent="0.45">
      <c r="A2747" s="2">
        <v>44588</v>
      </c>
      <c r="B2747" s="3">
        <v>57276.94</v>
      </c>
      <c r="C2747" s="3">
        <v>214.75</v>
      </c>
      <c r="D2747" s="3">
        <f t="shared" si="86"/>
        <v>-1.0096225869439965E-2</v>
      </c>
      <c r="E2747" s="3">
        <f t="shared" si="87"/>
        <v>-1.8454964373359011E-2</v>
      </c>
    </row>
    <row r="2748" spans="1:5" x14ac:dyDescent="0.45">
      <c r="A2748" s="2">
        <v>44589</v>
      </c>
      <c r="B2748" s="3">
        <v>57200.23</v>
      </c>
      <c r="C2748" s="3">
        <v>210.15</v>
      </c>
      <c r="D2748" s="3">
        <f t="shared" si="86"/>
        <v>-1.3401800809971116E-3</v>
      </c>
      <c r="E2748" s="3">
        <f t="shared" si="87"/>
        <v>-2.1652999413238987E-2</v>
      </c>
    </row>
    <row r="2749" spans="1:5" x14ac:dyDescent="0.45">
      <c r="A2749" s="2">
        <v>44592</v>
      </c>
      <c r="B2749" s="3">
        <v>58014.17</v>
      </c>
      <c r="C2749" s="3">
        <v>215.4</v>
      </c>
      <c r="D2749" s="3">
        <f t="shared" si="86"/>
        <v>1.4129371695645375E-2</v>
      </c>
      <c r="E2749" s="3">
        <f t="shared" si="87"/>
        <v>2.467520327116253E-2</v>
      </c>
    </row>
    <row r="2750" spans="1:5" x14ac:dyDescent="0.45">
      <c r="A2750" s="2">
        <v>44593</v>
      </c>
      <c r="B2750" s="3">
        <v>58862.57</v>
      </c>
      <c r="C2750" s="3">
        <v>212.85</v>
      </c>
      <c r="D2750" s="3">
        <f t="shared" si="86"/>
        <v>1.4518113728778278E-2</v>
      </c>
      <c r="E2750" s="3">
        <f t="shared" si="87"/>
        <v>-1.1909072448126877E-2</v>
      </c>
    </row>
    <row r="2751" spans="1:5" x14ac:dyDescent="0.45">
      <c r="A2751" s="2">
        <v>44594</v>
      </c>
      <c r="B2751" s="3">
        <v>59558.33</v>
      </c>
      <c r="C2751" s="3">
        <v>214</v>
      </c>
      <c r="D2751" s="3">
        <f t="shared" si="86"/>
        <v>1.1750763689279601E-2</v>
      </c>
      <c r="E2751" s="3">
        <f t="shared" si="87"/>
        <v>5.3883227476900887E-3</v>
      </c>
    </row>
    <row r="2752" spans="1:5" x14ac:dyDescent="0.45">
      <c r="A2752" s="2">
        <v>44595</v>
      </c>
      <c r="B2752" s="3">
        <v>58788.02</v>
      </c>
      <c r="C2752" s="3">
        <v>211.35</v>
      </c>
      <c r="D2752" s="3">
        <f t="shared" si="86"/>
        <v>-1.3018075820528234E-2</v>
      </c>
      <c r="E2752" s="3">
        <f t="shared" si="87"/>
        <v>-1.2460488009052549E-2</v>
      </c>
    </row>
    <row r="2753" spans="1:5" x14ac:dyDescent="0.45">
      <c r="A2753" s="2">
        <v>44596</v>
      </c>
      <c r="B2753" s="3">
        <v>58644.82</v>
      </c>
      <c r="C2753" s="3">
        <v>209.7</v>
      </c>
      <c r="D2753" s="3">
        <f t="shared" si="86"/>
        <v>-2.4388419964783315E-3</v>
      </c>
      <c r="E2753" s="3">
        <f t="shared" si="87"/>
        <v>-7.8375891049246634E-3</v>
      </c>
    </row>
    <row r="2754" spans="1:5" x14ac:dyDescent="0.45">
      <c r="A2754" s="2">
        <v>44599</v>
      </c>
      <c r="B2754" s="3">
        <v>57621.19</v>
      </c>
      <c r="C2754" s="3">
        <v>213.65</v>
      </c>
      <c r="D2754" s="3">
        <f t="shared" si="86"/>
        <v>-1.7608868659066919E-2</v>
      </c>
      <c r="E2754" s="3">
        <f t="shared" si="87"/>
        <v>1.8661224182159764E-2</v>
      </c>
    </row>
    <row r="2755" spans="1:5" x14ac:dyDescent="0.45">
      <c r="A2755" s="2">
        <v>44600</v>
      </c>
      <c r="B2755" s="3">
        <v>57808.58</v>
      </c>
      <c r="C2755" s="3">
        <v>210.1</v>
      </c>
      <c r="D2755" s="3">
        <f t="shared" si="86"/>
        <v>3.2468255740290912E-3</v>
      </c>
      <c r="E2755" s="3">
        <f t="shared" si="87"/>
        <v>-1.6755554239079276E-2</v>
      </c>
    </row>
    <row r="2756" spans="1:5" x14ac:dyDescent="0.45">
      <c r="A2756" s="2">
        <v>44601</v>
      </c>
      <c r="B2756" s="3">
        <v>58465.97</v>
      </c>
      <c r="C2756" s="3">
        <v>209.3</v>
      </c>
      <c r="D2756" s="3">
        <f t="shared" si="86"/>
        <v>1.130766800919657E-2</v>
      </c>
      <c r="E2756" s="3">
        <f t="shared" si="87"/>
        <v>-3.8149783990005571E-3</v>
      </c>
    </row>
    <row r="2757" spans="1:5" x14ac:dyDescent="0.45">
      <c r="A2757" s="2">
        <v>44602</v>
      </c>
      <c r="B2757" s="3">
        <v>58926.03</v>
      </c>
      <c r="C2757" s="3">
        <v>211.95</v>
      </c>
      <c r="D2757" s="3">
        <f t="shared" si="86"/>
        <v>7.8380529391427374E-3</v>
      </c>
      <c r="E2757" s="3">
        <f t="shared" si="87"/>
        <v>1.2581768346691941E-2</v>
      </c>
    </row>
    <row r="2758" spans="1:5" x14ac:dyDescent="0.45">
      <c r="A2758" s="2">
        <v>44603</v>
      </c>
      <c r="B2758" s="3">
        <v>58152.92</v>
      </c>
      <c r="C2758" s="3">
        <v>207.75</v>
      </c>
      <c r="D2758" s="3">
        <f t="shared" ref="D2758:D2821" si="88">LN(B2758/B2757)</f>
        <v>-1.320683585143612E-2</v>
      </c>
      <c r="E2758" s="3">
        <f t="shared" ref="E2758:E2821" si="89">LN(C2758/C2757)</f>
        <v>-2.0014964063088524E-2</v>
      </c>
    </row>
    <row r="2759" spans="1:5" x14ac:dyDescent="0.45">
      <c r="A2759" s="2">
        <v>44606</v>
      </c>
      <c r="B2759" s="3">
        <v>56405.84</v>
      </c>
      <c r="C2759" s="3">
        <v>201.9</v>
      </c>
      <c r="D2759" s="3">
        <f t="shared" si="88"/>
        <v>-3.0503393422474722E-2</v>
      </c>
      <c r="E2759" s="3">
        <f t="shared" si="89"/>
        <v>-2.8562908416765714E-2</v>
      </c>
    </row>
    <row r="2760" spans="1:5" x14ac:dyDescent="0.45">
      <c r="A2760" s="2">
        <v>44607</v>
      </c>
      <c r="B2760" s="3">
        <v>58142.05</v>
      </c>
      <c r="C2760" s="3">
        <v>203.4</v>
      </c>
      <c r="D2760" s="3">
        <f t="shared" si="88"/>
        <v>3.0316454984266248E-2</v>
      </c>
      <c r="E2760" s="3">
        <f t="shared" si="89"/>
        <v>7.4019582956677387E-3</v>
      </c>
    </row>
    <row r="2761" spans="1:5" x14ac:dyDescent="0.45">
      <c r="A2761" s="2">
        <v>44608</v>
      </c>
      <c r="B2761" s="3">
        <v>57996.68</v>
      </c>
      <c r="C2761" s="3">
        <v>196.25</v>
      </c>
      <c r="D2761" s="3">
        <f t="shared" si="88"/>
        <v>-2.5033866982841838E-3</v>
      </c>
      <c r="E2761" s="3">
        <f t="shared" si="89"/>
        <v>-3.5785126951941824E-2</v>
      </c>
    </row>
    <row r="2762" spans="1:5" x14ac:dyDescent="0.45">
      <c r="A2762" s="2">
        <v>44609</v>
      </c>
      <c r="B2762" s="3">
        <v>57892.01</v>
      </c>
      <c r="C2762" s="3">
        <v>197.1</v>
      </c>
      <c r="D2762" s="3">
        <f t="shared" si="88"/>
        <v>-1.806389017977039E-3</v>
      </c>
      <c r="E2762" s="3">
        <f t="shared" si="89"/>
        <v>4.3218574961567495E-3</v>
      </c>
    </row>
    <row r="2763" spans="1:5" x14ac:dyDescent="0.45">
      <c r="A2763" s="2">
        <v>44610</v>
      </c>
      <c r="B2763" s="3">
        <v>57832.97</v>
      </c>
      <c r="C2763" s="3">
        <v>195.8</v>
      </c>
      <c r="D2763" s="3">
        <f t="shared" si="88"/>
        <v>-1.0203502324612063E-3</v>
      </c>
      <c r="E2763" s="3">
        <f t="shared" si="89"/>
        <v>-6.6174840622644556E-3</v>
      </c>
    </row>
    <row r="2764" spans="1:5" x14ac:dyDescent="0.45">
      <c r="A2764" s="2">
        <v>44613</v>
      </c>
      <c r="B2764" s="3">
        <v>57683.59</v>
      </c>
      <c r="C2764" s="3">
        <v>198.1</v>
      </c>
      <c r="D2764" s="3">
        <f t="shared" si="88"/>
        <v>-2.5862972939303831E-3</v>
      </c>
      <c r="E2764" s="3">
        <f t="shared" si="89"/>
        <v>1.1678223608095117E-2</v>
      </c>
    </row>
    <row r="2765" spans="1:5" x14ac:dyDescent="0.45">
      <c r="A2765" s="2">
        <v>44614</v>
      </c>
      <c r="B2765" s="3">
        <v>57300.68</v>
      </c>
      <c r="C2765" s="3">
        <v>198.1</v>
      </c>
      <c r="D2765" s="3">
        <f t="shared" si="88"/>
        <v>-6.6602399693659019E-3</v>
      </c>
      <c r="E2765" s="3">
        <f t="shared" si="89"/>
        <v>0</v>
      </c>
    </row>
    <row r="2766" spans="1:5" x14ac:dyDescent="0.45">
      <c r="A2766" s="2">
        <v>44615</v>
      </c>
      <c r="B2766" s="3">
        <v>57232.06</v>
      </c>
      <c r="C2766" s="3">
        <v>198.1</v>
      </c>
      <c r="D2766" s="3">
        <f t="shared" si="88"/>
        <v>-1.1982601343606138E-3</v>
      </c>
      <c r="E2766" s="3">
        <f t="shared" si="89"/>
        <v>0</v>
      </c>
    </row>
    <row r="2767" spans="1:5" x14ac:dyDescent="0.45">
      <c r="A2767" s="2">
        <v>44616</v>
      </c>
      <c r="B2767" s="3">
        <v>54529.91</v>
      </c>
      <c r="C2767" s="3">
        <v>190.9</v>
      </c>
      <c r="D2767" s="3">
        <f t="shared" si="88"/>
        <v>-4.8364872411687895E-2</v>
      </c>
      <c r="E2767" s="3">
        <f t="shared" si="89"/>
        <v>-3.702222297280322E-2</v>
      </c>
    </row>
    <row r="2768" spans="1:5" x14ac:dyDescent="0.45">
      <c r="A2768" s="2">
        <v>44617</v>
      </c>
      <c r="B2768" s="3">
        <v>55858.52</v>
      </c>
      <c r="C2768" s="3">
        <v>197.3</v>
      </c>
      <c r="D2768" s="3">
        <f t="shared" si="88"/>
        <v>2.4072706888611545E-2</v>
      </c>
      <c r="E2768" s="3">
        <f t="shared" si="89"/>
        <v>3.2975682296867731E-2</v>
      </c>
    </row>
    <row r="2769" spans="1:5" x14ac:dyDescent="0.45">
      <c r="A2769" s="2">
        <v>44620</v>
      </c>
      <c r="B2769" s="3">
        <v>56247.28</v>
      </c>
      <c r="C2769" s="3">
        <v>209.2</v>
      </c>
      <c r="D2769" s="3">
        <f t="shared" si="88"/>
        <v>6.9356190022191525E-3</v>
      </c>
      <c r="E2769" s="3">
        <f t="shared" si="89"/>
        <v>5.8565319162198093E-2</v>
      </c>
    </row>
    <row r="2770" spans="1:5" x14ac:dyDescent="0.45">
      <c r="A2770" s="2">
        <v>44622</v>
      </c>
      <c r="B2770" s="3">
        <v>55468.9</v>
      </c>
      <c r="C2770" s="3">
        <v>210.85</v>
      </c>
      <c r="D2770" s="3">
        <f t="shared" si="88"/>
        <v>-1.3935181028321031E-2</v>
      </c>
      <c r="E2770" s="3">
        <f t="shared" si="89"/>
        <v>7.8562480018009619E-3</v>
      </c>
    </row>
    <row r="2771" spans="1:5" x14ac:dyDescent="0.45">
      <c r="A2771" s="2">
        <v>44623</v>
      </c>
      <c r="B2771" s="3">
        <v>55102.68</v>
      </c>
      <c r="C2771" s="3">
        <v>217.9</v>
      </c>
      <c r="D2771" s="3">
        <f t="shared" si="88"/>
        <v>-6.6241495169710148E-3</v>
      </c>
      <c r="E2771" s="3">
        <f t="shared" si="89"/>
        <v>3.2889261758005481E-2</v>
      </c>
    </row>
    <row r="2772" spans="1:5" x14ac:dyDescent="0.45">
      <c r="A2772" s="2">
        <v>44624</v>
      </c>
      <c r="B2772" s="3">
        <v>54333.81</v>
      </c>
      <c r="C2772" s="3">
        <v>214.95</v>
      </c>
      <c r="D2772" s="3">
        <f t="shared" si="88"/>
        <v>-1.405166870820943E-2</v>
      </c>
      <c r="E2772" s="3">
        <f t="shared" si="89"/>
        <v>-1.3630799008283744E-2</v>
      </c>
    </row>
    <row r="2773" spans="1:5" x14ac:dyDescent="0.45">
      <c r="A2773" s="2">
        <v>44627</v>
      </c>
      <c r="B2773" s="3">
        <v>52842.75</v>
      </c>
      <c r="C2773" s="3">
        <v>213.1</v>
      </c>
      <c r="D2773" s="3">
        <f t="shared" si="88"/>
        <v>-2.7826162900285736E-2</v>
      </c>
      <c r="E2773" s="3">
        <f t="shared" si="89"/>
        <v>-8.6439038377191003E-3</v>
      </c>
    </row>
    <row r="2774" spans="1:5" x14ac:dyDescent="0.45">
      <c r="A2774" s="2">
        <v>44628</v>
      </c>
      <c r="B2774" s="3">
        <v>53424.09</v>
      </c>
      <c r="C2774" s="3">
        <v>212.05</v>
      </c>
      <c r="D2774" s="3">
        <f t="shared" si="88"/>
        <v>1.0941245629979045E-2</v>
      </c>
      <c r="E2774" s="3">
        <f t="shared" si="89"/>
        <v>-4.939443183971607E-3</v>
      </c>
    </row>
    <row r="2775" spans="1:5" x14ac:dyDescent="0.45">
      <c r="A2775" s="2">
        <v>44629</v>
      </c>
      <c r="B2775" s="3">
        <v>54647.33</v>
      </c>
      <c r="C2775" s="3">
        <v>208.05</v>
      </c>
      <c r="D2775" s="3">
        <f t="shared" si="88"/>
        <v>2.2638589234392728E-2</v>
      </c>
      <c r="E2775" s="3">
        <f t="shared" si="89"/>
        <v>-1.9043660491649472E-2</v>
      </c>
    </row>
    <row r="2776" spans="1:5" x14ac:dyDescent="0.45">
      <c r="A2776" s="2">
        <v>44630</v>
      </c>
      <c r="B2776" s="3">
        <v>55464.39</v>
      </c>
      <c r="C2776" s="3">
        <v>208.9</v>
      </c>
      <c r="D2776" s="3">
        <f t="shared" si="88"/>
        <v>1.4840836133133917E-2</v>
      </c>
      <c r="E2776" s="3">
        <f t="shared" si="89"/>
        <v>4.07723313356987E-3</v>
      </c>
    </row>
    <row r="2777" spans="1:5" x14ac:dyDescent="0.45">
      <c r="A2777" s="2">
        <v>44631</v>
      </c>
      <c r="B2777" s="3">
        <v>55550.3</v>
      </c>
      <c r="C2777" s="3">
        <v>212.45</v>
      </c>
      <c r="D2777" s="3">
        <f t="shared" si="88"/>
        <v>1.5477234075852921E-3</v>
      </c>
      <c r="E2777" s="3">
        <f t="shared" si="89"/>
        <v>1.6850997998300442E-2</v>
      </c>
    </row>
    <row r="2778" spans="1:5" x14ac:dyDescent="0.45">
      <c r="A2778" s="2">
        <v>44634</v>
      </c>
      <c r="B2778" s="3">
        <v>56486.02</v>
      </c>
      <c r="C2778" s="3">
        <v>213.35</v>
      </c>
      <c r="D2778" s="3">
        <f t="shared" si="88"/>
        <v>1.6704257296215753E-2</v>
      </c>
      <c r="E2778" s="3">
        <f t="shared" si="89"/>
        <v>4.2273430731884533E-3</v>
      </c>
    </row>
    <row r="2779" spans="1:5" x14ac:dyDescent="0.45">
      <c r="A2779" s="2">
        <v>44635</v>
      </c>
      <c r="B2779" s="3">
        <v>55776.85</v>
      </c>
      <c r="C2779" s="3">
        <v>209.45</v>
      </c>
      <c r="D2779" s="3">
        <f t="shared" si="88"/>
        <v>-1.2634265156289163E-2</v>
      </c>
      <c r="E2779" s="3">
        <f t="shared" si="89"/>
        <v>-1.844896224096514E-2</v>
      </c>
    </row>
    <row r="2780" spans="1:5" x14ac:dyDescent="0.45">
      <c r="A2780" s="2">
        <v>44636</v>
      </c>
      <c r="B2780" s="3">
        <v>56816.65</v>
      </c>
      <c r="C2780" s="3">
        <v>209.3</v>
      </c>
      <c r="D2780" s="3">
        <f t="shared" si="88"/>
        <v>1.8470507823567E-2</v>
      </c>
      <c r="E2780" s="3">
        <f t="shared" si="89"/>
        <v>-7.1641794108971289E-4</v>
      </c>
    </row>
    <row r="2781" spans="1:5" x14ac:dyDescent="0.45">
      <c r="A2781" s="2">
        <v>44637</v>
      </c>
      <c r="B2781" s="3">
        <v>57863.93</v>
      </c>
      <c r="C2781" s="3">
        <v>211.5</v>
      </c>
      <c r="D2781" s="3">
        <f t="shared" si="88"/>
        <v>1.8264803238476818E-2</v>
      </c>
      <c r="E2781" s="3">
        <f t="shared" si="89"/>
        <v>1.0456369034378479E-2</v>
      </c>
    </row>
    <row r="2782" spans="1:5" x14ac:dyDescent="0.45">
      <c r="A2782" s="2">
        <v>44641</v>
      </c>
      <c r="B2782" s="3">
        <v>57292.49</v>
      </c>
      <c r="C2782" s="3">
        <v>204.9</v>
      </c>
      <c r="D2782" s="3">
        <f t="shared" si="88"/>
        <v>-9.9246692545240968E-3</v>
      </c>
      <c r="E2782" s="3">
        <f t="shared" si="89"/>
        <v>-3.1702943241478522E-2</v>
      </c>
    </row>
    <row r="2783" spans="1:5" x14ac:dyDescent="0.45">
      <c r="A2783" s="2">
        <v>44642</v>
      </c>
      <c r="B2783" s="3">
        <v>57989.3</v>
      </c>
      <c r="C2783" s="3">
        <v>208.7</v>
      </c>
      <c r="D2783" s="3">
        <f t="shared" si="88"/>
        <v>1.2088960210204971E-2</v>
      </c>
      <c r="E2783" s="3">
        <f t="shared" si="89"/>
        <v>1.8375758838300831E-2</v>
      </c>
    </row>
    <row r="2784" spans="1:5" x14ac:dyDescent="0.45">
      <c r="A2784" s="2">
        <v>44643</v>
      </c>
      <c r="B2784" s="3">
        <v>57684.82</v>
      </c>
      <c r="C2784" s="3">
        <v>210.1</v>
      </c>
      <c r="D2784" s="3">
        <f t="shared" si="88"/>
        <v>-5.2644567896269574E-3</v>
      </c>
      <c r="E2784" s="3">
        <f t="shared" si="89"/>
        <v>6.6857937677997619E-3</v>
      </c>
    </row>
    <row r="2785" spans="1:5" x14ac:dyDescent="0.45">
      <c r="A2785" s="2">
        <v>44644</v>
      </c>
      <c r="B2785" s="3">
        <v>57595.68</v>
      </c>
      <c r="C2785" s="3">
        <v>210.75</v>
      </c>
      <c r="D2785" s="3">
        <f t="shared" si="88"/>
        <v>-1.5464890899295123E-3</v>
      </c>
      <c r="E2785" s="3">
        <f t="shared" si="89"/>
        <v>3.0889890310101054E-3</v>
      </c>
    </row>
    <row r="2786" spans="1:5" x14ac:dyDescent="0.45">
      <c r="A2786" s="2">
        <v>44645</v>
      </c>
      <c r="B2786" s="3">
        <v>57362.2</v>
      </c>
      <c r="C2786" s="3">
        <v>209.6</v>
      </c>
      <c r="D2786" s="3">
        <f t="shared" si="88"/>
        <v>-4.06201507951024E-3</v>
      </c>
      <c r="E2786" s="3">
        <f t="shared" si="89"/>
        <v>-5.4716444350777667E-3</v>
      </c>
    </row>
    <row r="2787" spans="1:5" x14ac:dyDescent="0.45">
      <c r="A2787" s="2">
        <v>44648</v>
      </c>
      <c r="B2787" s="3">
        <v>57593.49</v>
      </c>
      <c r="C2787" s="3">
        <v>212.25</v>
      </c>
      <c r="D2787" s="3">
        <f t="shared" si="88"/>
        <v>4.0239906714817164E-3</v>
      </c>
      <c r="E2787" s="3">
        <f t="shared" si="89"/>
        <v>1.2563872744569589E-2</v>
      </c>
    </row>
    <row r="2788" spans="1:5" x14ac:dyDescent="0.45">
      <c r="A2788" s="2">
        <v>44649</v>
      </c>
      <c r="B2788" s="3">
        <v>57943.65</v>
      </c>
      <c r="C2788" s="3">
        <v>211.2</v>
      </c>
      <c r="D2788" s="3">
        <f t="shared" si="88"/>
        <v>6.0614460788189529E-3</v>
      </c>
      <c r="E2788" s="3">
        <f t="shared" si="89"/>
        <v>-4.9592733593503465E-3</v>
      </c>
    </row>
    <row r="2789" spans="1:5" x14ac:dyDescent="0.45">
      <c r="A2789" s="2">
        <v>44650</v>
      </c>
      <c r="B2789" s="3">
        <v>58683.99</v>
      </c>
      <c r="C2789" s="3">
        <v>216.45</v>
      </c>
      <c r="D2789" s="3">
        <f t="shared" si="88"/>
        <v>1.269596031318875E-2</v>
      </c>
      <c r="E2789" s="3">
        <f t="shared" si="89"/>
        <v>2.4554022055883203E-2</v>
      </c>
    </row>
    <row r="2790" spans="1:5" x14ac:dyDescent="0.45">
      <c r="A2790" s="2">
        <v>44651</v>
      </c>
      <c r="B2790" s="3">
        <v>58568.51</v>
      </c>
      <c r="C2790" s="3">
        <v>216.85</v>
      </c>
      <c r="D2790" s="3">
        <f t="shared" si="88"/>
        <v>-1.9697667399559897E-3</v>
      </c>
      <c r="E2790" s="3">
        <f t="shared" si="89"/>
        <v>1.8462963933856479E-3</v>
      </c>
    </row>
    <row r="2791" spans="1:5" x14ac:dyDescent="0.45">
      <c r="A2791" s="2">
        <v>44652</v>
      </c>
      <c r="B2791" s="3">
        <v>59276.69</v>
      </c>
      <c r="C2791" s="3">
        <v>224.95</v>
      </c>
      <c r="D2791" s="3">
        <f t="shared" si="88"/>
        <v>1.2018962588523793E-2</v>
      </c>
      <c r="E2791" s="3">
        <f t="shared" si="89"/>
        <v>3.6672285005806028E-2</v>
      </c>
    </row>
    <row r="2792" spans="1:5" x14ac:dyDescent="0.45">
      <c r="A2792" s="2">
        <v>44655</v>
      </c>
      <c r="B2792" s="3">
        <v>60611.74</v>
      </c>
      <c r="C2792" s="3">
        <v>227.4</v>
      </c>
      <c r="D2792" s="3">
        <f t="shared" si="88"/>
        <v>2.2272460963342205E-2</v>
      </c>
      <c r="E2792" s="3">
        <f t="shared" si="89"/>
        <v>1.0832426029254364E-2</v>
      </c>
    </row>
    <row r="2793" spans="1:5" x14ac:dyDescent="0.45">
      <c r="A2793" s="2">
        <v>44656</v>
      </c>
      <c r="B2793" s="3">
        <v>60176.5</v>
      </c>
      <c r="C2793" s="3">
        <v>233.05</v>
      </c>
      <c r="D2793" s="3">
        <f t="shared" si="88"/>
        <v>-7.2066930312501302E-3</v>
      </c>
      <c r="E2793" s="3">
        <f t="shared" si="89"/>
        <v>2.4542441502314223E-2</v>
      </c>
    </row>
    <row r="2794" spans="1:5" x14ac:dyDescent="0.45">
      <c r="A2794" s="2">
        <v>44657</v>
      </c>
      <c r="B2794" s="3">
        <v>59610.41</v>
      </c>
      <c r="C2794" s="3">
        <v>236.6</v>
      </c>
      <c r="D2794" s="3">
        <f t="shared" si="88"/>
        <v>-9.4516874050654068E-3</v>
      </c>
      <c r="E2794" s="3">
        <f t="shared" si="89"/>
        <v>1.5117928725536319E-2</v>
      </c>
    </row>
    <row r="2795" spans="1:5" x14ac:dyDescent="0.45">
      <c r="A2795" s="2">
        <v>44658</v>
      </c>
      <c r="B2795" s="3">
        <v>59034.95</v>
      </c>
      <c r="C2795" s="3">
        <v>231.4</v>
      </c>
      <c r="D2795" s="3">
        <f t="shared" si="88"/>
        <v>-9.7005818452605141E-3</v>
      </c>
      <c r="E2795" s="3">
        <f t="shared" si="89"/>
        <v>-2.2223136784710124E-2</v>
      </c>
    </row>
    <row r="2796" spans="1:5" x14ac:dyDescent="0.45">
      <c r="A2796" s="2">
        <v>44659</v>
      </c>
      <c r="B2796" s="3">
        <v>59447.18</v>
      </c>
      <c r="C2796" s="3">
        <v>232.6</v>
      </c>
      <c r="D2796" s="3">
        <f t="shared" si="88"/>
        <v>6.9585457890301381E-3</v>
      </c>
      <c r="E2796" s="3">
        <f t="shared" si="89"/>
        <v>5.1724253249876935E-3</v>
      </c>
    </row>
    <row r="2797" spans="1:5" x14ac:dyDescent="0.45">
      <c r="A2797" s="2">
        <v>44662</v>
      </c>
      <c r="B2797" s="3">
        <v>58964.57</v>
      </c>
      <c r="C2797" s="3">
        <v>230.9</v>
      </c>
      <c r="D2797" s="3">
        <f t="shared" si="88"/>
        <v>-8.1514321388349888E-3</v>
      </c>
      <c r="E2797" s="3">
        <f t="shared" si="89"/>
        <v>-7.3355237241143284E-3</v>
      </c>
    </row>
    <row r="2798" spans="1:5" x14ac:dyDescent="0.45">
      <c r="A2798" s="2">
        <v>44663</v>
      </c>
      <c r="B2798" s="3">
        <v>58576.37</v>
      </c>
      <c r="C2798" s="3">
        <v>233.1</v>
      </c>
      <c r="D2798" s="3">
        <f t="shared" si="88"/>
        <v>-6.6053821156131899E-3</v>
      </c>
      <c r="E2798" s="3">
        <f t="shared" si="89"/>
        <v>9.4828296812618229E-3</v>
      </c>
    </row>
    <row r="2799" spans="1:5" x14ac:dyDescent="0.45">
      <c r="A2799" s="2">
        <v>44664</v>
      </c>
      <c r="B2799" s="3">
        <v>58338.93</v>
      </c>
      <c r="C2799" s="3">
        <v>229.45</v>
      </c>
      <c r="D2799" s="3">
        <f t="shared" si="88"/>
        <v>-4.0617494277745674E-3</v>
      </c>
      <c r="E2799" s="3">
        <f t="shared" si="89"/>
        <v>-1.5782405200869008E-2</v>
      </c>
    </row>
    <row r="2800" spans="1:5" x14ac:dyDescent="0.45">
      <c r="A2800" s="2">
        <v>44669</v>
      </c>
      <c r="B2800" s="3">
        <v>57166.74</v>
      </c>
      <c r="C2800" s="3">
        <v>231.05</v>
      </c>
      <c r="D2800" s="3">
        <f t="shared" si="88"/>
        <v>-2.0297362774429742E-2</v>
      </c>
      <c r="E2800" s="3">
        <f t="shared" si="89"/>
        <v>6.9489964754328821E-3</v>
      </c>
    </row>
    <row r="2801" spans="1:5" x14ac:dyDescent="0.45">
      <c r="A2801" s="2">
        <v>44670</v>
      </c>
      <c r="B2801" s="3">
        <v>56463.15</v>
      </c>
      <c r="C2801" s="3">
        <v>228</v>
      </c>
      <c r="D2801" s="3">
        <f t="shared" si="88"/>
        <v>-1.2384047755906435E-2</v>
      </c>
      <c r="E2801" s="3">
        <f t="shared" si="89"/>
        <v>-1.3288508361834723E-2</v>
      </c>
    </row>
    <row r="2802" spans="1:5" x14ac:dyDescent="0.45">
      <c r="A2802" s="2">
        <v>44671</v>
      </c>
      <c r="B2802" s="3">
        <v>57037.5</v>
      </c>
      <c r="C2802" s="3">
        <v>227.1</v>
      </c>
      <c r="D2802" s="3">
        <f t="shared" si="88"/>
        <v>1.012073327353143E-2</v>
      </c>
      <c r="E2802" s="3">
        <f t="shared" si="89"/>
        <v>-3.9551798429280543E-3</v>
      </c>
    </row>
    <row r="2803" spans="1:5" x14ac:dyDescent="0.45">
      <c r="A2803" s="2">
        <v>44672</v>
      </c>
      <c r="B2803" s="3">
        <v>57911.68</v>
      </c>
      <c r="C2803" s="3">
        <v>227.25</v>
      </c>
      <c r="D2803" s="3">
        <f t="shared" si="88"/>
        <v>1.5210145096966726E-2</v>
      </c>
      <c r="E2803" s="3">
        <f t="shared" si="89"/>
        <v>6.6028394607550972E-4</v>
      </c>
    </row>
    <row r="2804" spans="1:5" x14ac:dyDescent="0.45">
      <c r="A2804" s="2">
        <v>44673</v>
      </c>
      <c r="B2804" s="3">
        <v>57197.15</v>
      </c>
      <c r="C2804" s="3">
        <v>225.5</v>
      </c>
      <c r="D2804" s="3">
        <f t="shared" si="88"/>
        <v>-1.2415019380875882E-2</v>
      </c>
      <c r="E2804" s="3">
        <f t="shared" si="89"/>
        <v>-7.7305741148551207E-3</v>
      </c>
    </row>
    <row r="2805" spans="1:5" x14ac:dyDescent="0.45">
      <c r="A2805" s="2">
        <v>44676</v>
      </c>
      <c r="B2805" s="3">
        <v>56579.89</v>
      </c>
      <c r="C2805" s="3">
        <v>222.9</v>
      </c>
      <c r="D2805" s="3">
        <f t="shared" si="88"/>
        <v>-1.0850450247956851E-2</v>
      </c>
      <c r="E2805" s="3">
        <f t="shared" si="89"/>
        <v>-1.1596918550909815E-2</v>
      </c>
    </row>
    <row r="2806" spans="1:5" x14ac:dyDescent="0.45">
      <c r="A2806" s="2">
        <v>44677</v>
      </c>
      <c r="B2806" s="3">
        <v>57356.61</v>
      </c>
      <c r="C2806" s="3">
        <v>231.65</v>
      </c>
      <c r="D2806" s="3">
        <f t="shared" si="88"/>
        <v>1.363447240480135E-2</v>
      </c>
      <c r="E2806" s="3">
        <f t="shared" si="89"/>
        <v>3.8504371470834145E-2</v>
      </c>
    </row>
    <row r="2807" spans="1:5" x14ac:dyDescent="0.45">
      <c r="A2807" s="2">
        <v>44678</v>
      </c>
      <c r="B2807" s="3">
        <v>56819.39</v>
      </c>
      <c r="C2807" s="3">
        <v>229.25</v>
      </c>
      <c r="D2807" s="3">
        <f t="shared" si="88"/>
        <v>-9.4104534145010611E-3</v>
      </c>
      <c r="E2807" s="3">
        <f t="shared" si="89"/>
        <v>-1.0414500726083154E-2</v>
      </c>
    </row>
    <row r="2808" spans="1:5" x14ac:dyDescent="0.45">
      <c r="A2808" s="2">
        <v>44679</v>
      </c>
      <c r="B2808" s="3">
        <v>57521.06</v>
      </c>
      <c r="C2808" s="3">
        <v>235.65</v>
      </c>
      <c r="D2808" s="3">
        <f t="shared" si="88"/>
        <v>1.2273500903775384E-2</v>
      </c>
      <c r="E2808" s="3">
        <f t="shared" si="89"/>
        <v>2.7534542233165621E-2</v>
      </c>
    </row>
    <row r="2809" spans="1:5" x14ac:dyDescent="0.45">
      <c r="A2809" s="2">
        <v>44680</v>
      </c>
      <c r="B2809" s="3">
        <v>57060.87</v>
      </c>
      <c r="C2809" s="3">
        <v>227.6</v>
      </c>
      <c r="D2809" s="3">
        <f t="shared" si="88"/>
        <v>-8.0325488383057187E-3</v>
      </c>
      <c r="E2809" s="3">
        <f t="shared" si="89"/>
        <v>-3.4757951117564009E-2</v>
      </c>
    </row>
    <row r="2810" spans="1:5" x14ac:dyDescent="0.45">
      <c r="A2810" s="2">
        <v>44683</v>
      </c>
      <c r="B2810" s="3">
        <v>56975.99</v>
      </c>
      <c r="C2810" s="3">
        <v>231.25</v>
      </c>
      <c r="D2810" s="3">
        <f t="shared" si="88"/>
        <v>-1.4886417545150463E-3</v>
      </c>
      <c r="E2810" s="3">
        <f t="shared" si="89"/>
        <v>1.5909674140358838E-2</v>
      </c>
    </row>
    <row r="2811" spans="1:5" x14ac:dyDescent="0.45">
      <c r="A2811" s="2">
        <v>44685</v>
      </c>
      <c r="B2811" s="3">
        <v>55669.03</v>
      </c>
      <c r="C2811" s="3">
        <v>237.6</v>
      </c>
      <c r="D2811" s="3">
        <f t="shared" si="88"/>
        <v>-2.3205973085636E-2</v>
      </c>
      <c r="E2811" s="3">
        <f t="shared" si="89"/>
        <v>2.7089211095955319E-2</v>
      </c>
    </row>
    <row r="2812" spans="1:5" x14ac:dyDescent="0.45">
      <c r="A2812" s="2">
        <v>44686</v>
      </c>
      <c r="B2812" s="3">
        <v>55702.23</v>
      </c>
      <c r="C2812" s="3">
        <v>233.85</v>
      </c>
      <c r="D2812" s="3">
        <f t="shared" si="88"/>
        <v>5.9620410119170402E-4</v>
      </c>
      <c r="E2812" s="3">
        <f t="shared" si="89"/>
        <v>-1.590870331659465E-2</v>
      </c>
    </row>
    <row r="2813" spans="1:5" x14ac:dyDescent="0.45">
      <c r="A2813" s="2">
        <v>44687</v>
      </c>
      <c r="B2813" s="3">
        <v>54835.58</v>
      </c>
      <c r="C2813" s="3">
        <v>238.25</v>
      </c>
      <c r="D2813" s="3">
        <f t="shared" si="88"/>
        <v>-1.5680928696127697E-2</v>
      </c>
      <c r="E2813" s="3">
        <f t="shared" si="89"/>
        <v>1.8640658362416272E-2</v>
      </c>
    </row>
    <row r="2814" spans="1:5" x14ac:dyDescent="0.45">
      <c r="A2814" s="2">
        <v>44690</v>
      </c>
      <c r="B2814" s="3">
        <v>54470.67</v>
      </c>
      <c r="C2814" s="3">
        <v>245</v>
      </c>
      <c r="D2814" s="3">
        <f t="shared" si="88"/>
        <v>-6.6768616735877395E-3</v>
      </c>
      <c r="E2814" s="3">
        <f t="shared" si="89"/>
        <v>2.7937668010415483E-2</v>
      </c>
    </row>
    <row r="2815" spans="1:5" x14ac:dyDescent="0.45">
      <c r="A2815" s="2">
        <v>44691</v>
      </c>
      <c r="B2815" s="3">
        <v>54364.85</v>
      </c>
      <c r="C2815" s="3">
        <v>243.9</v>
      </c>
      <c r="D2815" s="3">
        <f t="shared" si="88"/>
        <v>-1.9445863509594571E-3</v>
      </c>
      <c r="E2815" s="3">
        <f t="shared" si="89"/>
        <v>-4.4999053228523284E-3</v>
      </c>
    </row>
    <row r="2816" spans="1:5" x14ac:dyDescent="0.45">
      <c r="A2816" s="2">
        <v>44692</v>
      </c>
      <c r="B2816" s="3">
        <v>54088.39</v>
      </c>
      <c r="C2816" s="3">
        <v>239.05</v>
      </c>
      <c r="D2816" s="3">
        <f t="shared" si="88"/>
        <v>-5.0982450835856874E-3</v>
      </c>
      <c r="E2816" s="3">
        <f t="shared" si="89"/>
        <v>-2.0085570149762175E-2</v>
      </c>
    </row>
    <row r="2817" spans="1:5" x14ac:dyDescent="0.45">
      <c r="A2817" s="2">
        <v>44693</v>
      </c>
      <c r="B2817" s="3">
        <v>52930.31</v>
      </c>
      <c r="C2817" s="3">
        <v>235.7</v>
      </c>
      <c r="D2817" s="3">
        <f t="shared" si="88"/>
        <v>-2.1643417589470547E-2</v>
      </c>
      <c r="E2817" s="3">
        <f t="shared" si="89"/>
        <v>-1.4112925130026989E-2</v>
      </c>
    </row>
    <row r="2818" spans="1:5" x14ac:dyDescent="0.45">
      <c r="A2818" s="2">
        <v>44694</v>
      </c>
      <c r="B2818" s="3">
        <v>52793.62</v>
      </c>
      <c r="C2818" s="3">
        <v>236.9</v>
      </c>
      <c r="D2818" s="3">
        <f t="shared" si="88"/>
        <v>-2.5857925667875305E-3</v>
      </c>
      <c r="E2818" s="3">
        <f t="shared" si="89"/>
        <v>5.0783012226543866E-3</v>
      </c>
    </row>
    <row r="2819" spans="1:5" x14ac:dyDescent="0.45">
      <c r="A2819" s="2">
        <v>44697</v>
      </c>
      <c r="B2819" s="3">
        <v>52973.84</v>
      </c>
      <c r="C2819" s="3">
        <v>235.2</v>
      </c>
      <c r="D2819" s="3">
        <f t="shared" si="88"/>
        <v>3.4078567153864262E-3</v>
      </c>
      <c r="E2819" s="3">
        <f t="shared" si="89"/>
        <v>-7.2018951402680262E-3</v>
      </c>
    </row>
    <row r="2820" spans="1:5" x14ac:dyDescent="0.45">
      <c r="A2820" s="2">
        <v>44698</v>
      </c>
      <c r="B2820" s="3">
        <v>54318.47</v>
      </c>
      <c r="C2820" s="3">
        <v>238.7</v>
      </c>
      <c r="D2820" s="3">
        <f t="shared" si="88"/>
        <v>2.5066109639218341E-2</v>
      </c>
      <c r="E2820" s="3">
        <f t="shared" si="89"/>
        <v>1.4771317320312503E-2</v>
      </c>
    </row>
    <row r="2821" spans="1:5" x14ac:dyDescent="0.45">
      <c r="A2821" s="2">
        <v>44699</v>
      </c>
      <c r="B2821" s="3">
        <v>54208.53</v>
      </c>
      <c r="C2821" s="3">
        <v>227.85</v>
      </c>
      <c r="D2821" s="3">
        <f t="shared" si="88"/>
        <v>-2.0260402960952917E-3</v>
      </c>
      <c r="E2821" s="3">
        <f t="shared" si="89"/>
        <v>-4.6520015634892817E-2</v>
      </c>
    </row>
    <row r="2822" spans="1:5" x14ac:dyDescent="0.45">
      <c r="A2822" s="2">
        <v>44700</v>
      </c>
      <c r="B2822" s="3">
        <v>52792.23</v>
      </c>
      <c r="C2822" s="3">
        <v>228.5</v>
      </c>
      <c r="D2822" s="3">
        <f t="shared" ref="D2822:D2885" si="90">LN(B2822/B2821)</f>
        <v>-2.6474255344111325E-2</v>
      </c>
      <c r="E2822" s="3">
        <f t="shared" ref="E2822:E2885" si="91">LN(C2822/C2821)</f>
        <v>2.8486926243678603E-3</v>
      </c>
    </row>
    <row r="2823" spans="1:5" x14ac:dyDescent="0.45">
      <c r="A2823" s="2">
        <v>44701</v>
      </c>
      <c r="B2823" s="3">
        <v>54326.39</v>
      </c>
      <c r="C2823" s="3">
        <v>229.05</v>
      </c>
      <c r="D2823" s="3">
        <f t="shared" si="90"/>
        <v>2.8646091769246346E-2</v>
      </c>
      <c r="E2823" s="3">
        <f t="shared" si="91"/>
        <v>2.4041099984918389E-3</v>
      </c>
    </row>
    <row r="2824" spans="1:5" x14ac:dyDescent="0.45">
      <c r="A2824" s="2">
        <v>44704</v>
      </c>
      <c r="B2824" s="3">
        <v>54288.61</v>
      </c>
      <c r="C2824" s="3">
        <v>224.55</v>
      </c>
      <c r="D2824" s="3">
        <f t="shared" si="90"/>
        <v>-6.9566821384974985E-4</v>
      </c>
      <c r="E2824" s="3">
        <f t="shared" si="91"/>
        <v>-1.984192079900406E-2</v>
      </c>
    </row>
    <row r="2825" spans="1:5" x14ac:dyDescent="0.45">
      <c r="A2825" s="2">
        <v>44705</v>
      </c>
      <c r="B2825" s="3">
        <v>54052.61</v>
      </c>
      <c r="C2825" s="3">
        <v>227</v>
      </c>
      <c r="D2825" s="3">
        <f t="shared" si="90"/>
        <v>-4.3566128067359048E-3</v>
      </c>
      <c r="E2825" s="3">
        <f t="shared" si="91"/>
        <v>1.085161794765557E-2</v>
      </c>
    </row>
    <row r="2826" spans="1:5" x14ac:dyDescent="0.45">
      <c r="A2826" s="2">
        <v>44706</v>
      </c>
      <c r="B2826" s="3">
        <v>53749.26</v>
      </c>
      <c r="C2826" s="3">
        <v>224.8</v>
      </c>
      <c r="D2826" s="3">
        <f t="shared" si="90"/>
        <v>-5.6279320698662885E-3</v>
      </c>
      <c r="E2826" s="3">
        <f t="shared" si="91"/>
        <v>-9.738899461866608E-3</v>
      </c>
    </row>
    <row r="2827" spans="1:5" x14ac:dyDescent="0.45">
      <c r="A2827" s="2">
        <v>44707</v>
      </c>
      <c r="B2827" s="3">
        <v>54252.53</v>
      </c>
      <c r="C2827" s="3">
        <v>227.05</v>
      </c>
      <c r="D2827" s="3">
        <f t="shared" si="90"/>
        <v>9.3197278067077872E-3</v>
      </c>
      <c r="E2827" s="3">
        <f t="shared" si="91"/>
        <v>9.9591395244240984E-3</v>
      </c>
    </row>
    <row r="2828" spans="1:5" x14ac:dyDescent="0.45">
      <c r="A2828" s="2">
        <v>44708</v>
      </c>
      <c r="B2828" s="3">
        <v>54884.66</v>
      </c>
      <c r="C2828" s="3">
        <v>224.85</v>
      </c>
      <c r="D2828" s="3">
        <f t="shared" si="90"/>
        <v>1.1584265071360044E-2</v>
      </c>
      <c r="E2828" s="3">
        <f t="shared" si="91"/>
        <v>-9.7367443272437515E-3</v>
      </c>
    </row>
    <row r="2829" spans="1:5" x14ac:dyDescent="0.45">
      <c r="A2829" s="2">
        <v>44711</v>
      </c>
      <c r="B2829" s="3">
        <v>55925.74</v>
      </c>
      <c r="C2829" s="3">
        <v>228.3</v>
      </c>
      <c r="D2829" s="3">
        <f t="shared" si="90"/>
        <v>1.8790846946595927E-2</v>
      </c>
      <c r="E2829" s="3">
        <f t="shared" si="91"/>
        <v>1.5227040319033571E-2</v>
      </c>
    </row>
    <row r="2830" spans="1:5" x14ac:dyDescent="0.45">
      <c r="A2830" s="2">
        <v>44712</v>
      </c>
      <c r="B2830" s="3">
        <v>55566.41</v>
      </c>
      <c r="C2830" s="3">
        <v>233</v>
      </c>
      <c r="D2830" s="3">
        <f t="shared" si="90"/>
        <v>-6.4458572940174919E-3</v>
      </c>
      <c r="E2830" s="3">
        <f t="shared" si="91"/>
        <v>2.0377900029950616E-2</v>
      </c>
    </row>
    <row r="2831" spans="1:5" x14ac:dyDescent="0.45">
      <c r="A2831" s="2">
        <v>44713</v>
      </c>
      <c r="B2831" s="3">
        <v>55381.17</v>
      </c>
      <c r="C2831" s="3">
        <v>229.05</v>
      </c>
      <c r="D2831" s="3">
        <f t="shared" si="90"/>
        <v>-3.3392377215737232E-3</v>
      </c>
      <c r="E2831" s="3">
        <f t="shared" si="91"/>
        <v>-1.7098133232949432E-2</v>
      </c>
    </row>
    <row r="2832" spans="1:5" x14ac:dyDescent="0.45">
      <c r="A2832" s="2">
        <v>44714</v>
      </c>
      <c r="B2832" s="3">
        <v>55818.11</v>
      </c>
      <c r="C2832" s="3">
        <v>225.6</v>
      </c>
      <c r="D2832" s="3">
        <f t="shared" si="90"/>
        <v>7.8587244227807888E-3</v>
      </c>
      <c r="E2832" s="3">
        <f t="shared" si="91"/>
        <v>-1.5176800708847339E-2</v>
      </c>
    </row>
    <row r="2833" spans="1:5" x14ac:dyDescent="0.45">
      <c r="A2833" s="2">
        <v>44715</v>
      </c>
      <c r="B2833" s="3">
        <v>55769.23</v>
      </c>
      <c r="C2833" s="3">
        <v>225.7</v>
      </c>
      <c r="D2833" s="3">
        <f t="shared" si="90"/>
        <v>-8.760851029585529E-4</v>
      </c>
      <c r="E2833" s="3">
        <f t="shared" si="91"/>
        <v>4.4316419958617096E-4</v>
      </c>
    </row>
    <row r="2834" spans="1:5" x14ac:dyDescent="0.45">
      <c r="A2834" s="2">
        <v>44718</v>
      </c>
      <c r="B2834" s="3">
        <v>55675.32</v>
      </c>
      <c r="C2834" s="3">
        <v>224.6</v>
      </c>
      <c r="D2834" s="3">
        <f t="shared" si="90"/>
        <v>-1.6853228305523723E-3</v>
      </c>
      <c r="E2834" s="3">
        <f t="shared" si="91"/>
        <v>-4.8856415191471511E-3</v>
      </c>
    </row>
    <row r="2835" spans="1:5" x14ac:dyDescent="0.45">
      <c r="A2835" s="2">
        <v>44719</v>
      </c>
      <c r="B2835" s="3">
        <v>55107.34</v>
      </c>
      <c r="C2835" s="3">
        <v>224.9</v>
      </c>
      <c r="D2835" s="3">
        <f t="shared" si="90"/>
        <v>-1.0254041141391607E-2</v>
      </c>
      <c r="E2835" s="3">
        <f t="shared" si="91"/>
        <v>1.3348166609271615E-3</v>
      </c>
    </row>
    <row r="2836" spans="1:5" x14ac:dyDescent="0.45">
      <c r="A2836" s="2">
        <v>44720</v>
      </c>
      <c r="B2836" s="3">
        <v>54892.49</v>
      </c>
      <c r="C2836" s="3">
        <v>224.65</v>
      </c>
      <c r="D2836" s="3">
        <f t="shared" si="90"/>
        <v>-3.9063746410020464E-3</v>
      </c>
      <c r="E2836" s="3">
        <f t="shared" si="91"/>
        <v>-1.1122234491010277E-3</v>
      </c>
    </row>
    <row r="2837" spans="1:5" x14ac:dyDescent="0.45">
      <c r="A2837" s="2">
        <v>44721</v>
      </c>
      <c r="B2837" s="3">
        <v>55320.28</v>
      </c>
      <c r="C2837" s="3">
        <v>224.8</v>
      </c>
      <c r="D2837" s="3">
        <f t="shared" si="90"/>
        <v>7.7630232572527243E-3</v>
      </c>
      <c r="E2837" s="3">
        <f t="shared" si="91"/>
        <v>6.6748250336710088E-4</v>
      </c>
    </row>
    <row r="2838" spans="1:5" x14ac:dyDescent="0.45">
      <c r="A2838" s="2">
        <v>44722</v>
      </c>
      <c r="B2838" s="3">
        <v>54303.44</v>
      </c>
      <c r="C2838" s="3">
        <v>224.5</v>
      </c>
      <c r="D2838" s="3">
        <f t="shared" si="90"/>
        <v>-1.8551991561549186E-2</v>
      </c>
      <c r="E2838" s="3">
        <f t="shared" si="91"/>
        <v>-1.3354108372271186E-3</v>
      </c>
    </row>
    <row r="2839" spans="1:5" x14ac:dyDescent="0.45">
      <c r="A2839" s="2">
        <v>44725</v>
      </c>
      <c r="B2839" s="3">
        <v>52846.7</v>
      </c>
      <c r="C2839" s="3">
        <v>222.3</v>
      </c>
      <c r="D2839" s="3">
        <f t="shared" si="90"/>
        <v>-2.7192307186445636E-2</v>
      </c>
      <c r="E2839" s="3">
        <f t="shared" si="91"/>
        <v>-9.8478862121580031E-3</v>
      </c>
    </row>
    <row r="2840" spans="1:5" x14ac:dyDescent="0.45">
      <c r="A2840" s="2">
        <v>44726</v>
      </c>
      <c r="B2840" s="3">
        <v>52693.57</v>
      </c>
      <c r="C2840" s="3">
        <v>224</v>
      </c>
      <c r="D2840" s="3">
        <f t="shared" si="90"/>
        <v>-2.9018327782235967E-3</v>
      </c>
      <c r="E2840" s="3">
        <f t="shared" si="91"/>
        <v>7.6182308848889192E-3</v>
      </c>
    </row>
    <row r="2841" spans="1:5" x14ac:dyDescent="0.45">
      <c r="A2841" s="2">
        <v>44727</v>
      </c>
      <c r="B2841" s="3">
        <v>52541.39</v>
      </c>
      <c r="C2841" s="3">
        <v>222.2</v>
      </c>
      <c r="D2841" s="3">
        <f t="shared" si="90"/>
        <v>-2.8921967771854602E-3</v>
      </c>
      <c r="E2841" s="3">
        <f t="shared" si="91"/>
        <v>-8.0681746495103145E-3</v>
      </c>
    </row>
    <row r="2842" spans="1:5" x14ac:dyDescent="0.45">
      <c r="A2842" s="2">
        <v>44728</v>
      </c>
      <c r="B2842" s="3">
        <v>51495.79</v>
      </c>
      <c r="C2842" s="3">
        <v>216.35</v>
      </c>
      <c r="D2842" s="3">
        <f t="shared" si="90"/>
        <v>-2.010118318557735E-2</v>
      </c>
      <c r="E2842" s="3">
        <f t="shared" si="91"/>
        <v>-2.668041053463582E-2</v>
      </c>
    </row>
    <row r="2843" spans="1:5" x14ac:dyDescent="0.45">
      <c r="A2843" s="2">
        <v>44729</v>
      </c>
      <c r="B2843" s="3">
        <v>51360.42</v>
      </c>
      <c r="C2843" s="3">
        <v>211.55</v>
      </c>
      <c r="D2843" s="3">
        <f t="shared" si="90"/>
        <v>-2.6322198369969673E-3</v>
      </c>
      <c r="E2843" s="3">
        <f t="shared" si="91"/>
        <v>-2.2436089504817215E-2</v>
      </c>
    </row>
    <row r="2844" spans="1:5" x14ac:dyDescent="0.45">
      <c r="A2844" s="2">
        <v>44732</v>
      </c>
      <c r="B2844" s="3">
        <v>51597.84</v>
      </c>
      <c r="C2844" s="3">
        <v>208.25</v>
      </c>
      <c r="D2844" s="3">
        <f t="shared" si="90"/>
        <v>4.6119742278640675E-3</v>
      </c>
      <c r="E2844" s="3">
        <f t="shared" si="91"/>
        <v>-1.5722096119124486E-2</v>
      </c>
    </row>
    <row r="2845" spans="1:5" x14ac:dyDescent="0.45">
      <c r="A2845" s="2">
        <v>44733</v>
      </c>
      <c r="B2845" s="3">
        <v>52532.07</v>
      </c>
      <c r="C2845" s="3">
        <v>210.4</v>
      </c>
      <c r="D2845" s="3">
        <f t="shared" si="90"/>
        <v>1.7944029096928767E-2</v>
      </c>
      <c r="E2845" s="3">
        <f t="shared" si="91"/>
        <v>1.0271199816602782E-2</v>
      </c>
    </row>
    <row r="2846" spans="1:5" x14ac:dyDescent="0.45">
      <c r="A2846" s="2">
        <v>44734</v>
      </c>
      <c r="B2846" s="3">
        <v>51822.53</v>
      </c>
      <c r="C2846" s="3">
        <v>210.5</v>
      </c>
      <c r="D2846" s="3">
        <f t="shared" si="90"/>
        <v>-1.3598843452667111E-2</v>
      </c>
      <c r="E2846" s="3">
        <f t="shared" si="91"/>
        <v>4.7517225888138627E-4</v>
      </c>
    </row>
    <row r="2847" spans="1:5" x14ac:dyDescent="0.45">
      <c r="A2847" s="2">
        <v>44735</v>
      </c>
      <c r="B2847" s="3">
        <v>52265.72</v>
      </c>
      <c r="C2847" s="3">
        <v>208.6</v>
      </c>
      <c r="D2847" s="3">
        <f t="shared" si="90"/>
        <v>8.515710048782656E-3</v>
      </c>
      <c r="E2847" s="3">
        <f t="shared" si="91"/>
        <v>-9.0671105557641116E-3</v>
      </c>
    </row>
    <row r="2848" spans="1:5" x14ac:dyDescent="0.45">
      <c r="A2848" s="2">
        <v>44736</v>
      </c>
      <c r="B2848" s="3">
        <v>52727.98</v>
      </c>
      <c r="C2848" s="3">
        <v>208.95</v>
      </c>
      <c r="D2848" s="3">
        <f t="shared" si="90"/>
        <v>8.8055376059626139E-3</v>
      </c>
      <c r="E2848" s="3">
        <f t="shared" si="91"/>
        <v>1.6764463272523522E-3</v>
      </c>
    </row>
    <row r="2849" spans="1:5" x14ac:dyDescent="0.45">
      <c r="A2849" s="2">
        <v>44739</v>
      </c>
      <c r="B2849" s="3">
        <v>53161.279999999999</v>
      </c>
      <c r="C2849" s="3">
        <v>211.6</v>
      </c>
      <c r="D2849" s="3">
        <f t="shared" si="90"/>
        <v>8.1840673642607394E-3</v>
      </c>
      <c r="E2849" s="3">
        <f t="shared" si="91"/>
        <v>1.2602711090219904E-2</v>
      </c>
    </row>
    <row r="2850" spans="1:5" x14ac:dyDescent="0.45">
      <c r="A2850" s="2">
        <v>44740</v>
      </c>
      <c r="B2850" s="3">
        <v>53177.45</v>
      </c>
      <c r="C2850" s="3">
        <v>210.25</v>
      </c>
      <c r="D2850" s="3">
        <f t="shared" si="90"/>
        <v>3.0412249844677803E-4</v>
      </c>
      <c r="E2850" s="3">
        <f t="shared" si="91"/>
        <v>-6.4004011310868029E-3</v>
      </c>
    </row>
    <row r="2851" spans="1:5" x14ac:dyDescent="0.45">
      <c r="A2851" s="2">
        <v>44741</v>
      </c>
      <c r="B2851" s="3">
        <v>53026.97</v>
      </c>
      <c r="C2851" s="3">
        <v>211.55</v>
      </c>
      <c r="D2851" s="3">
        <f t="shared" si="90"/>
        <v>-2.8337822606671194E-3</v>
      </c>
      <c r="E2851" s="3">
        <f t="shared" si="91"/>
        <v>6.164078313019036E-3</v>
      </c>
    </row>
    <row r="2852" spans="1:5" x14ac:dyDescent="0.45">
      <c r="A2852" s="2">
        <v>44742</v>
      </c>
      <c r="B2852" s="3">
        <v>53018.94</v>
      </c>
      <c r="C2852" s="3">
        <v>211.85</v>
      </c>
      <c r="D2852" s="3">
        <f t="shared" si="90"/>
        <v>-1.5144384192365874E-4</v>
      </c>
      <c r="E2852" s="3">
        <f t="shared" si="91"/>
        <v>1.4170999064916185E-3</v>
      </c>
    </row>
    <row r="2853" spans="1:5" x14ac:dyDescent="0.45">
      <c r="A2853" s="2">
        <v>44743</v>
      </c>
      <c r="B2853" s="3">
        <v>52907.93</v>
      </c>
      <c r="C2853" s="3">
        <v>206.5</v>
      </c>
      <c r="D2853" s="3">
        <f t="shared" si="90"/>
        <v>-2.0959750937593878E-3</v>
      </c>
      <c r="E2853" s="3">
        <f t="shared" si="91"/>
        <v>-2.5578064671480733E-2</v>
      </c>
    </row>
    <row r="2854" spans="1:5" x14ac:dyDescent="0.45">
      <c r="A2854" s="2">
        <v>44746</v>
      </c>
      <c r="B2854" s="3">
        <v>53234.77</v>
      </c>
      <c r="C2854" s="3">
        <v>210.65</v>
      </c>
      <c r="D2854" s="3">
        <f t="shared" si="90"/>
        <v>6.1585211797859241E-3</v>
      </c>
      <c r="E2854" s="3">
        <f t="shared" si="91"/>
        <v>1.9897576023938018E-2</v>
      </c>
    </row>
    <row r="2855" spans="1:5" x14ac:dyDescent="0.45">
      <c r="A2855" s="2">
        <v>44747</v>
      </c>
      <c r="B2855" s="3">
        <v>53134.35</v>
      </c>
      <c r="C2855" s="3">
        <v>214.1</v>
      </c>
      <c r="D2855" s="3">
        <f t="shared" si="90"/>
        <v>-1.8881425329793815E-3</v>
      </c>
      <c r="E2855" s="3">
        <f t="shared" si="91"/>
        <v>1.6245207170611623E-2</v>
      </c>
    </row>
    <row r="2856" spans="1:5" x14ac:dyDescent="0.45">
      <c r="A2856" s="2">
        <v>44748</v>
      </c>
      <c r="B2856" s="3">
        <v>53750.97</v>
      </c>
      <c r="C2856" s="3">
        <v>210.6</v>
      </c>
      <c r="D2856" s="3">
        <f t="shared" si="90"/>
        <v>1.1538101598165861E-2</v>
      </c>
      <c r="E2856" s="3">
        <f t="shared" si="91"/>
        <v>-1.6482595895762023E-2</v>
      </c>
    </row>
    <row r="2857" spans="1:5" x14ac:dyDescent="0.45">
      <c r="A2857" s="2">
        <v>44749</v>
      </c>
      <c r="B2857" s="3">
        <v>54178.46</v>
      </c>
      <c r="C2857" s="3">
        <v>212.55</v>
      </c>
      <c r="D2857" s="3">
        <f t="shared" si="90"/>
        <v>7.9216991238123917E-3</v>
      </c>
      <c r="E2857" s="3">
        <f t="shared" si="91"/>
        <v>9.2166551049240476E-3</v>
      </c>
    </row>
    <row r="2858" spans="1:5" x14ac:dyDescent="0.45">
      <c r="A2858" s="2">
        <v>44750</v>
      </c>
      <c r="B2858" s="3">
        <v>54481.84</v>
      </c>
      <c r="C2858" s="3">
        <v>218.8</v>
      </c>
      <c r="D2858" s="3">
        <f t="shared" si="90"/>
        <v>5.5840226525243741E-3</v>
      </c>
      <c r="E2858" s="3">
        <f t="shared" si="91"/>
        <v>2.8980815743026991E-2</v>
      </c>
    </row>
    <row r="2859" spans="1:5" x14ac:dyDescent="0.45">
      <c r="A2859" s="2">
        <v>44753</v>
      </c>
      <c r="B2859" s="3">
        <v>54395.23</v>
      </c>
      <c r="C2859" s="3">
        <v>217</v>
      </c>
      <c r="D2859" s="3">
        <f t="shared" si="90"/>
        <v>-1.5909689389841108E-3</v>
      </c>
      <c r="E2859" s="3">
        <f t="shared" si="91"/>
        <v>-8.2607170073665977E-3</v>
      </c>
    </row>
    <row r="2860" spans="1:5" x14ac:dyDescent="0.45">
      <c r="A2860" s="2">
        <v>44754</v>
      </c>
      <c r="B2860" s="3">
        <v>53886.61</v>
      </c>
      <c r="C2860" s="3">
        <v>213.4</v>
      </c>
      <c r="D2860" s="3">
        <f t="shared" si="90"/>
        <v>-9.3944421466369485E-3</v>
      </c>
      <c r="E2860" s="3">
        <f t="shared" si="91"/>
        <v>-1.6729014672806554E-2</v>
      </c>
    </row>
    <row r="2861" spans="1:5" x14ac:dyDescent="0.45">
      <c r="A2861" s="2">
        <v>44755</v>
      </c>
      <c r="B2861" s="3">
        <v>53514.15</v>
      </c>
      <c r="C2861" s="3">
        <v>214</v>
      </c>
      <c r="D2861" s="3">
        <f t="shared" si="90"/>
        <v>-6.9359191342613204E-3</v>
      </c>
      <c r="E2861" s="3">
        <f t="shared" si="91"/>
        <v>2.8076761541985617E-3</v>
      </c>
    </row>
    <row r="2862" spans="1:5" x14ac:dyDescent="0.45">
      <c r="A2862" s="2">
        <v>44756</v>
      </c>
      <c r="B2862" s="3">
        <v>53416.15</v>
      </c>
      <c r="C2862" s="3">
        <v>214.85</v>
      </c>
      <c r="D2862" s="3">
        <f t="shared" si="90"/>
        <v>-1.8329702140216432E-3</v>
      </c>
      <c r="E2862" s="3">
        <f t="shared" si="91"/>
        <v>3.964095199152624E-3</v>
      </c>
    </row>
    <row r="2863" spans="1:5" x14ac:dyDescent="0.45">
      <c r="A2863" s="2">
        <v>44757</v>
      </c>
      <c r="B2863" s="3">
        <v>53760.78</v>
      </c>
      <c r="C2863" s="3">
        <v>209.4</v>
      </c>
      <c r="D2863" s="3">
        <f t="shared" si="90"/>
        <v>6.4310703392155581E-3</v>
      </c>
      <c r="E2863" s="3">
        <f t="shared" si="91"/>
        <v>-2.569381178456762E-2</v>
      </c>
    </row>
    <row r="2864" spans="1:5" x14ac:dyDescent="0.45">
      <c r="A2864" s="2">
        <v>44760</v>
      </c>
      <c r="B2864" s="3">
        <v>54521.15</v>
      </c>
      <c r="C2864" s="3">
        <v>210.25</v>
      </c>
      <c r="D2864" s="3">
        <f t="shared" si="90"/>
        <v>1.4044494744477897E-2</v>
      </c>
      <c r="E2864" s="3">
        <f t="shared" si="91"/>
        <v>4.0510004166209659E-3</v>
      </c>
    </row>
    <row r="2865" spans="1:5" x14ac:dyDescent="0.45">
      <c r="A2865" s="2">
        <v>44761</v>
      </c>
      <c r="B2865" s="3">
        <v>54767.62</v>
      </c>
      <c r="C2865" s="3">
        <v>209.95</v>
      </c>
      <c r="D2865" s="3">
        <f t="shared" si="90"/>
        <v>4.5104436229039795E-3</v>
      </c>
      <c r="E2865" s="3">
        <f t="shared" si="91"/>
        <v>-1.4278917228552016E-3</v>
      </c>
    </row>
    <row r="2866" spans="1:5" x14ac:dyDescent="0.45">
      <c r="A2866" s="2">
        <v>44762</v>
      </c>
      <c r="B2866" s="3">
        <v>55397.53</v>
      </c>
      <c r="C2866" s="3">
        <v>209.25</v>
      </c>
      <c r="D2866" s="3">
        <f t="shared" si="90"/>
        <v>1.1435864516165881E-2</v>
      </c>
      <c r="E2866" s="3">
        <f t="shared" si="91"/>
        <v>-3.3396977606175346E-3</v>
      </c>
    </row>
    <row r="2867" spans="1:5" x14ac:dyDescent="0.45">
      <c r="A2867" s="2">
        <v>44763</v>
      </c>
      <c r="B2867" s="3">
        <v>55681.95</v>
      </c>
      <c r="C2867" s="3">
        <v>212.1</v>
      </c>
      <c r="D2867" s="3">
        <f t="shared" si="90"/>
        <v>5.1210290428885946E-3</v>
      </c>
      <c r="E2867" s="3">
        <f t="shared" si="91"/>
        <v>1.3528152201052036E-2</v>
      </c>
    </row>
    <row r="2868" spans="1:5" x14ac:dyDescent="0.45">
      <c r="A2868" s="2">
        <v>44764</v>
      </c>
      <c r="B2868" s="3">
        <v>56072.23</v>
      </c>
      <c r="C2868" s="3">
        <v>209.95</v>
      </c>
      <c r="D2868" s="3">
        <f t="shared" si="90"/>
        <v>6.9846440939884203E-3</v>
      </c>
      <c r="E2868" s="3">
        <f t="shared" si="91"/>
        <v>-1.0188454440434517E-2</v>
      </c>
    </row>
    <row r="2869" spans="1:5" x14ac:dyDescent="0.45">
      <c r="A2869" s="2">
        <v>44767</v>
      </c>
      <c r="B2869" s="3">
        <v>55766.22</v>
      </c>
      <c r="C2869" s="3">
        <v>207.95</v>
      </c>
      <c r="D2869" s="3">
        <f t="shared" si="90"/>
        <v>-5.4723713297028052E-3</v>
      </c>
      <c r="E2869" s="3">
        <f t="shared" si="91"/>
        <v>-9.5717409412816312E-3</v>
      </c>
    </row>
    <row r="2870" spans="1:5" x14ac:dyDescent="0.45">
      <c r="A2870" s="2">
        <v>44768</v>
      </c>
      <c r="B2870" s="3">
        <v>55268.49</v>
      </c>
      <c r="C2870" s="3">
        <v>209.05</v>
      </c>
      <c r="D2870" s="3">
        <f t="shared" si="90"/>
        <v>-8.9653646839666784E-3</v>
      </c>
      <c r="E2870" s="3">
        <f t="shared" si="91"/>
        <v>5.2757916136534858E-3</v>
      </c>
    </row>
    <row r="2871" spans="1:5" x14ac:dyDescent="0.45">
      <c r="A2871" s="2">
        <v>44769</v>
      </c>
      <c r="B2871" s="3">
        <v>55816.32</v>
      </c>
      <c r="C2871" s="3">
        <v>210.6</v>
      </c>
      <c r="D2871" s="3">
        <f t="shared" si="90"/>
        <v>9.8633546986528504E-3</v>
      </c>
      <c r="E2871" s="3">
        <f t="shared" si="91"/>
        <v>7.3871418973009643E-3</v>
      </c>
    </row>
    <row r="2872" spans="1:5" x14ac:dyDescent="0.45">
      <c r="A2872" s="2">
        <v>44770</v>
      </c>
      <c r="B2872" s="3">
        <v>56857.79</v>
      </c>
      <c r="C2872" s="3">
        <v>213.4</v>
      </c>
      <c r="D2872" s="3">
        <f t="shared" si="90"/>
        <v>1.8486938330278646E-2</v>
      </c>
      <c r="E2872" s="3">
        <f t="shared" si="91"/>
        <v>1.320773916777794E-2</v>
      </c>
    </row>
    <row r="2873" spans="1:5" x14ac:dyDescent="0.45">
      <c r="A2873" s="2">
        <v>44771</v>
      </c>
      <c r="B2873" s="3">
        <v>57570.25</v>
      </c>
      <c r="C2873" s="3">
        <v>214</v>
      </c>
      <c r="D2873" s="3">
        <f t="shared" si="90"/>
        <v>1.2452703143907838E-2</v>
      </c>
      <c r="E2873" s="3">
        <f t="shared" si="91"/>
        <v>2.8076761541985617E-3</v>
      </c>
    </row>
    <row r="2874" spans="1:5" x14ac:dyDescent="0.45">
      <c r="A2874" s="2">
        <v>44774</v>
      </c>
      <c r="B2874" s="3">
        <v>58115.5</v>
      </c>
      <c r="C2874" s="3">
        <v>219.1</v>
      </c>
      <c r="D2874" s="3">
        <f t="shared" si="90"/>
        <v>9.4264684715859356E-3</v>
      </c>
      <c r="E2874" s="3">
        <f t="shared" si="91"/>
        <v>2.3552231579569309E-2</v>
      </c>
    </row>
    <row r="2875" spans="1:5" x14ac:dyDescent="0.45">
      <c r="A2875" s="2">
        <v>44775</v>
      </c>
      <c r="B2875" s="3">
        <v>58136.36</v>
      </c>
      <c r="C2875" s="3">
        <v>222.55</v>
      </c>
      <c r="D2875" s="3">
        <f t="shared" si="90"/>
        <v>3.5887598226622483E-4</v>
      </c>
      <c r="E2875" s="3">
        <f t="shared" si="91"/>
        <v>1.5623548860442467E-2</v>
      </c>
    </row>
    <row r="2876" spans="1:5" x14ac:dyDescent="0.45">
      <c r="A2876" s="2">
        <v>44776</v>
      </c>
      <c r="B2876" s="3">
        <v>58350.53</v>
      </c>
      <c r="C2876" s="3">
        <v>223.45</v>
      </c>
      <c r="D2876" s="3">
        <f t="shared" si="90"/>
        <v>3.6771561387639101E-3</v>
      </c>
      <c r="E2876" s="3">
        <f t="shared" si="91"/>
        <v>4.0358799175971814E-3</v>
      </c>
    </row>
    <row r="2877" spans="1:5" x14ac:dyDescent="0.45">
      <c r="A2877" s="2">
        <v>44777</v>
      </c>
      <c r="B2877" s="3">
        <v>58298.8</v>
      </c>
      <c r="C2877" s="3">
        <v>220.85</v>
      </c>
      <c r="D2877" s="3">
        <f t="shared" si="90"/>
        <v>-8.8693185620705413E-4</v>
      </c>
      <c r="E2877" s="3">
        <f t="shared" si="91"/>
        <v>-1.1703937336924982E-2</v>
      </c>
    </row>
    <row r="2878" spans="1:5" x14ac:dyDescent="0.45">
      <c r="A2878" s="2">
        <v>44778</v>
      </c>
      <c r="B2878" s="3">
        <v>58387.93</v>
      </c>
      <c r="C2878" s="3">
        <v>223.5</v>
      </c>
      <c r="D2878" s="3">
        <f t="shared" si="90"/>
        <v>1.5276804369159518E-3</v>
      </c>
      <c r="E2878" s="3">
        <f t="shared" si="91"/>
        <v>1.1927676011088156E-2</v>
      </c>
    </row>
    <row r="2879" spans="1:5" x14ac:dyDescent="0.45">
      <c r="A2879" s="2">
        <v>44781</v>
      </c>
      <c r="B2879" s="3">
        <v>58853.07</v>
      </c>
      <c r="C2879" s="3">
        <v>221.7</v>
      </c>
      <c r="D2879" s="3">
        <f t="shared" si="90"/>
        <v>7.9348084795921626E-3</v>
      </c>
      <c r="E2879" s="3">
        <f t="shared" si="91"/>
        <v>-8.0862974313578185E-3</v>
      </c>
    </row>
    <row r="2880" spans="1:5" x14ac:dyDescent="0.45">
      <c r="A2880" s="2">
        <v>44783</v>
      </c>
      <c r="B2880" s="3">
        <v>58817.29</v>
      </c>
      <c r="C2880" s="3">
        <v>223.35</v>
      </c>
      <c r="D2880" s="3">
        <f t="shared" si="90"/>
        <v>-6.081395706228252E-4</v>
      </c>
      <c r="E2880" s="3">
        <f t="shared" si="91"/>
        <v>7.4149311758619557E-3</v>
      </c>
    </row>
    <row r="2881" spans="1:5" x14ac:dyDescent="0.45">
      <c r="A2881" s="2">
        <v>44784</v>
      </c>
      <c r="B2881" s="3">
        <v>59332.6</v>
      </c>
      <c r="C2881" s="3">
        <v>222.8</v>
      </c>
      <c r="D2881" s="3">
        <f t="shared" si="90"/>
        <v>8.7230426969330428E-3</v>
      </c>
      <c r="E2881" s="3">
        <f t="shared" si="91"/>
        <v>-2.4655397449986072E-3</v>
      </c>
    </row>
    <row r="2882" spans="1:5" x14ac:dyDescent="0.45">
      <c r="A2882" s="2">
        <v>44785</v>
      </c>
      <c r="B2882" s="3">
        <v>59462.78</v>
      </c>
      <c r="C2882" s="3">
        <v>227.8</v>
      </c>
      <c r="D2882" s="3">
        <f t="shared" si="90"/>
        <v>2.1916686003950426E-3</v>
      </c>
      <c r="E2882" s="3">
        <f t="shared" si="91"/>
        <v>2.2193542959952729E-2</v>
      </c>
    </row>
    <row r="2883" spans="1:5" x14ac:dyDescent="0.45">
      <c r="A2883" s="2">
        <v>44789</v>
      </c>
      <c r="B2883" s="3">
        <v>59842.21</v>
      </c>
      <c r="C2883" s="3">
        <v>228.75</v>
      </c>
      <c r="D2883" s="3">
        <f t="shared" si="90"/>
        <v>6.360694205011945E-3</v>
      </c>
      <c r="E2883" s="3">
        <f t="shared" si="91"/>
        <v>4.1616531425489652E-3</v>
      </c>
    </row>
    <row r="2884" spans="1:5" x14ac:dyDescent="0.45">
      <c r="A2884" s="2">
        <v>44790</v>
      </c>
      <c r="B2884" s="3">
        <v>60260.13</v>
      </c>
      <c r="C2884" s="3">
        <v>228.35</v>
      </c>
      <c r="D2884" s="3">
        <f t="shared" si="90"/>
        <v>6.9594262156747605E-3</v>
      </c>
      <c r="E2884" s="3">
        <f t="shared" si="91"/>
        <v>-1.750164524622717E-3</v>
      </c>
    </row>
    <row r="2885" spans="1:5" x14ac:dyDescent="0.45">
      <c r="A2885" s="2">
        <v>44791</v>
      </c>
      <c r="B2885" s="3">
        <v>60298</v>
      </c>
      <c r="C2885" s="3">
        <v>231.2</v>
      </c>
      <c r="D2885" s="3">
        <f t="shared" si="90"/>
        <v>6.2824466911668613E-4</v>
      </c>
      <c r="E2885" s="3">
        <f t="shared" si="91"/>
        <v>1.2403597167214498E-2</v>
      </c>
    </row>
    <row r="2886" spans="1:5" x14ac:dyDescent="0.45">
      <c r="A2886" s="2">
        <v>44792</v>
      </c>
      <c r="B2886" s="3">
        <v>59646.15</v>
      </c>
      <c r="C2886" s="3">
        <v>228.05</v>
      </c>
      <c r="D2886" s="3">
        <f t="shared" ref="D2886:D2949" si="92">LN(B2886/B2885)</f>
        <v>-1.0869332394789702E-2</v>
      </c>
      <c r="E2886" s="3">
        <f t="shared" ref="E2886:E2949" si="93">LN(C2886/C2885)</f>
        <v>-1.371823364051291E-2</v>
      </c>
    </row>
    <row r="2887" spans="1:5" x14ac:dyDescent="0.45">
      <c r="A2887" s="2">
        <v>44795</v>
      </c>
      <c r="B2887" s="3">
        <v>58773.87</v>
      </c>
      <c r="C2887" s="3">
        <v>225.9</v>
      </c>
      <c r="D2887" s="3">
        <f t="shared" si="92"/>
        <v>-1.4732234912463969E-2</v>
      </c>
      <c r="E2887" s="3">
        <f t="shared" si="93"/>
        <v>-9.4724796837518284E-3</v>
      </c>
    </row>
    <row r="2888" spans="1:5" x14ac:dyDescent="0.45">
      <c r="A2888" s="2">
        <v>44796</v>
      </c>
      <c r="B2888" s="3">
        <v>59031.3</v>
      </c>
      <c r="C2888" s="3">
        <v>227.25</v>
      </c>
      <c r="D2888" s="3">
        <f t="shared" si="92"/>
        <v>4.3704433304453671E-3</v>
      </c>
      <c r="E2888" s="3">
        <f t="shared" si="93"/>
        <v>5.9583095836306249E-3</v>
      </c>
    </row>
    <row r="2889" spans="1:5" x14ac:dyDescent="0.45">
      <c r="A2889" s="2">
        <v>44797</v>
      </c>
      <c r="B2889" s="3">
        <v>59085.43</v>
      </c>
      <c r="C2889" s="3">
        <v>229.3</v>
      </c>
      <c r="D2889" s="3">
        <f t="shared" si="92"/>
        <v>9.1655100491518787E-4</v>
      </c>
      <c r="E2889" s="3">
        <f t="shared" si="93"/>
        <v>8.9804568062705255E-3</v>
      </c>
    </row>
    <row r="2890" spans="1:5" x14ac:dyDescent="0.45">
      <c r="A2890" s="2">
        <v>44798</v>
      </c>
      <c r="B2890" s="3">
        <v>58774.720000000001</v>
      </c>
      <c r="C2890" s="3">
        <v>226.25</v>
      </c>
      <c r="D2890" s="3">
        <f t="shared" si="92"/>
        <v>-5.2725322307956742E-3</v>
      </c>
      <c r="E2890" s="3">
        <f t="shared" si="93"/>
        <v>-1.3390607283823356E-2</v>
      </c>
    </row>
    <row r="2891" spans="1:5" x14ac:dyDescent="0.45">
      <c r="A2891" s="2">
        <v>44799</v>
      </c>
      <c r="B2891" s="3">
        <v>58833.87</v>
      </c>
      <c r="C2891" s="3">
        <v>230.6</v>
      </c>
      <c r="D2891" s="3">
        <f t="shared" si="92"/>
        <v>1.0058789921261755E-3</v>
      </c>
      <c r="E2891" s="3">
        <f t="shared" si="93"/>
        <v>1.9044025254923044E-2</v>
      </c>
    </row>
    <row r="2892" spans="1:5" x14ac:dyDescent="0.45">
      <c r="A2892" s="2">
        <v>44802</v>
      </c>
      <c r="B2892" s="3">
        <v>57972.62</v>
      </c>
      <c r="C2892" s="3">
        <v>226.95</v>
      </c>
      <c r="D2892" s="3">
        <f t="shared" si="92"/>
        <v>-1.4746879355400555E-2</v>
      </c>
      <c r="E2892" s="3">
        <f t="shared" si="93"/>
        <v>-1.5954878932484064E-2</v>
      </c>
    </row>
    <row r="2893" spans="1:5" x14ac:dyDescent="0.45">
      <c r="A2893" s="2">
        <v>44803</v>
      </c>
      <c r="B2893" s="3">
        <v>59537.07</v>
      </c>
      <c r="C2893" s="3">
        <v>229.6</v>
      </c>
      <c r="D2893" s="3">
        <f t="shared" si="92"/>
        <v>2.6628313640766593E-2</v>
      </c>
      <c r="E2893" s="3">
        <f t="shared" si="93"/>
        <v>1.1608935542936816E-2</v>
      </c>
    </row>
    <row r="2894" spans="1:5" x14ac:dyDescent="0.45">
      <c r="A2894" s="2">
        <v>44805</v>
      </c>
      <c r="B2894" s="3">
        <v>58766.59</v>
      </c>
      <c r="C2894" s="3">
        <v>226.15</v>
      </c>
      <c r="D2894" s="3">
        <f t="shared" si="92"/>
        <v>-1.3025647621612986E-2</v>
      </c>
      <c r="E2894" s="3">
        <f t="shared" si="93"/>
        <v>-1.5140168521559165E-2</v>
      </c>
    </row>
    <row r="2895" spans="1:5" x14ac:dyDescent="0.45">
      <c r="A2895" s="2">
        <v>44806</v>
      </c>
      <c r="B2895" s="3">
        <v>58803.33</v>
      </c>
      <c r="C2895" s="3">
        <v>224.2</v>
      </c>
      <c r="D2895" s="3">
        <f t="shared" si="92"/>
        <v>6.2498981365187803E-4</v>
      </c>
      <c r="E2895" s="3">
        <f t="shared" si="93"/>
        <v>-8.6599852857926467E-3</v>
      </c>
    </row>
    <row r="2896" spans="1:5" x14ac:dyDescent="0.45">
      <c r="A2896" s="2">
        <v>44809</v>
      </c>
      <c r="B2896" s="3">
        <v>59245.98</v>
      </c>
      <c r="C2896" s="3">
        <v>223.65</v>
      </c>
      <c r="D2896" s="3">
        <f t="shared" si="92"/>
        <v>7.4994436581140274E-3</v>
      </c>
      <c r="E2896" s="3">
        <f t="shared" si="93"/>
        <v>-2.4561807592023317E-3</v>
      </c>
    </row>
    <row r="2897" spans="1:5" x14ac:dyDescent="0.45">
      <c r="A2897" s="2">
        <v>44810</v>
      </c>
      <c r="B2897" s="3">
        <v>59196.99</v>
      </c>
      <c r="C2897" s="3">
        <v>225</v>
      </c>
      <c r="D2897" s="3">
        <f t="shared" si="92"/>
        <v>-8.2723360945310682E-4</v>
      </c>
      <c r="E2897" s="3">
        <f t="shared" si="93"/>
        <v>6.0180723255629448E-3</v>
      </c>
    </row>
    <row r="2898" spans="1:5" x14ac:dyDescent="0.45">
      <c r="A2898" s="2">
        <v>44811</v>
      </c>
      <c r="B2898" s="3">
        <v>59028.91</v>
      </c>
      <c r="C2898" s="3">
        <v>224.45</v>
      </c>
      <c r="D2898" s="3">
        <f t="shared" si="92"/>
        <v>-2.8433721078137569E-3</v>
      </c>
      <c r="E2898" s="3">
        <f t="shared" si="93"/>
        <v>-2.4474369764790329E-3</v>
      </c>
    </row>
    <row r="2899" spans="1:5" x14ac:dyDescent="0.45">
      <c r="A2899" s="2">
        <v>44812</v>
      </c>
      <c r="B2899" s="3">
        <v>59688.22</v>
      </c>
      <c r="C2899" s="3">
        <v>224.25</v>
      </c>
      <c r="D2899" s="3">
        <f t="shared" si="92"/>
        <v>1.1107357100497371E-2</v>
      </c>
      <c r="E2899" s="3">
        <f t="shared" si="93"/>
        <v>-8.9146428903552784E-4</v>
      </c>
    </row>
    <row r="2900" spans="1:5" x14ac:dyDescent="0.45">
      <c r="A2900" s="2">
        <v>44813</v>
      </c>
      <c r="B2900" s="3">
        <v>59793.14</v>
      </c>
      <c r="C2900" s="3">
        <v>222.95</v>
      </c>
      <c r="D2900" s="3">
        <f t="shared" si="92"/>
        <v>1.7562576617521954E-3</v>
      </c>
      <c r="E2900" s="3">
        <f t="shared" si="93"/>
        <v>-5.8139698654198447E-3</v>
      </c>
    </row>
    <row r="2901" spans="1:5" x14ac:dyDescent="0.45">
      <c r="A2901" s="2">
        <v>44816</v>
      </c>
      <c r="B2901" s="3">
        <v>60115.13</v>
      </c>
      <c r="C2901" s="3">
        <v>224</v>
      </c>
      <c r="D2901" s="3">
        <f t="shared" si="92"/>
        <v>5.3706182891961477E-3</v>
      </c>
      <c r="E2901" s="3">
        <f t="shared" si="93"/>
        <v>4.6985207815543354E-3</v>
      </c>
    </row>
    <row r="2902" spans="1:5" x14ac:dyDescent="0.45">
      <c r="A2902" s="2">
        <v>44817</v>
      </c>
      <c r="B2902" s="3">
        <v>60571.08</v>
      </c>
      <c r="C2902" s="3">
        <v>226.65</v>
      </c>
      <c r="D2902" s="3">
        <f t="shared" si="92"/>
        <v>7.5559944967375286E-3</v>
      </c>
      <c r="E2902" s="3">
        <f t="shared" si="93"/>
        <v>1.1760925531818347E-2</v>
      </c>
    </row>
    <row r="2903" spans="1:5" x14ac:dyDescent="0.45">
      <c r="A2903" s="2">
        <v>44818</v>
      </c>
      <c r="B2903" s="3">
        <v>60346.97</v>
      </c>
      <c r="C2903" s="3">
        <v>232.5</v>
      </c>
      <c r="D2903" s="3">
        <f t="shared" si="92"/>
        <v>-3.7068122850878221E-3</v>
      </c>
      <c r="E2903" s="3">
        <f t="shared" si="93"/>
        <v>2.5483247640552629E-2</v>
      </c>
    </row>
    <row r="2904" spans="1:5" x14ac:dyDescent="0.45">
      <c r="A2904" s="2">
        <v>44819</v>
      </c>
      <c r="B2904" s="3">
        <v>59934.01</v>
      </c>
      <c r="C2904" s="3">
        <v>237.7</v>
      </c>
      <c r="D2904" s="3">
        <f t="shared" si="92"/>
        <v>-6.8666155297613524E-3</v>
      </c>
      <c r="E2904" s="3">
        <f t="shared" si="93"/>
        <v>2.2119149338737105E-2</v>
      </c>
    </row>
    <row r="2905" spans="1:5" x14ac:dyDescent="0.45">
      <c r="A2905" s="2">
        <v>44820</v>
      </c>
      <c r="B2905" s="3">
        <v>58840.79</v>
      </c>
      <c r="C2905" s="3">
        <v>235.65</v>
      </c>
      <c r="D2905" s="3">
        <f t="shared" si="92"/>
        <v>-1.84088017444974E-2</v>
      </c>
      <c r="E2905" s="3">
        <f t="shared" si="93"/>
        <v>-8.6617209964083494E-3</v>
      </c>
    </row>
    <row r="2906" spans="1:5" x14ac:dyDescent="0.45">
      <c r="A2906" s="2">
        <v>44823</v>
      </c>
      <c r="B2906" s="3">
        <v>59141.23</v>
      </c>
      <c r="C2906" s="3">
        <v>233</v>
      </c>
      <c r="D2906" s="3">
        <f t="shared" si="92"/>
        <v>5.0929904304841305E-3</v>
      </c>
      <c r="E2906" s="3">
        <f t="shared" si="93"/>
        <v>-1.1309199804039265E-2</v>
      </c>
    </row>
    <row r="2907" spans="1:5" x14ac:dyDescent="0.45">
      <c r="A2907" s="2">
        <v>44824</v>
      </c>
      <c r="B2907" s="3">
        <v>59719.74</v>
      </c>
      <c r="C2907" s="3">
        <v>232.55</v>
      </c>
      <c r="D2907" s="3">
        <f t="shared" si="92"/>
        <v>9.7343066969017636E-3</v>
      </c>
      <c r="E2907" s="3">
        <f t="shared" si="93"/>
        <v>-1.9331978955944614E-3</v>
      </c>
    </row>
    <row r="2908" spans="1:5" x14ac:dyDescent="0.45">
      <c r="A2908" s="2">
        <v>44825</v>
      </c>
      <c r="B2908" s="3">
        <v>59456.78</v>
      </c>
      <c r="C2908" s="3">
        <v>226.4</v>
      </c>
      <c r="D2908" s="3">
        <f t="shared" si="92"/>
        <v>-4.4129569607210461E-3</v>
      </c>
      <c r="E2908" s="3">
        <f t="shared" si="93"/>
        <v>-2.680190934107823E-2</v>
      </c>
    </row>
    <row r="2909" spans="1:5" x14ac:dyDescent="0.45">
      <c r="A2909" s="2">
        <v>44826</v>
      </c>
      <c r="B2909" s="3">
        <v>59119.72</v>
      </c>
      <c r="C2909" s="3">
        <v>220.05</v>
      </c>
      <c r="D2909" s="3">
        <f t="shared" si="92"/>
        <v>-5.6851215515974166E-3</v>
      </c>
      <c r="E2909" s="3">
        <f t="shared" si="93"/>
        <v>-2.8448553071927431E-2</v>
      </c>
    </row>
    <row r="2910" spans="1:5" x14ac:dyDescent="0.45">
      <c r="A2910" s="2">
        <v>44827</v>
      </c>
      <c r="B2910" s="3">
        <v>58098.92</v>
      </c>
      <c r="C2910" s="3">
        <v>202.6</v>
      </c>
      <c r="D2910" s="3">
        <f t="shared" si="92"/>
        <v>-1.7417465454006385E-2</v>
      </c>
      <c r="E2910" s="3">
        <f t="shared" si="93"/>
        <v>-8.2621201442517542E-2</v>
      </c>
    </row>
    <row r="2911" spans="1:5" x14ac:dyDescent="0.45">
      <c r="A2911" s="2">
        <v>44830</v>
      </c>
      <c r="B2911" s="3">
        <v>57145.22</v>
      </c>
      <c r="C2911" s="3">
        <v>201.25</v>
      </c>
      <c r="D2911" s="3">
        <f t="shared" si="92"/>
        <v>-1.6551327847038173E-2</v>
      </c>
      <c r="E2911" s="3">
        <f t="shared" si="93"/>
        <v>-6.6856755159102376E-3</v>
      </c>
    </row>
    <row r="2912" spans="1:5" x14ac:dyDescent="0.45">
      <c r="A2912" s="2">
        <v>44831</v>
      </c>
      <c r="B2912" s="3">
        <v>57107.519999999997</v>
      </c>
      <c r="C2912" s="3">
        <v>204.9</v>
      </c>
      <c r="D2912" s="3">
        <f t="shared" si="92"/>
        <v>-6.59940433258149E-4</v>
      </c>
      <c r="E2912" s="3">
        <f t="shared" si="93"/>
        <v>1.7974138946181408E-2</v>
      </c>
    </row>
    <row r="2913" spans="1:5" x14ac:dyDescent="0.45">
      <c r="A2913" s="2">
        <v>44832</v>
      </c>
      <c r="B2913" s="3">
        <v>56598.28</v>
      </c>
      <c r="C2913" s="3">
        <v>207.8</v>
      </c>
      <c r="D2913" s="3">
        <f t="shared" si="92"/>
        <v>-8.9572107097108111E-3</v>
      </c>
      <c r="E2913" s="3">
        <f t="shared" si="93"/>
        <v>1.405402342027303E-2</v>
      </c>
    </row>
    <row r="2914" spans="1:5" x14ac:dyDescent="0.45">
      <c r="A2914" s="2">
        <v>44833</v>
      </c>
      <c r="B2914" s="3">
        <v>56409.96</v>
      </c>
      <c r="C2914" s="3">
        <v>208.5</v>
      </c>
      <c r="D2914" s="3">
        <f t="shared" si="92"/>
        <v>-3.3328573973110303E-3</v>
      </c>
      <c r="E2914" s="3">
        <f t="shared" si="93"/>
        <v>3.3629625737291642E-3</v>
      </c>
    </row>
    <row r="2915" spans="1:5" x14ac:dyDescent="0.45">
      <c r="A2915" s="2">
        <v>44834</v>
      </c>
      <c r="B2915" s="3">
        <v>57426.92</v>
      </c>
      <c r="C2915" s="3">
        <v>212.15</v>
      </c>
      <c r="D2915" s="3">
        <f t="shared" si="92"/>
        <v>1.7867444273833206E-2</v>
      </c>
      <c r="E2915" s="3">
        <f t="shared" si="93"/>
        <v>1.7354530409477788E-2</v>
      </c>
    </row>
    <row r="2916" spans="1:5" x14ac:dyDescent="0.45">
      <c r="A2916" s="2">
        <v>44837</v>
      </c>
      <c r="B2916" s="3">
        <v>56788.81</v>
      </c>
      <c r="C2916" s="3">
        <v>210.75</v>
      </c>
      <c r="D2916" s="3">
        <f t="shared" si="92"/>
        <v>-1.1173883654918598E-2</v>
      </c>
      <c r="E2916" s="3">
        <f t="shared" si="93"/>
        <v>-6.6209747663690914E-3</v>
      </c>
    </row>
    <row r="2917" spans="1:5" x14ac:dyDescent="0.45">
      <c r="A2917" s="2">
        <v>44838</v>
      </c>
      <c r="B2917" s="3">
        <v>58065.47</v>
      </c>
      <c r="C2917" s="3">
        <v>208.5</v>
      </c>
      <c r="D2917" s="3">
        <f t="shared" si="92"/>
        <v>2.2231867765537542E-2</v>
      </c>
      <c r="E2917" s="3">
        <f t="shared" si="93"/>
        <v>-1.0733555643108664E-2</v>
      </c>
    </row>
    <row r="2918" spans="1:5" x14ac:dyDescent="0.45">
      <c r="A2918" s="2">
        <v>44840</v>
      </c>
      <c r="B2918" s="3">
        <v>58222.1</v>
      </c>
      <c r="C2918" s="3">
        <v>206.3</v>
      </c>
      <c r="D2918" s="3">
        <f t="shared" si="92"/>
        <v>2.6938407040250321E-3</v>
      </c>
      <c r="E2918" s="3">
        <f t="shared" si="93"/>
        <v>-1.0607621161649912E-2</v>
      </c>
    </row>
    <row r="2919" spans="1:5" x14ac:dyDescent="0.45">
      <c r="A2919" s="2">
        <v>44841</v>
      </c>
      <c r="B2919" s="3">
        <v>58191.29</v>
      </c>
      <c r="C2919" s="3">
        <v>209.3</v>
      </c>
      <c r="D2919" s="3">
        <f t="shared" si="92"/>
        <v>-5.2932056560434744E-4</v>
      </c>
      <c r="E2919" s="3">
        <f t="shared" si="93"/>
        <v>1.4437209374747821E-2</v>
      </c>
    </row>
    <row r="2920" spans="1:5" x14ac:dyDescent="0.45">
      <c r="A2920" s="2">
        <v>44844</v>
      </c>
      <c r="B2920" s="3">
        <v>57991.11</v>
      </c>
      <c r="C2920" s="3">
        <v>208.95</v>
      </c>
      <c r="D2920" s="3">
        <f t="shared" si="92"/>
        <v>-3.4459642439688023E-3</v>
      </c>
      <c r="E2920" s="3">
        <f t="shared" si="93"/>
        <v>-1.6736405580297597E-3</v>
      </c>
    </row>
    <row r="2921" spans="1:5" x14ac:dyDescent="0.45">
      <c r="A2921" s="2">
        <v>44845</v>
      </c>
      <c r="B2921" s="3">
        <v>57147.32</v>
      </c>
      <c r="C2921" s="3">
        <v>208.3</v>
      </c>
      <c r="D2921" s="3">
        <f t="shared" si="92"/>
        <v>-1.4657227933382467E-2</v>
      </c>
      <c r="E2921" s="3">
        <f t="shared" si="93"/>
        <v>-3.1156406269979803E-3</v>
      </c>
    </row>
    <row r="2922" spans="1:5" x14ac:dyDescent="0.45">
      <c r="A2922" s="2">
        <v>44846</v>
      </c>
      <c r="B2922" s="3">
        <v>57625.91</v>
      </c>
      <c r="C2922" s="3">
        <v>215.6</v>
      </c>
      <c r="D2922" s="3">
        <f t="shared" si="92"/>
        <v>8.339797946151575E-3</v>
      </c>
      <c r="E2922" s="3">
        <f t="shared" si="93"/>
        <v>3.4445490767915671E-2</v>
      </c>
    </row>
    <row r="2923" spans="1:5" x14ac:dyDescent="0.45">
      <c r="A2923" s="2">
        <v>44847</v>
      </c>
      <c r="B2923" s="3">
        <v>57235.33</v>
      </c>
      <c r="C2923" s="3">
        <v>213.75</v>
      </c>
      <c r="D2923" s="3">
        <f t="shared" si="92"/>
        <v>-6.8009278925517565E-3</v>
      </c>
      <c r="E2923" s="3">
        <f t="shared" si="93"/>
        <v>-8.6177312179724873E-3</v>
      </c>
    </row>
    <row r="2924" spans="1:5" x14ac:dyDescent="0.45">
      <c r="A2924" s="2">
        <v>44848</v>
      </c>
      <c r="B2924" s="3">
        <v>57919.97</v>
      </c>
      <c r="C2924" s="3">
        <v>212.55</v>
      </c>
      <c r="D2924" s="3">
        <f t="shared" si="92"/>
        <v>1.1890865064903354E-2</v>
      </c>
      <c r="E2924" s="3">
        <f t="shared" si="93"/>
        <v>-5.629853012070459E-3</v>
      </c>
    </row>
    <row r="2925" spans="1:5" x14ac:dyDescent="0.45">
      <c r="A2925" s="2">
        <v>44851</v>
      </c>
      <c r="B2925" s="3">
        <v>58410.98</v>
      </c>
      <c r="C2925" s="3">
        <v>211.9</v>
      </c>
      <c r="D2925" s="3">
        <f t="shared" si="92"/>
        <v>8.4416557389255277E-3</v>
      </c>
      <c r="E2925" s="3">
        <f t="shared" si="93"/>
        <v>-3.0627895305457668E-3</v>
      </c>
    </row>
    <row r="2926" spans="1:5" x14ac:dyDescent="0.45">
      <c r="A2926" s="2">
        <v>44852</v>
      </c>
      <c r="B2926" s="3">
        <v>58960.6</v>
      </c>
      <c r="C2926" s="3">
        <v>212.4</v>
      </c>
      <c r="D2926" s="3">
        <f t="shared" si="92"/>
        <v>9.3655383596243091E-3</v>
      </c>
      <c r="E2926" s="3">
        <f t="shared" si="93"/>
        <v>2.3568240935303002E-3</v>
      </c>
    </row>
    <row r="2927" spans="1:5" x14ac:dyDescent="0.45">
      <c r="A2927" s="2">
        <v>44853</v>
      </c>
      <c r="B2927" s="3">
        <v>59107.19</v>
      </c>
      <c r="C2927" s="3">
        <v>213.85</v>
      </c>
      <c r="D2927" s="3">
        <f t="shared" si="92"/>
        <v>2.4831509986474134E-3</v>
      </c>
      <c r="E2927" s="3">
        <f t="shared" si="93"/>
        <v>6.8035453051339097E-3</v>
      </c>
    </row>
    <row r="2928" spans="1:5" x14ac:dyDescent="0.45">
      <c r="A2928" s="2">
        <v>44854</v>
      </c>
      <c r="B2928" s="3">
        <v>59202.9</v>
      </c>
      <c r="C2928" s="3">
        <v>217.55</v>
      </c>
      <c r="D2928" s="3">
        <f t="shared" si="92"/>
        <v>1.6179519579247791E-3</v>
      </c>
      <c r="E2928" s="3">
        <f t="shared" si="93"/>
        <v>1.7153874493771461E-2</v>
      </c>
    </row>
    <row r="2929" spans="1:5" x14ac:dyDescent="0.45">
      <c r="A2929" s="2">
        <v>44855</v>
      </c>
      <c r="B2929" s="3">
        <v>59307.15</v>
      </c>
      <c r="C2929" s="3">
        <v>216.95</v>
      </c>
      <c r="D2929" s="3">
        <f t="shared" si="92"/>
        <v>1.7593449144670183E-3</v>
      </c>
      <c r="E2929" s="3">
        <f t="shared" si="93"/>
        <v>-2.7617969223294597E-3</v>
      </c>
    </row>
    <row r="2930" spans="1:5" x14ac:dyDescent="0.45">
      <c r="A2930" s="2">
        <v>44858</v>
      </c>
      <c r="B2930" s="3">
        <v>59831.66</v>
      </c>
      <c r="C2930" s="3">
        <v>218.7</v>
      </c>
      <c r="D2930" s="3">
        <f t="shared" si="92"/>
        <v>8.8050802042209456E-3</v>
      </c>
      <c r="E2930" s="3">
        <f t="shared" si="93"/>
        <v>8.0340154383624698E-3</v>
      </c>
    </row>
    <row r="2931" spans="1:5" x14ac:dyDescent="0.45">
      <c r="A2931" s="2">
        <v>44859</v>
      </c>
      <c r="B2931" s="3">
        <v>59543.96</v>
      </c>
      <c r="C2931" s="3">
        <v>218.45</v>
      </c>
      <c r="D2931" s="3">
        <f t="shared" si="92"/>
        <v>-4.8200890100868147E-3</v>
      </c>
      <c r="E2931" s="3">
        <f t="shared" si="93"/>
        <v>-1.1437722852772716E-3</v>
      </c>
    </row>
    <row r="2932" spans="1:5" x14ac:dyDescent="0.45">
      <c r="A2932" s="2">
        <v>44861</v>
      </c>
      <c r="B2932" s="3">
        <v>59756.84</v>
      </c>
      <c r="C2932" s="3">
        <v>223.85</v>
      </c>
      <c r="D2932" s="3">
        <f t="shared" si="92"/>
        <v>3.5687979618284392E-3</v>
      </c>
      <c r="E2932" s="3">
        <f t="shared" si="93"/>
        <v>2.4419029289529784E-2</v>
      </c>
    </row>
    <row r="2933" spans="1:5" x14ac:dyDescent="0.45">
      <c r="A2933" s="2">
        <v>44862</v>
      </c>
      <c r="B2933" s="3">
        <v>59959.85</v>
      </c>
      <c r="C2933" s="3">
        <v>226.7</v>
      </c>
      <c r="D2933" s="3">
        <f t="shared" si="92"/>
        <v>3.3915103164117466E-3</v>
      </c>
      <c r="E2933" s="3">
        <f t="shared" si="93"/>
        <v>1.26513728265088E-2</v>
      </c>
    </row>
    <row r="2934" spans="1:5" x14ac:dyDescent="0.45">
      <c r="A2934" s="2">
        <v>44865</v>
      </c>
      <c r="B2934" s="3">
        <v>60746.59</v>
      </c>
      <c r="C2934" s="3">
        <v>228.1</v>
      </c>
      <c r="D2934" s="3">
        <f t="shared" si="92"/>
        <v>1.3035777394483599E-2</v>
      </c>
      <c r="E2934" s="3">
        <f t="shared" si="93"/>
        <v>6.1565717768591304E-3</v>
      </c>
    </row>
    <row r="2935" spans="1:5" x14ac:dyDescent="0.45">
      <c r="A2935" s="2">
        <v>44866</v>
      </c>
      <c r="B2935" s="3">
        <v>61121.35</v>
      </c>
      <c r="C2935" s="3">
        <v>235.1</v>
      </c>
      <c r="D2935" s="3">
        <f t="shared" si="92"/>
        <v>6.1502833526977429E-3</v>
      </c>
      <c r="E2935" s="3">
        <f t="shared" si="93"/>
        <v>3.0226826255681585E-2</v>
      </c>
    </row>
    <row r="2936" spans="1:5" x14ac:dyDescent="0.45">
      <c r="A2936" s="2">
        <v>44867</v>
      </c>
      <c r="B2936" s="3">
        <v>60906.09</v>
      </c>
      <c r="C2936" s="3">
        <v>233.25</v>
      </c>
      <c r="D2936" s="3">
        <f t="shared" si="92"/>
        <v>-3.5280625944859555E-3</v>
      </c>
      <c r="E2936" s="3">
        <f t="shared" si="93"/>
        <v>-7.900115818570563E-3</v>
      </c>
    </row>
    <row r="2937" spans="1:5" x14ac:dyDescent="0.45">
      <c r="A2937" s="2">
        <v>44868</v>
      </c>
      <c r="B2937" s="3">
        <v>60836.41</v>
      </c>
      <c r="C2937" s="3">
        <v>228.05</v>
      </c>
      <c r="D2937" s="3">
        <f t="shared" si="92"/>
        <v>-1.1447112981717873E-3</v>
      </c>
      <c r="E2937" s="3">
        <f t="shared" si="93"/>
        <v>-2.2545936569743706E-2</v>
      </c>
    </row>
    <row r="2938" spans="1:5" x14ac:dyDescent="0.45">
      <c r="A2938" s="2">
        <v>44869</v>
      </c>
      <c r="B2938" s="3">
        <v>60950.36</v>
      </c>
      <c r="C2938" s="3">
        <v>226.15</v>
      </c>
      <c r="D2938" s="3">
        <f t="shared" si="92"/>
        <v>1.8713039725464105E-3</v>
      </c>
      <c r="E2938" s="3">
        <f t="shared" si="93"/>
        <v>-8.3664072338572523E-3</v>
      </c>
    </row>
    <row r="2939" spans="1:5" x14ac:dyDescent="0.45">
      <c r="A2939" s="2">
        <v>44872</v>
      </c>
      <c r="B2939" s="3">
        <v>61185.15</v>
      </c>
      <c r="C2939" s="3">
        <v>228</v>
      </c>
      <c r="D2939" s="3">
        <f t="shared" si="92"/>
        <v>3.8447506253369485E-3</v>
      </c>
      <c r="E2939" s="3">
        <f t="shared" si="93"/>
        <v>8.1471330305886887E-3</v>
      </c>
    </row>
    <row r="2940" spans="1:5" x14ac:dyDescent="0.45">
      <c r="A2940" s="2">
        <v>44874</v>
      </c>
      <c r="B2940" s="3">
        <v>61033.55</v>
      </c>
      <c r="C2940" s="3">
        <v>218.75</v>
      </c>
      <c r="D2940" s="3">
        <f t="shared" si="92"/>
        <v>-2.4808000371495439E-3</v>
      </c>
      <c r="E2940" s="3">
        <f t="shared" si="93"/>
        <v>-4.1416103716717008E-2</v>
      </c>
    </row>
    <row r="2941" spans="1:5" x14ac:dyDescent="0.45">
      <c r="A2941" s="2">
        <v>44875</v>
      </c>
      <c r="B2941" s="3">
        <v>60613.7</v>
      </c>
      <c r="C2941" s="3">
        <v>214.65</v>
      </c>
      <c r="D2941" s="3">
        <f t="shared" si="92"/>
        <v>-6.9027728467784405E-3</v>
      </c>
      <c r="E2941" s="3">
        <f t="shared" si="93"/>
        <v>-1.8920730567154233E-2</v>
      </c>
    </row>
    <row r="2942" spans="1:5" x14ac:dyDescent="0.45">
      <c r="A2942" s="2">
        <v>44876</v>
      </c>
      <c r="B2942" s="3">
        <v>61795.040000000001</v>
      </c>
      <c r="C2942" s="3">
        <v>214.05</v>
      </c>
      <c r="D2942" s="3">
        <f t="shared" si="92"/>
        <v>1.9302162211082573E-2</v>
      </c>
      <c r="E2942" s="3">
        <f t="shared" si="93"/>
        <v>-2.7991620796144661E-3</v>
      </c>
    </row>
    <row r="2943" spans="1:5" x14ac:dyDescent="0.45">
      <c r="A2943" s="2">
        <v>44879</v>
      </c>
      <c r="B2943" s="3">
        <v>61624.15</v>
      </c>
      <c r="C2943" s="3">
        <v>211.25</v>
      </c>
      <c r="D2943" s="3">
        <f t="shared" si="92"/>
        <v>-2.7692631787707375E-3</v>
      </c>
      <c r="E2943" s="3">
        <f t="shared" si="93"/>
        <v>-1.3167366353671951E-2</v>
      </c>
    </row>
    <row r="2944" spans="1:5" x14ac:dyDescent="0.45">
      <c r="A2944" s="2">
        <v>44880</v>
      </c>
      <c r="B2944" s="3">
        <v>61872.99</v>
      </c>
      <c r="C2944" s="3">
        <v>215.9</v>
      </c>
      <c r="D2944" s="3">
        <f t="shared" si="92"/>
        <v>4.0298963484451979E-3</v>
      </c>
      <c r="E2944" s="3">
        <f t="shared" si="93"/>
        <v>2.1773071283478395E-2</v>
      </c>
    </row>
    <row r="2945" spans="1:5" x14ac:dyDescent="0.45">
      <c r="A2945" s="2">
        <v>44881</v>
      </c>
      <c r="B2945" s="3">
        <v>61980.72</v>
      </c>
      <c r="C2945" s="3">
        <v>217.2</v>
      </c>
      <c r="D2945" s="3">
        <f t="shared" si="92"/>
        <v>1.7396334299364243E-3</v>
      </c>
      <c r="E2945" s="3">
        <f t="shared" si="93"/>
        <v>6.0032505390185242E-3</v>
      </c>
    </row>
    <row r="2946" spans="1:5" x14ac:dyDescent="0.45">
      <c r="A2946" s="2">
        <v>44882</v>
      </c>
      <c r="B2946" s="3">
        <v>61750.6</v>
      </c>
      <c r="C2946" s="3">
        <v>218.4</v>
      </c>
      <c r="D2946" s="3">
        <f t="shared" si="92"/>
        <v>-3.7196768825908796E-3</v>
      </c>
      <c r="E2946" s="3">
        <f t="shared" si="93"/>
        <v>5.5096558109696998E-3</v>
      </c>
    </row>
    <row r="2947" spans="1:5" x14ac:dyDescent="0.45">
      <c r="A2947" s="2">
        <v>44883</v>
      </c>
      <c r="B2947" s="3">
        <v>61663.48</v>
      </c>
      <c r="C2947" s="3">
        <v>218.25</v>
      </c>
      <c r="D2947" s="3">
        <f t="shared" si="92"/>
        <v>-1.4118326607652715E-3</v>
      </c>
      <c r="E2947" s="3">
        <f t="shared" si="93"/>
        <v>-6.870491510383883E-4</v>
      </c>
    </row>
    <row r="2948" spans="1:5" x14ac:dyDescent="0.45">
      <c r="A2948" s="2">
        <v>44886</v>
      </c>
      <c r="B2948" s="3">
        <v>61144.84</v>
      </c>
      <c r="C2948" s="3">
        <v>218.95</v>
      </c>
      <c r="D2948" s="3">
        <f t="shared" si="92"/>
        <v>-8.4463834921183045E-3</v>
      </c>
      <c r="E2948" s="3">
        <f t="shared" si="93"/>
        <v>3.202198527695765E-3</v>
      </c>
    </row>
    <row r="2949" spans="1:5" x14ac:dyDescent="0.45">
      <c r="A2949" s="2">
        <v>44887</v>
      </c>
      <c r="B2949" s="3">
        <v>61418.96</v>
      </c>
      <c r="C2949" s="3">
        <v>217.85</v>
      </c>
      <c r="D2949" s="3">
        <f t="shared" si="92"/>
        <v>4.4731063668849852E-3</v>
      </c>
      <c r="E2949" s="3">
        <f t="shared" si="93"/>
        <v>-5.0366406839562452E-3</v>
      </c>
    </row>
    <row r="2950" spans="1:5" x14ac:dyDescent="0.45">
      <c r="A2950" s="2">
        <v>44888</v>
      </c>
      <c r="B2950" s="3">
        <v>61510.58</v>
      </c>
      <c r="C2950" s="3">
        <v>215.15</v>
      </c>
      <c r="D2950" s="3">
        <f t="shared" ref="D2950:D3013" si="94">LN(B2950/B2949)</f>
        <v>1.4906102628279418E-3</v>
      </c>
      <c r="E2950" s="3">
        <f t="shared" ref="E2950:E3013" si="95">LN(C2950/C2949)</f>
        <v>-1.247129327884247E-2</v>
      </c>
    </row>
    <row r="2951" spans="1:5" x14ac:dyDescent="0.45">
      <c r="A2951" s="2">
        <v>44889</v>
      </c>
      <c r="B2951" s="3">
        <v>62272.68</v>
      </c>
      <c r="C2951" s="3">
        <v>220.65</v>
      </c>
      <c r="D2951" s="3">
        <f t="shared" si="94"/>
        <v>1.2313613802578673E-2</v>
      </c>
      <c r="E2951" s="3">
        <f t="shared" si="95"/>
        <v>2.5242276430947615E-2</v>
      </c>
    </row>
    <row r="2952" spans="1:5" x14ac:dyDescent="0.45">
      <c r="A2952" s="2">
        <v>44890</v>
      </c>
      <c r="B2952" s="3">
        <v>62293.64</v>
      </c>
      <c r="C2952" s="3">
        <v>220.55</v>
      </c>
      <c r="D2952" s="3">
        <f t="shared" si="94"/>
        <v>3.3652756536135835E-4</v>
      </c>
      <c r="E2952" s="3">
        <f t="shared" si="95"/>
        <v>-4.5330916460746751E-4</v>
      </c>
    </row>
    <row r="2953" spans="1:5" x14ac:dyDescent="0.45">
      <c r="A2953" s="2">
        <v>44893</v>
      </c>
      <c r="B2953" s="3">
        <v>62504.800000000003</v>
      </c>
      <c r="C2953" s="3">
        <v>221.45</v>
      </c>
      <c r="D2953" s="3">
        <f t="shared" si="94"/>
        <v>3.3840198885464494E-3</v>
      </c>
      <c r="E2953" s="3">
        <f t="shared" si="95"/>
        <v>4.0724038182584528E-3</v>
      </c>
    </row>
    <row r="2954" spans="1:5" x14ac:dyDescent="0.45">
      <c r="A2954" s="2">
        <v>44894</v>
      </c>
      <c r="B2954" s="3">
        <v>62681.84</v>
      </c>
      <c r="C2954" s="3">
        <v>219.3</v>
      </c>
      <c r="D2954" s="3">
        <f t="shared" si="94"/>
        <v>2.8284187198561912E-3</v>
      </c>
      <c r="E2954" s="3">
        <f t="shared" si="95"/>
        <v>-9.7561749453645725E-3</v>
      </c>
    </row>
    <row r="2955" spans="1:5" x14ac:dyDescent="0.45">
      <c r="A2955" s="2">
        <v>44895</v>
      </c>
      <c r="B2955" s="3">
        <v>63099.65</v>
      </c>
      <c r="C2955" s="3">
        <v>224</v>
      </c>
      <c r="D2955" s="3">
        <f t="shared" si="94"/>
        <v>6.6434502673527168E-3</v>
      </c>
      <c r="E2955" s="3">
        <f t="shared" si="95"/>
        <v>2.1205396431197326E-2</v>
      </c>
    </row>
    <row r="2956" spans="1:5" x14ac:dyDescent="0.45">
      <c r="A2956" s="2">
        <v>44896</v>
      </c>
      <c r="B2956" s="3">
        <v>63284.19</v>
      </c>
      <c r="C2956" s="3">
        <v>221.9</v>
      </c>
      <c r="D2956" s="3">
        <f t="shared" si="94"/>
        <v>2.9203121403785807E-3</v>
      </c>
      <c r="E2956" s="3">
        <f t="shared" si="95"/>
        <v>-9.4192219164916397E-3</v>
      </c>
    </row>
    <row r="2957" spans="1:5" x14ac:dyDescent="0.45">
      <c r="A2957" s="2">
        <v>44897</v>
      </c>
      <c r="B2957" s="3">
        <v>62868.5</v>
      </c>
      <c r="C2957" s="3">
        <v>219.7</v>
      </c>
      <c r="D2957" s="3">
        <f t="shared" si="94"/>
        <v>-6.5902915667927072E-3</v>
      </c>
      <c r="E2957" s="3">
        <f t="shared" si="95"/>
        <v>-9.9638505479838404E-3</v>
      </c>
    </row>
    <row r="2958" spans="1:5" x14ac:dyDescent="0.45">
      <c r="A2958" s="2">
        <v>44900</v>
      </c>
      <c r="B2958" s="3">
        <v>62834.6</v>
      </c>
      <c r="C2958" s="3">
        <v>221.8</v>
      </c>
      <c r="D2958" s="3">
        <f t="shared" si="94"/>
        <v>-5.3936618622516192E-4</v>
      </c>
      <c r="E2958" s="3">
        <f t="shared" si="95"/>
        <v>9.5130955257021511E-3</v>
      </c>
    </row>
    <row r="2959" spans="1:5" x14ac:dyDescent="0.45">
      <c r="A2959" s="2">
        <v>44901</v>
      </c>
      <c r="B2959" s="3">
        <v>62626.36</v>
      </c>
      <c r="C2959" s="3">
        <v>223.45</v>
      </c>
      <c r="D2959" s="3">
        <f t="shared" si="94"/>
        <v>-3.3196014318625133E-3</v>
      </c>
      <c r="E2959" s="3">
        <f t="shared" si="95"/>
        <v>7.4116004631937082E-3</v>
      </c>
    </row>
    <row r="2960" spans="1:5" x14ac:dyDescent="0.45">
      <c r="A2960" s="2">
        <v>44902</v>
      </c>
      <c r="B2960" s="3">
        <v>62410.68</v>
      </c>
      <c r="C2960" s="3">
        <v>221.2</v>
      </c>
      <c r="D2960" s="3">
        <f t="shared" si="94"/>
        <v>-3.449861159706552E-3</v>
      </c>
      <c r="E2960" s="3">
        <f t="shared" si="95"/>
        <v>-1.0120405731280811E-2</v>
      </c>
    </row>
    <row r="2961" spans="1:5" x14ac:dyDescent="0.45">
      <c r="A2961" s="2">
        <v>44903</v>
      </c>
      <c r="B2961" s="3">
        <v>62570.68</v>
      </c>
      <c r="C2961" s="3">
        <v>217.75</v>
      </c>
      <c r="D2961" s="3">
        <f t="shared" si="94"/>
        <v>2.5603832028629992E-3</v>
      </c>
      <c r="E2961" s="3">
        <f t="shared" si="95"/>
        <v>-1.5719653915567497E-2</v>
      </c>
    </row>
    <row r="2962" spans="1:5" x14ac:dyDescent="0.45">
      <c r="A2962" s="2">
        <v>44904</v>
      </c>
      <c r="B2962" s="3">
        <v>62181.67</v>
      </c>
      <c r="C2962" s="3">
        <v>217.15</v>
      </c>
      <c r="D2962" s="3">
        <f t="shared" si="94"/>
        <v>-6.2365359988455389E-3</v>
      </c>
      <c r="E2962" s="3">
        <f t="shared" si="95"/>
        <v>-2.7592567517812647E-3</v>
      </c>
    </row>
    <row r="2963" spans="1:5" x14ac:dyDescent="0.45">
      <c r="A2963" s="2">
        <v>44907</v>
      </c>
      <c r="B2963" s="3">
        <v>62130.57</v>
      </c>
      <c r="C2963" s="3">
        <v>215.55</v>
      </c>
      <c r="D2963" s="3">
        <f t="shared" si="94"/>
        <v>-8.2212343495940748E-4</v>
      </c>
      <c r="E2963" s="3">
        <f t="shared" si="95"/>
        <v>-7.3954577876872551E-3</v>
      </c>
    </row>
    <row r="2964" spans="1:5" x14ac:dyDescent="0.45">
      <c r="A2964" s="2">
        <v>44908</v>
      </c>
      <c r="B2964" s="3">
        <v>62533.3</v>
      </c>
      <c r="C2964" s="3">
        <v>216.3</v>
      </c>
      <c r="D2964" s="3">
        <f t="shared" si="94"/>
        <v>6.4610765093866696E-3</v>
      </c>
      <c r="E2964" s="3">
        <f t="shared" si="95"/>
        <v>3.4734317658693574E-3</v>
      </c>
    </row>
    <row r="2965" spans="1:5" x14ac:dyDescent="0.45">
      <c r="A2965" s="2">
        <v>44909</v>
      </c>
      <c r="B2965" s="3">
        <v>62677.91</v>
      </c>
      <c r="C2965" s="3">
        <v>219.05</v>
      </c>
      <c r="D2965" s="3">
        <f t="shared" si="94"/>
        <v>2.3098581076973343E-3</v>
      </c>
      <c r="E2965" s="3">
        <f t="shared" si="95"/>
        <v>1.2633681300894305E-2</v>
      </c>
    </row>
    <row r="2966" spans="1:5" x14ac:dyDescent="0.45">
      <c r="A2966" s="2">
        <v>44910</v>
      </c>
      <c r="B2966" s="3">
        <v>61799.03</v>
      </c>
      <c r="C2966" s="3">
        <v>216.2</v>
      </c>
      <c r="D2966" s="3">
        <f t="shared" si="94"/>
        <v>-1.4121404414944838E-2</v>
      </c>
      <c r="E2966" s="3">
        <f t="shared" si="95"/>
        <v>-1.3096109054799673E-2</v>
      </c>
    </row>
    <row r="2967" spans="1:5" x14ac:dyDescent="0.45">
      <c r="A2967" s="2">
        <v>44911</v>
      </c>
      <c r="B2967" s="3">
        <v>61337.81</v>
      </c>
      <c r="C2967" s="3">
        <v>213.3</v>
      </c>
      <c r="D2967" s="3">
        <f t="shared" si="94"/>
        <v>-7.4912131398508757E-3</v>
      </c>
      <c r="E2967" s="3">
        <f t="shared" si="95"/>
        <v>-1.3504279727802928E-2</v>
      </c>
    </row>
    <row r="2968" spans="1:5" x14ac:dyDescent="0.45">
      <c r="A2968" s="2">
        <v>44914</v>
      </c>
      <c r="B2968" s="3">
        <v>61806.19</v>
      </c>
      <c r="C2968" s="3">
        <v>218.8</v>
      </c>
      <c r="D2968" s="3">
        <f t="shared" si="94"/>
        <v>7.6070658523497018E-3</v>
      </c>
      <c r="E2968" s="3">
        <f t="shared" si="95"/>
        <v>2.5458445070521189E-2</v>
      </c>
    </row>
    <row r="2969" spans="1:5" x14ac:dyDescent="0.45">
      <c r="A2969" s="2">
        <v>44915</v>
      </c>
      <c r="B2969" s="3">
        <v>61702.29</v>
      </c>
      <c r="C2969" s="3">
        <v>217.15</v>
      </c>
      <c r="D2969" s="3">
        <f t="shared" si="94"/>
        <v>-1.6824759645550644E-3</v>
      </c>
      <c r="E2969" s="3">
        <f t="shared" si="95"/>
        <v>-7.5697115669952578E-3</v>
      </c>
    </row>
    <row r="2970" spans="1:5" x14ac:dyDescent="0.45">
      <c r="A2970" s="2">
        <v>44916</v>
      </c>
      <c r="B2970" s="3">
        <v>61067.24</v>
      </c>
      <c r="C2970" s="3">
        <v>216.05</v>
      </c>
      <c r="D2970" s="3">
        <f t="shared" si="94"/>
        <v>-1.0345493121393134E-2</v>
      </c>
      <c r="E2970" s="3">
        <f t="shared" si="95"/>
        <v>-5.078496602888726E-3</v>
      </c>
    </row>
    <row r="2971" spans="1:5" x14ac:dyDescent="0.45">
      <c r="A2971" s="2">
        <v>44917</v>
      </c>
      <c r="B2971" s="3">
        <v>60826.22</v>
      </c>
      <c r="C2971" s="3">
        <v>214.9</v>
      </c>
      <c r="D2971" s="3">
        <f t="shared" si="94"/>
        <v>-3.9546061635697474E-3</v>
      </c>
      <c r="E2971" s="3">
        <f t="shared" si="95"/>
        <v>-5.3370587294773808E-3</v>
      </c>
    </row>
    <row r="2972" spans="1:5" x14ac:dyDescent="0.45">
      <c r="A2972" s="2">
        <v>44918</v>
      </c>
      <c r="B2972" s="3">
        <v>59845.29</v>
      </c>
      <c r="C2972" s="3">
        <v>211.1</v>
      </c>
      <c r="D2972" s="3">
        <f t="shared" si="94"/>
        <v>-1.6258213845189131E-2</v>
      </c>
      <c r="E2972" s="3">
        <f t="shared" si="95"/>
        <v>-1.7840848794189904E-2</v>
      </c>
    </row>
    <row r="2973" spans="1:5" x14ac:dyDescent="0.45">
      <c r="A2973" s="2">
        <v>44921</v>
      </c>
      <c r="B2973" s="3">
        <v>60566.42</v>
      </c>
      <c r="C2973" s="3">
        <v>211.75</v>
      </c>
      <c r="D2973" s="3">
        <f t="shared" si="94"/>
        <v>1.1977881913125446E-2</v>
      </c>
      <c r="E2973" s="3">
        <f t="shared" si="95"/>
        <v>3.0743786778887994E-3</v>
      </c>
    </row>
    <row r="2974" spans="1:5" x14ac:dyDescent="0.45">
      <c r="A2974" s="2">
        <v>44922</v>
      </c>
      <c r="B2974" s="3">
        <v>60927.43</v>
      </c>
      <c r="C2974" s="3">
        <v>212.55</v>
      </c>
      <c r="D2974" s="3">
        <f t="shared" si="94"/>
        <v>5.9428697420153527E-3</v>
      </c>
      <c r="E2974" s="3">
        <f t="shared" si="95"/>
        <v>3.7709212726353409E-3</v>
      </c>
    </row>
    <row r="2975" spans="1:5" x14ac:dyDescent="0.45">
      <c r="A2975" s="2">
        <v>44923</v>
      </c>
      <c r="B2975" s="3">
        <v>60910.28</v>
      </c>
      <c r="C2975" s="3">
        <v>215.65</v>
      </c>
      <c r="D2975" s="3">
        <f t="shared" si="94"/>
        <v>-2.8152203637557685E-4</v>
      </c>
      <c r="E2975" s="3">
        <f t="shared" si="95"/>
        <v>1.4479468289053044E-2</v>
      </c>
    </row>
    <row r="2976" spans="1:5" x14ac:dyDescent="0.45">
      <c r="A2976" s="2">
        <v>44924</v>
      </c>
      <c r="B2976" s="3">
        <v>61133.88</v>
      </c>
      <c r="C2976" s="3">
        <v>215.8</v>
      </c>
      <c r="D2976" s="3">
        <f t="shared" si="94"/>
        <v>3.6642515329672882E-3</v>
      </c>
      <c r="E2976" s="3">
        <f t="shared" si="95"/>
        <v>6.9532973018221879E-4</v>
      </c>
    </row>
    <row r="2977" spans="1:5" x14ac:dyDescent="0.45">
      <c r="A2977" s="2">
        <v>44925</v>
      </c>
      <c r="B2977" s="3">
        <v>60840.74</v>
      </c>
      <c r="C2977" s="3">
        <v>213.85</v>
      </c>
      <c r="D2977" s="3">
        <f t="shared" si="94"/>
        <v>-4.8065829493614542E-3</v>
      </c>
      <c r="E2977" s="3">
        <f t="shared" si="95"/>
        <v>-9.0772181511167629E-3</v>
      </c>
    </row>
    <row r="2978" spans="1:5" x14ac:dyDescent="0.45">
      <c r="A2978" s="2">
        <v>44928</v>
      </c>
      <c r="B2978" s="3">
        <v>61167.79</v>
      </c>
      <c r="C2978" s="3">
        <v>215.1</v>
      </c>
      <c r="D2978" s="3">
        <f t="shared" si="94"/>
        <v>5.361113412746905E-3</v>
      </c>
      <c r="E2978" s="3">
        <f t="shared" si="95"/>
        <v>5.8282016007668233E-3</v>
      </c>
    </row>
    <row r="2979" spans="1:5" x14ac:dyDescent="0.45">
      <c r="A2979" s="2">
        <v>44929</v>
      </c>
      <c r="B2979" s="3">
        <v>61294.2</v>
      </c>
      <c r="C2979" s="3">
        <v>215.6</v>
      </c>
      <c r="D2979" s="3">
        <f t="shared" si="94"/>
        <v>2.0644780457567901E-3</v>
      </c>
      <c r="E2979" s="3">
        <f t="shared" si="95"/>
        <v>2.3218027611578216E-3</v>
      </c>
    </row>
    <row r="2980" spans="1:5" x14ac:dyDescent="0.45">
      <c r="A2980" s="2">
        <v>44930</v>
      </c>
      <c r="B2980" s="3">
        <v>60657.45</v>
      </c>
      <c r="C2980" s="3">
        <v>211.1</v>
      </c>
      <c r="D2980" s="3">
        <f t="shared" si="94"/>
        <v>-1.0442758035968112E-2</v>
      </c>
      <c r="E2980" s="3">
        <f t="shared" si="95"/>
        <v>-2.1092884180567109E-2</v>
      </c>
    </row>
    <row r="2981" spans="1:5" x14ac:dyDescent="0.45">
      <c r="A2981" s="2">
        <v>44931</v>
      </c>
      <c r="B2981" s="3">
        <v>60353.27</v>
      </c>
      <c r="C2981" s="3">
        <v>208.8</v>
      </c>
      <c r="D2981" s="3">
        <f t="shared" si="94"/>
        <v>-5.0273337875464414E-3</v>
      </c>
      <c r="E2981" s="3">
        <f t="shared" si="95"/>
        <v>-1.0955098845791189E-2</v>
      </c>
    </row>
    <row r="2982" spans="1:5" x14ac:dyDescent="0.45">
      <c r="A2982" s="2">
        <v>44932</v>
      </c>
      <c r="B2982" s="3">
        <v>59900.37</v>
      </c>
      <c r="C2982" s="3">
        <v>208.2</v>
      </c>
      <c r="D2982" s="3">
        <f t="shared" si="94"/>
        <v>-7.5324479388074609E-3</v>
      </c>
      <c r="E2982" s="3">
        <f t="shared" si="95"/>
        <v>-2.8776998276152806E-3</v>
      </c>
    </row>
    <row r="2983" spans="1:5" x14ac:dyDescent="0.45">
      <c r="A2983" s="2">
        <v>44935</v>
      </c>
      <c r="B2983" s="3">
        <v>60747.31</v>
      </c>
      <c r="C2983" s="3">
        <v>209.1</v>
      </c>
      <c r="D2983" s="3">
        <f t="shared" si="94"/>
        <v>1.4040119340956957E-2</v>
      </c>
      <c r="E2983" s="3">
        <f t="shared" si="95"/>
        <v>4.3134502537193475E-3</v>
      </c>
    </row>
    <row r="2984" spans="1:5" x14ac:dyDescent="0.45">
      <c r="A2984" s="2">
        <v>44936</v>
      </c>
      <c r="B2984" s="3">
        <v>60115.48</v>
      </c>
      <c r="C2984" s="3">
        <v>211.8</v>
      </c>
      <c r="D2984" s="3">
        <f t="shared" si="94"/>
        <v>-1.0455422313891682E-2</v>
      </c>
      <c r="E2984" s="3">
        <f t="shared" si="95"/>
        <v>1.2829826732718217E-2</v>
      </c>
    </row>
    <row r="2985" spans="1:5" x14ac:dyDescent="0.45">
      <c r="A2985" s="2">
        <v>44937</v>
      </c>
      <c r="B2985" s="3">
        <v>60105.5</v>
      </c>
      <c r="C2985" s="3">
        <v>212.2</v>
      </c>
      <c r="D2985" s="3">
        <f t="shared" si="94"/>
        <v>-1.6602759390126941E-4</v>
      </c>
      <c r="E2985" s="3">
        <f t="shared" si="95"/>
        <v>1.8867930125766356E-3</v>
      </c>
    </row>
    <row r="2986" spans="1:5" x14ac:dyDescent="0.45">
      <c r="A2986" s="2">
        <v>44938</v>
      </c>
      <c r="B2986" s="3">
        <v>59958.03</v>
      </c>
      <c r="C2986" s="3">
        <v>213.6</v>
      </c>
      <c r="D2986" s="3">
        <f t="shared" si="94"/>
        <v>-2.4565340392656817E-3</v>
      </c>
      <c r="E2986" s="3">
        <f t="shared" si="95"/>
        <v>6.5758809061569586E-3</v>
      </c>
    </row>
    <row r="2987" spans="1:5" x14ac:dyDescent="0.45">
      <c r="A2987" s="2">
        <v>44939</v>
      </c>
      <c r="B2987" s="3">
        <v>60261.18</v>
      </c>
      <c r="C2987" s="3">
        <v>213.9</v>
      </c>
      <c r="D2987" s="3">
        <f t="shared" si="94"/>
        <v>5.043297864754011E-3</v>
      </c>
      <c r="E2987" s="3">
        <f t="shared" si="95"/>
        <v>1.4035090023203122E-3</v>
      </c>
    </row>
    <row r="2988" spans="1:5" x14ac:dyDescent="0.45">
      <c r="A2988" s="2">
        <v>44942</v>
      </c>
      <c r="B2988" s="3">
        <v>60092.97</v>
      </c>
      <c r="C2988" s="3">
        <v>215.65</v>
      </c>
      <c r="D2988" s="3">
        <f t="shared" si="94"/>
        <v>-2.7952523369542486E-3</v>
      </c>
      <c r="E2988" s="3">
        <f t="shared" si="95"/>
        <v>8.1481070054922472E-3</v>
      </c>
    </row>
    <row r="2989" spans="1:5" x14ac:dyDescent="0.45">
      <c r="A2989" s="2">
        <v>44943</v>
      </c>
      <c r="B2989" s="3">
        <v>60655.72</v>
      </c>
      <c r="C2989" s="3">
        <v>218.4</v>
      </c>
      <c r="D2989" s="3">
        <f t="shared" si="94"/>
        <v>9.321079581443013E-3</v>
      </c>
      <c r="E2989" s="3">
        <f t="shared" si="95"/>
        <v>1.2671520776897887E-2</v>
      </c>
    </row>
    <row r="2990" spans="1:5" x14ac:dyDescent="0.45">
      <c r="A2990" s="2">
        <v>44944</v>
      </c>
      <c r="B2990" s="3">
        <v>61045.74</v>
      </c>
      <c r="C2990" s="3">
        <v>219.35</v>
      </c>
      <c r="D2990" s="3">
        <f t="shared" si="94"/>
        <v>6.4094766852060879E-3</v>
      </c>
      <c r="E2990" s="3">
        <f t="shared" si="95"/>
        <v>4.3403837414729913E-3</v>
      </c>
    </row>
    <row r="2991" spans="1:5" x14ac:dyDescent="0.45">
      <c r="A2991" s="2">
        <v>44945</v>
      </c>
      <c r="B2991" s="3">
        <v>60858.43</v>
      </c>
      <c r="C2991" s="3">
        <v>220.75</v>
      </c>
      <c r="D2991" s="3">
        <f t="shared" si="94"/>
        <v>-3.0730720271403052E-3</v>
      </c>
      <c r="E2991" s="3">
        <f t="shared" si="95"/>
        <v>6.3622118718464063E-3</v>
      </c>
    </row>
    <row r="2992" spans="1:5" x14ac:dyDescent="0.45">
      <c r="A2992" s="2">
        <v>44946</v>
      </c>
      <c r="B2992" s="3">
        <v>60621.77</v>
      </c>
      <c r="C2992" s="3">
        <v>223.2</v>
      </c>
      <c r="D2992" s="3">
        <f t="shared" si="94"/>
        <v>-3.8962777373458789E-3</v>
      </c>
      <c r="E2992" s="3">
        <f t="shared" si="95"/>
        <v>1.1037391023086476E-2</v>
      </c>
    </row>
    <row r="2993" spans="1:5" x14ac:dyDescent="0.45">
      <c r="A2993" s="2">
        <v>44949</v>
      </c>
      <c r="B2993" s="3">
        <v>60941.67</v>
      </c>
      <c r="C2993" s="3">
        <v>224.95</v>
      </c>
      <c r="D2993" s="3">
        <f t="shared" si="94"/>
        <v>5.2631076982284667E-3</v>
      </c>
      <c r="E2993" s="3">
        <f t="shared" si="95"/>
        <v>7.8099247800253249E-3</v>
      </c>
    </row>
    <row r="2994" spans="1:5" x14ac:dyDescent="0.45">
      <c r="A2994" s="2">
        <v>44950</v>
      </c>
      <c r="B2994" s="3">
        <v>60978.75</v>
      </c>
      <c r="C2994" s="3">
        <v>220.95</v>
      </c>
      <c r="D2994" s="3">
        <f t="shared" si="94"/>
        <v>6.0826563988650563E-4</v>
      </c>
      <c r="E2994" s="3">
        <f t="shared" si="95"/>
        <v>-1.7941723710432299E-2</v>
      </c>
    </row>
    <row r="2995" spans="1:5" x14ac:dyDescent="0.45">
      <c r="A2995" s="2">
        <v>44951</v>
      </c>
      <c r="B2995" s="3">
        <v>60205.06</v>
      </c>
      <c r="C2995" s="3">
        <v>219.35</v>
      </c>
      <c r="D2995" s="3">
        <f t="shared" si="94"/>
        <v>-1.2769040887251892E-2</v>
      </c>
      <c r="E2995" s="3">
        <f t="shared" si="95"/>
        <v>-7.2678039645259389E-3</v>
      </c>
    </row>
    <row r="2996" spans="1:5" x14ac:dyDescent="0.45">
      <c r="A2996" s="2">
        <v>44953</v>
      </c>
      <c r="B2996" s="3">
        <v>59330.9</v>
      </c>
      <c r="C2996" s="3">
        <v>219.15</v>
      </c>
      <c r="D2996" s="3">
        <f t="shared" si="94"/>
        <v>-1.4626152391616199E-2</v>
      </c>
      <c r="E2996" s="3">
        <f t="shared" si="95"/>
        <v>-9.1220074740477127E-4</v>
      </c>
    </row>
    <row r="2997" spans="1:5" x14ac:dyDescent="0.45">
      <c r="A2997" s="2">
        <v>44956</v>
      </c>
      <c r="B2997" s="3">
        <v>59500.41</v>
      </c>
      <c r="C2997" s="3">
        <v>211.75</v>
      </c>
      <c r="D2997" s="3">
        <f t="shared" si="94"/>
        <v>2.8529537371088467E-3</v>
      </c>
      <c r="E2997" s="3">
        <f t="shared" si="95"/>
        <v>-3.4350093332654402E-2</v>
      </c>
    </row>
    <row r="2998" spans="1:5" x14ac:dyDescent="0.45">
      <c r="A2998" s="2">
        <v>44957</v>
      </c>
      <c r="B2998" s="3">
        <v>59549.9</v>
      </c>
      <c r="C2998" s="3">
        <v>216.35</v>
      </c>
      <c r="D2998" s="3">
        <f t="shared" si="94"/>
        <v>8.3141325462863678E-4</v>
      </c>
      <c r="E2998" s="3">
        <f t="shared" si="95"/>
        <v>2.1491133138729968E-2</v>
      </c>
    </row>
    <row r="2999" spans="1:5" x14ac:dyDescent="0.45">
      <c r="A2999" s="2">
        <v>44958</v>
      </c>
      <c r="B2999" s="3">
        <v>59708.08</v>
      </c>
      <c r="C2999" s="3">
        <v>216.6</v>
      </c>
      <c r="D2999" s="3">
        <f t="shared" si="94"/>
        <v>2.652738085277519E-3</v>
      </c>
      <c r="E2999" s="3">
        <f t="shared" si="95"/>
        <v>1.1548678959963745E-3</v>
      </c>
    </row>
    <row r="3000" spans="1:5" x14ac:dyDescent="0.45">
      <c r="A3000" s="2">
        <v>44959</v>
      </c>
      <c r="B3000" s="3">
        <v>59932.24</v>
      </c>
      <c r="C3000" s="3">
        <v>212.8</v>
      </c>
      <c r="D3000" s="3">
        <f t="shared" si="94"/>
        <v>3.7472360873048874E-3</v>
      </c>
      <c r="E3000" s="3">
        <f t="shared" si="95"/>
        <v>-1.769957709940086E-2</v>
      </c>
    </row>
    <row r="3001" spans="1:5" x14ac:dyDescent="0.45">
      <c r="A3001" s="2">
        <v>44960</v>
      </c>
      <c r="B3001" s="3">
        <v>60841.88</v>
      </c>
      <c r="C3001" s="3">
        <v>214.85</v>
      </c>
      <c r="D3001" s="3">
        <f t="shared" si="94"/>
        <v>1.5063776925526557E-2</v>
      </c>
      <c r="E3001" s="3">
        <f t="shared" si="95"/>
        <v>9.5873527535147215E-3</v>
      </c>
    </row>
    <row r="3002" spans="1:5" x14ac:dyDescent="0.45">
      <c r="A3002" s="2">
        <v>44963</v>
      </c>
      <c r="B3002" s="3">
        <v>60506.9</v>
      </c>
      <c r="C3002" s="3">
        <v>217.1</v>
      </c>
      <c r="D3002" s="3">
        <f t="shared" si="94"/>
        <v>-5.5209595164699846E-3</v>
      </c>
      <c r="E3002" s="3">
        <f t="shared" si="95"/>
        <v>1.0417966663242092E-2</v>
      </c>
    </row>
    <row r="3003" spans="1:5" x14ac:dyDescent="0.45">
      <c r="A3003" s="2">
        <v>44964</v>
      </c>
      <c r="B3003" s="3">
        <v>60286.04</v>
      </c>
      <c r="C3003" s="3">
        <v>216.85</v>
      </c>
      <c r="D3003" s="3">
        <f t="shared" si="94"/>
        <v>-3.6568403107079405E-3</v>
      </c>
      <c r="E3003" s="3">
        <f t="shared" si="95"/>
        <v>-1.1522066028708876E-3</v>
      </c>
    </row>
    <row r="3004" spans="1:5" x14ac:dyDescent="0.45">
      <c r="A3004" s="2">
        <v>44965</v>
      </c>
      <c r="B3004" s="3">
        <v>60663.79</v>
      </c>
      <c r="C3004" s="3">
        <v>212</v>
      </c>
      <c r="D3004" s="3">
        <f t="shared" si="94"/>
        <v>6.2464118923139062E-3</v>
      </c>
      <c r="E3004" s="3">
        <f t="shared" si="95"/>
        <v>-2.2619595609362782E-2</v>
      </c>
    </row>
    <row r="3005" spans="1:5" x14ac:dyDescent="0.45">
      <c r="A3005" s="2">
        <v>44966</v>
      </c>
      <c r="B3005" s="3">
        <v>60806.22</v>
      </c>
      <c r="C3005" s="3">
        <v>212.75</v>
      </c>
      <c r="D3005" s="3">
        <f t="shared" si="94"/>
        <v>2.3451066691240275E-3</v>
      </c>
      <c r="E3005" s="3">
        <f t="shared" si="95"/>
        <v>3.5314927814711593E-3</v>
      </c>
    </row>
    <row r="3006" spans="1:5" x14ac:dyDescent="0.45">
      <c r="A3006" s="2">
        <v>44967</v>
      </c>
      <c r="B3006" s="3">
        <v>60682.7</v>
      </c>
      <c r="C3006" s="3">
        <v>213.85</v>
      </c>
      <c r="D3006" s="3">
        <f t="shared" si="94"/>
        <v>-2.0334371654890135E-3</v>
      </c>
      <c r="E3006" s="3">
        <f t="shared" si="95"/>
        <v>5.1570672194340946E-3</v>
      </c>
    </row>
    <row r="3007" spans="1:5" x14ac:dyDescent="0.45">
      <c r="A3007" s="2">
        <v>44970</v>
      </c>
      <c r="B3007" s="3">
        <v>60431.839999999997</v>
      </c>
      <c r="C3007" s="3">
        <v>215.8</v>
      </c>
      <c r="D3007" s="3">
        <f t="shared" si="94"/>
        <v>-4.1425308429762697E-3</v>
      </c>
      <c r="E3007" s="3">
        <f t="shared" si="95"/>
        <v>9.0772181511166797E-3</v>
      </c>
    </row>
    <row r="3008" spans="1:5" x14ac:dyDescent="0.45">
      <c r="A3008" s="2">
        <v>44971</v>
      </c>
      <c r="B3008" s="3">
        <v>61032.26</v>
      </c>
      <c r="C3008" s="3">
        <v>215</v>
      </c>
      <c r="D3008" s="3">
        <f t="shared" si="94"/>
        <v>9.8864584764729157E-3</v>
      </c>
      <c r="E3008" s="3">
        <f t="shared" si="95"/>
        <v>-3.714024696371593E-3</v>
      </c>
    </row>
    <row r="3009" spans="1:5" x14ac:dyDescent="0.45">
      <c r="A3009" s="2">
        <v>44972</v>
      </c>
      <c r="B3009" s="3">
        <v>61275.09</v>
      </c>
      <c r="C3009" s="3">
        <v>214.55</v>
      </c>
      <c r="D3009" s="3">
        <f t="shared" si="94"/>
        <v>3.9708213621967615E-3</v>
      </c>
      <c r="E3009" s="3">
        <f t="shared" si="95"/>
        <v>-2.0952166901290863E-3</v>
      </c>
    </row>
    <row r="3010" spans="1:5" x14ac:dyDescent="0.45">
      <c r="A3010" s="2">
        <v>44973</v>
      </c>
      <c r="B3010" s="3">
        <v>61319.51</v>
      </c>
      <c r="C3010" s="3">
        <v>214.55</v>
      </c>
      <c r="D3010" s="3">
        <f t="shared" si="94"/>
        <v>7.2466490275919864E-4</v>
      </c>
      <c r="E3010" s="3">
        <f t="shared" si="95"/>
        <v>0</v>
      </c>
    </row>
    <row r="3011" spans="1:5" x14ac:dyDescent="0.45">
      <c r="A3011" s="2">
        <v>44974</v>
      </c>
      <c r="B3011" s="3">
        <v>61002.57</v>
      </c>
      <c r="C3011" s="3">
        <v>213.75</v>
      </c>
      <c r="D3011" s="3">
        <f t="shared" si="94"/>
        <v>-5.1820686707459819E-3</v>
      </c>
      <c r="E3011" s="3">
        <f t="shared" si="95"/>
        <v>-3.7357036206641997E-3</v>
      </c>
    </row>
    <row r="3012" spans="1:5" x14ac:dyDescent="0.45">
      <c r="A3012" s="2">
        <v>44977</v>
      </c>
      <c r="B3012" s="3">
        <v>60691.54</v>
      </c>
      <c r="C3012" s="3">
        <v>215.7</v>
      </c>
      <c r="D3012" s="3">
        <f t="shared" si="94"/>
        <v>-5.111680051708048E-3</v>
      </c>
      <c r="E3012" s="3">
        <f t="shared" si="95"/>
        <v>9.0814455782409938E-3</v>
      </c>
    </row>
    <row r="3013" spans="1:5" x14ac:dyDescent="0.45">
      <c r="A3013" s="2">
        <v>44978</v>
      </c>
      <c r="B3013" s="3">
        <v>60672.72</v>
      </c>
      <c r="C3013" s="3">
        <v>217.05</v>
      </c>
      <c r="D3013" s="3">
        <f t="shared" si="94"/>
        <v>-3.101407309014059E-4</v>
      </c>
      <c r="E3013" s="3">
        <f t="shared" si="95"/>
        <v>6.2391883504919338E-3</v>
      </c>
    </row>
    <row r="3014" spans="1:5" x14ac:dyDescent="0.45">
      <c r="A3014" s="2">
        <v>44979</v>
      </c>
      <c r="B3014" s="3">
        <v>59744.98</v>
      </c>
      <c r="C3014" s="3">
        <v>214.55</v>
      </c>
      <c r="D3014" s="3">
        <f t="shared" ref="D3014:D3077" si="96">LN(B3014/B3013)</f>
        <v>-1.5409003105136203E-2</v>
      </c>
      <c r="E3014" s="3">
        <f t="shared" ref="E3014:E3077" si="97">LN(C3014/C3013)</f>
        <v>-1.1584930308068848E-2</v>
      </c>
    </row>
    <row r="3015" spans="1:5" x14ac:dyDescent="0.45">
      <c r="A3015" s="2">
        <v>44980</v>
      </c>
      <c r="B3015" s="3">
        <v>59605.8</v>
      </c>
      <c r="C3015" s="3">
        <v>213.25</v>
      </c>
      <c r="D3015" s="3">
        <f t="shared" si="96"/>
        <v>-2.3322857729088488E-3</v>
      </c>
      <c r="E3015" s="3">
        <f t="shared" si="97"/>
        <v>-6.0776250657452284E-3</v>
      </c>
    </row>
    <row r="3016" spans="1:5" x14ac:dyDescent="0.45">
      <c r="A3016" s="2">
        <v>44981</v>
      </c>
      <c r="B3016" s="3">
        <v>59463.93</v>
      </c>
      <c r="C3016" s="3">
        <v>215</v>
      </c>
      <c r="D3016" s="3">
        <f t="shared" si="96"/>
        <v>-2.3829745332396937E-3</v>
      </c>
      <c r="E3016" s="3">
        <f t="shared" si="97"/>
        <v>8.1728417558743858E-3</v>
      </c>
    </row>
    <row r="3017" spans="1:5" x14ac:dyDescent="0.45">
      <c r="A3017" s="2">
        <v>44984</v>
      </c>
      <c r="B3017" s="3">
        <v>59288.35</v>
      </c>
      <c r="C3017" s="3">
        <v>219.35</v>
      </c>
      <c r="D3017" s="3">
        <f t="shared" si="96"/>
        <v>-2.9570822209760142E-3</v>
      </c>
      <c r="E3017" s="3">
        <f t="shared" si="97"/>
        <v>2.0030599484560142E-2</v>
      </c>
    </row>
    <row r="3018" spans="1:5" x14ac:dyDescent="0.45">
      <c r="A3018" s="2">
        <v>44985</v>
      </c>
      <c r="B3018" s="3">
        <v>58962.12</v>
      </c>
      <c r="C3018" s="3">
        <v>222.25</v>
      </c>
      <c r="D3018" s="3">
        <f t="shared" si="96"/>
        <v>-5.5176242030985853E-3</v>
      </c>
      <c r="E3018" s="3">
        <f t="shared" si="97"/>
        <v>1.313424678179095E-2</v>
      </c>
    </row>
    <row r="3019" spans="1:5" x14ac:dyDescent="0.45">
      <c r="A3019" s="2">
        <v>44986</v>
      </c>
      <c r="B3019" s="3">
        <v>59411.08</v>
      </c>
      <c r="C3019" s="3">
        <v>218.85</v>
      </c>
      <c r="D3019" s="3">
        <f t="shared" si="96"/>
        <v>7.5855371448118377E-3</v>
      </c>
      <c r="E3019" s="3">
        <f t="shared" si="97"/>
        <v>-1.5416310757109624E-2</v>
      </c>
    </row>
    <row r="3020" spans="1:5" x14ac:dyDescent="0.45">
      <c r="A3020" s="2">
        <v>44987</v>
      </c>
      <c r="B3020" s="3">
        <v>58909.35</v>
      </c>
      <c r="C3020" s="3">
        <v>220.2</v>
      </c>
      <c r="D3020" s="3">
        <f t="shared" si="96"/>
        <v>-8.4809192678229183E-3</v>
      </c>
      <c r="E3020" s="3">
        <f t="shared" si="97"/>
        <v>6.1496606516753287E-3</v>
      </c>
    </row>
    <row r="3021" spans="1:5" x14ac:dyDescent="0.45">
      <c r="A3021" s="2">
        <v>44988</v>
      </c>
      <c r="B3021" s="3">
        <v>59808.97</v>
      </c>
      <c r="C3021" s="3">
        <v>222.05</v>
      </c>
      <c r="D3021" s="3">
        <f t="shared" si="96"/>
        <v>1.5155828015330539E-2</v>
      </c>
      <c r="E3021" s="3">
        <f t="shared" si="97"/>
        <v>8.366357449531894E-3</v>
      </c>
    </row>
    <row r="3022" spans="1:5" x14ac:dyDescent="0.45">
      <c r="A3022" s="2">
        <v>44991</v>
      </c>
      <c r="B3022" s="3">
        <v>60224.46</v>
      </c>
      <c r="C3022" s="3">
        <v>227.05</v>
      </c>
      <c r="D3022" s="3">
        <f t="shared" si="96"/>
        <v>6.9229323769361807E-3</v>
      </c>
      <c r="E3022" s="3">
        <f t="shared" si="97"/>
        <v>2.2267675805848888E-2</v>
      </c>
    </row>
    <row r="3023" spans="1:5" x14ac:dyDescent="0.45">
      <c r="A3023" s="2">
        <v>44993</v>
      </c>
      <c r="B3023" s="3">
        <v>60348.09</v>
      </c>
      <c r="C3023" s="3">
        <v>227.95</v>
      </c>
      <c r="D3023" s="3">
        <f t="shared" si="96"/>
        <v>2.0507162422376641E-3</v>
      </c>
      <c r="E3023" s="3">
        <f t="shared" si="97"/>
        <v>3.956049115490275E-3</v>
      </c>
    </row>
    <row r="3024" spans="1:5" x14ac:dyDescent="0.45">
      <c r="A3024" s="2">
        <v>44994</v>
      </c>
      <c r="B3024" s="3">
        <v>59806.28</v>
      </c>
      <c r="C3024" s="3">
        <v>225.85</v>
      </c>
      <c r="D3024" s="3">
        <f t="shared" si="96"/>
        <v>-9.0186261617607767E-3</v>
      </c>
      <c r="E3024" s="3">
        <f t="shared" si="97"/>
        <v>-9.2552445588372605E-3</v>
      </c>
    </row>
    <row r="3025" spans="1:5" x14ac:dyDescent="0.45">
      <c r="A3025" s="2">
        <v>44995</v>
      </c>
      <c r="B3025" s="3">
        <v>59135.13</v>
      </c>
      <c r="C3025" s="3">
        <v>226.55</v>
      </c>
      <c r="D3025" s="3">
        <f t="shared" si="96"/>
        <v>-1.1285508104774833E-2</v>
      </c>
      <c r="E3025" s="3">
        <f t="shared" si="97"/>
        <v>3.0946090125342019E-3</v>
      </c>
    </row>
    <row r="3026" spans="1:5" x14ac:dyDescent="0.45">
      <c r="A3026" s="2">
        <v>44998</v>
      </c>
      <c r="B3026" s="3">
        <v>58237.85</v>
      </c>
      <c r="C3026" s="3">
        <v>226.1</v>
      </c>
      <c r="D3026" s="3">
        <f t="shared" si="96"/>
        <v>-1.5289677062129931E-2</v>
      </c>
      <c r="E3026" s="3">
        <f t="shared" si="97"/>
        <v>-1.9882918292230922E-3</v>
      </c>
    </row>
    <row r="3027" spans="1:5" x14ac:dyDescent="0.45">
      <c r="A3027" s="2">
        <v>44999</v>
      </c>
      <c r="B3027" s="3">
        <v>57900.19</v>
      </c>
      <c r="C3027" s="3">
        <v>225.1</v>
      </c>
      <c r="D3027" s="3">
        <f t="shared" si="96"/>
        <v>-5.8148209047920495E-3</v>
      </c>
      <c r="E3027" s="3">
        <f t="shared" si="97"/>
        <v>-4.4326313712376225E-3</v>
      </c>
    </row>
    <row r="3028" spans="1:5" x14ac:dyDescent="0.45">
      <c r="A3028" s="2">
        <v>45000</v>
      </c>
      <c r="B3028" s="3">
        <v>57555.9</v>
      </c>
      <c r="C3028" s="3">
        <v>228.35</v>
      </c>
      <c r="D3028" s="3">
        <f t="shared" si="96"/>
        <v>-5.9640166320863346E-3</v>
      </c>
      <c r="E3028" s="3">
        <f t="shared" si="97"/>
        <v>1.4334791718321357E-2</v>
      </c>
    </row>
    <row r="3029" spans="1:5" x14ac:dyDescent="0.45">
      <c r="A3029" s="2">
        <v>45001</v>
      </c>
      <c r="B3029" s="3">
        <v>57634.84</v>
      </c>
      <c r="C3029" s="3">
        <v>232</v>
      </c>
      <c r="D3029" s="3">
        <f t="shared" si="96"/>
        <v>1.3705964968646139E-3</v>
      </c>
      <c r="E3029" s="3">
        <f t="shared" si="97"/>
        <v>1.585783203530201E-2</v>
      </c>
    </row>
    <row r="3030" spans="1:5" x14ac:dyDescent="0.45">
      <c r="A3030" s="2">
        <v>45002</v>
      </c>
      <c r="B3030" s="3">
        <v>57989.9</v>
      </c>
      <c r="C3030" s="3">
        <v>229.9</v>
      </c>
      <c r="D3030" s="3">
        <f t="shared" si="96"/>
        <v>6.1416114934094513E-3</v>
      </c>
      <c r="E3030" s="3">
        <f t="shared" si="97"/>
        <v>-9.0929398971740395E-3</v>
      </c>
    </row>
    <row r="3031" spans="1:5" x14ac:dyDescent="0.45">
      <c r="A3031" s="2">
        <v>45005</v>
      </c>
      <c r="B3031" s="3">
        <v>57628.95</v>
      </c>
      <c r="C3031" s="3">
        <v>227.5</v>
      </c>
      <c r="D3031" s="3">
        <f t="shared" si="96"/>
        <v>-6.2438118462718219E-3</v>
      </c>
      <c r="E3031" s="3">
        <f t="shared" si="97"/>
        <v>-1.0494193378130822E-2</v>
      </c>
    </row>
    <row r="3032" spans="1:5" x14ac:dyDescent="0.45">
      <c r="A3032" s="2">
        <v>45006</v>
      </c>
      <c r="B3032" s="3">
        <v>58074.68</v>
      </c>
      <c r="C3032" s="3">
        <v>222.95</v>
      </c>
      <c r="D3032" s="3">
        <f t="shared" si="96"/>
        <v>7.7047229197198903E-3</v>
      </c>
      <c r="E3032" s="3">
        <f t="shared" si="97"/>
        <v>-2.0202707317519466E-2</v>
      </c>
    </row>
    <row r="3033" spans="1:5" x14ac:dyDescent="0.45">
      <c r="A3033" s="2">
        <v>45007</v>
      </c>
      <c r="B3033" s="3">
        <v>58214.59</v>
      </c>
      <c r="C3033" s="3">
        <v>224.15</v>
      </c>
      <c r="D3033" s="3">
        <f t="shared" si="96"/>
        <v>2.4062420807453053E-3</v>
      </c>
      <c r="E3033" s="3">
        <f t="shared" si="97"/>
        <v>5.3679395279629741E-3</v>
      </c>
    </row>
    <row r="3034" spans="1:5" x14ac:dyDescent="0.45">
      <c r="A3034" s="2">
        <v>45008</v>
      </c>
      <c r="B3034" s="3">
        <v>57925.279999999999</v>
      </c>
      <c r="C3034" s="3">
        <v>222.05</v>
      </c>
      <c r="D3034" s="3">
        <f t="shared" si="96"/>
        <v>-4.9821064621934441E-3</v>
      </c>
      <c r="E3034" s="3">
        <f t="shared" si="97"/>
        <v>-9.4128888633371495E-3</v>
      </c>
    </row>
    <row r="3035" spans="1:5" x14ac:dyDescent="0.45">
      <c r="A3035" s="2">
        <v>45009</v>
      </c>
      <c r="B3035" s="3">
        <v>57527.1</v>
      </c>
      <c r="C3035" s="3">
        <v>222.45</v>
      </c>
      <c r="D3035" s="3">
        <f t="shared" si="96"/>
        <v>-6.8977630214939866E-3</v>
      </c>
      <c r="E3035" s="3">
        <f t="shared" si="97"/>
        <v>1.799775513939386E-3</v>
      </c>
    </row>
    <row r="3036" spans="1:5" x14ac:dyDescent="0.45">
      <c r="A3036" s="2">
        <v>45012</v>
      </c>
      <c r="B3036" s="3">
        <v>57653.86</v>
      </c>
      <c r="C3036" s="3">
        <v>220.1</v>
      </c>
      <c r="D3036" s="3">
        <f t="shared" si="96"/>
        <v>2.2010591190725834E-3</v>
      </c>
      <c r="E3036" s="3">
        <f t="shared" si="97"/>
        <v>-1.0620368719634832E-2</v>
      </c>
    </row>
    <row r="3037" spans="1:5" x14ac:dyDescent="0.45">
      <c r="A3037" s="2">
        <v>45013</v>
      </c>
      <c r="B3037" s="3">
        <v>57613.72</v>
      </c>
      <c r="C3037" s="3">
        <v>222.2</v>
      </c>
      <c r="D3037" s="3">
        <f t="shared" si="96"/>
        <v>-6.9646645869621889E-4</v>
      </c>
      <c r="E3037" s="3">
        <f t="shared" si="97"/>
        <v>9.4958886731135103E-3</v>
      </c>
    </row>
    <row r="3038" spans="1:5" x14ac:dyDescent="0.45">
      <c r="A3038" s="2">
        <v>45014</v>
      </c>
      <c r="B3038" s="3">
        <v>57960.09</v>
      </c>
      <c r="C3038" s="3">
        <v>222.45</v>
      </c>
      <c r="D3038" s="3">
        <f t="shared" si="96"/>
        <v>5.993936463809804E-3</v>
      </c>
      <c r="E3038" s="3">
        <f t="shared" si="97"/>
        <v>1.124480046521073E-3</v>
      </c>
    </row>
    <row r="3039" spans="1:5" x14ac:dyDescent="0.45">
      <c r="A3039" s="2">
        <v>45016</v>
      </c>
      <c r="B3039" s="3">
        <v>58991.519999999997</v>
      </c>
      <c r="C3039" s="3">
        <v>225.7</v>
      </c>
      <c r="D3039" s="3">
        <f t="shared" si="96"/>
        <v>1.763903451587736E-2</v>
      </c>
      <c r="E3039" s="3">
        <f t="shared" si="97"/>
        <v>1.4504326571439212E-2</v>
      </c>
    </row>
    <row r="3040" spans="1:5" x14ac:dyDescent="0.45">
      <c r="A3040" s="2">
        <v>45019</v>
      </c>
      <c r="B3040" s="3">
        <v>59106.44</v>
      </c>
      <c r="C3040" s="3">
        <v>224.6</v>
      </c>
      <c r="D3040" s="3">
        <f t="shared" si="96"/>
        <v>1.9461815644029961E-3</v>
      </c>
      <c r="E3040" s="3">
        <f t="shared" si="97"/>
        <v>-4.8856415191471511E-3</v>
      </c>
    </row>
    <row r="3041" spans="1:5" x14ac:dyDescent="0.45">
      <c r="A3041" s="2">
        <v>45021</v>
      </c>
      <c r="B3041" s="3">
        <v>59689.31</v>
      </c>
      <c r="C3041" s="3">
        <v>225.65</v>
      </c>
      <c r="D3041" s="3">
        <f t="shared" si="96"/>
        <v>9.8130560619098701E-3</v>
      </c>
      <c r="E3041" s="3">
        <f t="shared" si="97"/>
        <v>4.6640839686674989E-3</v>
      </c>
    </row>
    <row r="3042" spans="1:5" x14ac:dyDescent="0.45">
      <c r="A3042" s="2">
        <v>45022</v>
      </c>
      <c r="B3042" s="3">
        <v>59832.97</v>
      </c>
      <c r="C3042" s="3">
        <v>225.15</v>
      </c>
      <c r="D3042" s="3">
        <f t="shared" si="96"/>
        <v>2.4039044298910413E-3</v>
      </c>
      <c r="E3042" s="3">
        <f t="shared" si="97"/>
        <v>-2.2182795254295259E-3</v>
      </c>
    </row>
    <row r="3043" spans="1:5" x14ac:dyDescent="0.45">
      <c r="A3043" s="2">
        <v>45026</v>
      </c>
      <c r="B3043" s="3">
        <v>59846.51</v>
      </c>
      <c r="C3043" s="3">
        <v>229</v>
      </c>
      <c r="D3043" s="3">
        <f t="shared" si="96"/>
        <v>2.2627103757079853E-4</v>
      </c>
      <c r="E3043" s="3">
        <f t="shared" si="97"/>
        <v>1.695515680665895E-2</v>
      </c>
    </row>
    <row r="3044" spans="1:5" x14ac:dyDescent="0.45">
      <c r="A3044" s="2">
        <v>45027</v>
      </c>
      <c r="B3044" s="3">
        <v>60157.72</v>
      </c>
      <c r="C3044" s="3">
        <v>231.25</v>
      </c>
      <c r="D3044" s="3">
        <f t="shared" si="96"/>
        <v>5.1866621312722542E-3</v>
      </c>
      <c r="E3044" s="3">
        <f t="shared" si="97"/>
        <v>9.7773728382949208E-3</v>
      </c>
    </row>
    <row r="3045" spans="1:5" x14ac:dyDescent="0.45">
      <c r="A3045" s="2">
        <v>45028</v>
      </c>
      <c r="B3045" s="3">
        <v>60392.77</v>
      </c>
      <c r="C3045" s="3">
        <v>227.2</v>
      </c>
      <c r="D3045" s="3">
        <f t="shared" si="96"/>
        <v>3.8996158019283132E-3</v>
      </c>
      <c r="E3045" s="3">
        <f t="shared" si="97"/>
        <v>-1.766868954553838E-2</v>
      </c>
    </row>
    <row r="3046" spans="1:5" x14ac:dyDescent="0.45">
      <c r="A3046" s="2">
        <v>45029</v>
      </c>
      <c r="B3046" s="3">
        <v>60431</v>
      </c>
      <c r="C3046" s="3">
        <v>231.15</v>
      </c>
      <c r="D3046" s="3">
        <f t="shared" si="96"/>
        <v>6.3282251953927597E-4</v>
      </c>
      <c r="E3046" s="3">
        <f t="shared" si="97"/>
        <v>1.7236163587238215E-2</v>
      </c>
    </row>
    <row r="3047" spans="1:5" x14ac:dyDescent="0.45">
      <c r="A3047" s="2">
        <v>45033</v>
      </c>
      <c r="B3047" s="3">
        <v>59910.75</v>
      </c>
      <c r="C3047" s="3">
        <v>236.45</v>
      </c>
      <c r="D3047" s="3">
        <f t="shared" si="96"/>
        <v>-8.6462635130574259E-3</v>
      </c>
      <c r="E3047" s="3">
        <f t="shared" si="97"/>
        <v>2.2669918655650319E-2</v>
      </c>
    </row>
    <row r="3048" spans="1:5" x14ac:dyDescent="0.45">
      <c r="A3048" s="2">
        <v>45034</v>
      </c>
      <c r="B3048" s="3">
        <v>59727.01</v>
      </c>
      <c r="C3048" s="3">
        <v>230.25</v>
      </c>
      <c r="D3048" s="3">
        <f t="shared" si="96"/>
        <v>-3.0716079014202324E-3</v>
      </c>
      <c r="E3048" s="3">
        <f t="shared" si="97"/>
        <v>-2.657109395446848E-2</v>
      </c>
    </row>
    <row r="3049" spans="1:5" x14ac:dyDescent="0.45">
      <c r="A3049" s="2">
        <v>45035</v>
      </c>
      <c r="B3049" s="3">
        <v>59567.8</v>
      </c>
      <c r="C3049" s="3">
        <v>230</v>
      </c>
      <c r="D3049" s="3">
        <f t="shared" si="96"/>
        <v>-2.6691872768831904E-3</v>
      </c>
      <c r="E3049" s="3">
        <f t="shared" si="97"/>
        <v>-1.0863662122208519E-3</v>
      </c>
    </row>
    <row r="3050" spans="1:5" x14ac:dyDescent="0.45">
      <c r="A3050" s="2">
        <v>45036</v>
      </c>
      <c r="B3050" s="3">
        <v>59632.35</v>
      </c>
      <c r="C3050" s="3">
        <v>230.8</v>
      </c>
      <c r="D3050" s="3">
        <f t="shared" si="96"/>
        <v>1.0830524342423486E-3</v>
      </c>
      <c r="E3050" s="3">
        <f t="shared" si="97"/>
        <v>3.4722257107492787E-3</v>
      </c>
    </row>
    <row r="3051" spans="1:5" x14ac:dyDescent="0.45">
      <c r="A3051" s="2">
        <v>45037</v>
      </c>
      <c r="B3051" s="3">
        <v>59655.06</v>
      </c>
      <c r="C3051" s="3">
        <v>231.45</v>
      </c>
      <c r="D3051" s="3">
        <f t="shared" si="96"/>
        <v>3.8076105893103802E-4</v>
      </c>
      <c r="E3051" s="3">
        <f t="shared" si="97"/>
        <v>2.812332843334962E-3</v>
      </c>
    </row>
    <row r="3052" spans="1:5" x14ac:dyDescent="0.45">
      <c r="A3052" s="2">
        <v>45040</v>
      </c>
      <c r="B3052" s="3">
        <v>60056.1</v>
      </c>
      <c r="C3052" s="3">
        <v>231.85</v>
      </c>
      <c r="D3052" s="3">
        <f t="shared" si="96"/>
        <v>6.7001522713650841E-3</v>
      </c>
      <c r="E3052" s="3">
        <f t="shared" si="97"/>
        <v>1.7267433601903062E-3</v>
      </c>
    </row>
    <row r="3053" spans="1:5" x14ac:dyDescent="0.45">
      <c r="A3053" s="2">
        <v>45041</v>
      </c>
      <c r="B3053" s="3">
        <v>60130.71</v>
      </c>
      <c r="C3053" s="3">
        <v>232.75</v>
      </c>
      <c r="D3053" s="3">
        <f t="shared" si="96"/>
        <v>1.241567349765141E-3</v>
      </c>
      <c r="E3053" s="3">
        <f t="shared" si="97"/>
        <v>3.8743053197066129E-3</v>
      </c>
    </row>
    <row r="3054" spans="1:5" x14ac:dyDescent="0.45">
      <c r="A3054" s="2">
        <v>45042</v>
      </c>
      <c r="B3054" s="3">
        <v>60300.58</v>
      </c>
      <c r="C3054" s="3">
        <v>238.55</v>
      </c>
      <c r="D3054" s="3">
        <f t="shared" si="96"/>
        <v>2.821029529037569E-3</v>
      </c>
      <c r="E3054" s="3">
        <f t="shared" si="97"/>
        <v>2.461401580493966E-2</v>
      </c>
    </row>
    <row r="3055" spans="1:5" x14ac:dyDescent="0.45">
      <c r="A3055" s="2">
        <v>45043</v>
      </c>
      <c r="B3055" s="3">
        <v>60649.38</v>
      </c>
      <c r="C3055" s="3">
        <v>235.85</v>
      </c>
      <c r="D3055" s="3">
        <f t="shared" si="96"/>
        <v>5.7676904885056602E-3</v>
      </c>
      <c r="E3055" s="3">
        <f t="shared" si="97"/>
        <v>-1.1382922231845453E-2</v>
      </c>
    </row>
    <row r="3056" spans="1:5" x14ac:dyDescent="0.45">
      <c r="A3056" s="2">
        <v>45044</v>
      </c>
      <c r="B3056" s="3">
        <v>61112.44</v>
      </c>
      <c r="C3056" s="3">
        <v>236.8</v>
      </c>
      <c r="D3056" s="3">
        <f t="shared" si="96"/>
        <v>7.6060333592288124E-3</v>
      </c>
      <c r="E3056" s="3">
        <f t="shared" si="97"/>
        <v>4.0198932795800684E-3</v>
      </c>
    </row>
    <row r="3057" spans="1:5" x14ac:dyDescent="0.45">
      <c r="A3057" s="2">
        <v>45048</v>
      </c>
      <c r="B3057" s="3">
        <v>61354.71</v>
      </c>
      <c r="C3057" s="3">
        <v>240.05</v>
      </c>
      <c r="D3057" s="3">
        <f t="shared" si="96"/>
        <v>3.9564947177770822E-3</v>
      </c>
      <c r="E3057" s="3">
        <f t="shared" si="97"/>
        <v>1.3631331967098641E-2</v>
      </c>
    </row>
    <row r="3058" spans="1:5" x14ac:dyDescent="0.45">
      <c r="A3058" s="2">
        <v>45049</v>
      </c>
      <c r="B3058" s="3">
        <v>61193.3</v>
      </c>
      <c r="C3058" s="3">
        <v>239.6</v>
      </c>
      <c r="D3058" s="3">
        <f t="shared" si="96"/>
        <v>-2.6342344251512107E-3</v>
      </c>
      <c r="E3058" s="3">
        <f t="shared" si="97"/>
        <v>-1.8763687356551254E-3</v>
      </c>
    </row>
    <row r="3059" spans="1:5" x14ac:dyDescent="0.45">
      <c r="A3059" s="2">
        <v>45050</v>
      </c>
      <c r="B3059" s="3">
        <v>61749.25</v>
      </c>
      <c r="C3059" s="3">
        <v>238.65</v>
      </c>
      <c r="D3059" s="3">
        <f t="shared" si="96"/>
        <v>9.0441232842987957E-3</v>
      </c>
      <c r="E3059" s="3">
        <f t="shared" si="97"/>
        <v>-3.9728227893886464E-3</v>
      </c>
    </row>
    <row r="3060" spans="1:5" x14ac:dyDescent="0.45">
      <c r="A3060" s="2">
        <v>45051</v>
      </c>
      <c r="B3060" s="3">
        <v>61054.29</v>
      </c>
      <c r="C3060" s="3">
        <v>240.95</v>
      </c>
      <c r="D3060" s="3">
        <f t="shared" si="96"/>
        <v>-1.1318361327194357E-2</v>
      </c>
      <c r="E3060" s="3">
        <f t="shared" si="97"/>
        <v>9.5913996344360406E-3</v>
      </c>
    </row>
    <row r="3061" spans="1:5" x14ac:dyDescent="0.45">
      <c r="A3061" s="2">
        <v>45054</v>
      </c>
      <c r="B3061" s="3">
        <v>61764.25</v>
      </c>
      <c r="C3061" s="3">
        <v>244.75</v>
      </c>
      <c r="D3061" s="3">
        <f t="shared" si="96"/>
        <v>1.1561249757588515E-2</v>
      </c>
      <c r="E3061" s="3">
        <f t="shared" si="97"/>
        <v>1.5647838324278004E-2</v>
      </c>
    </row>
    <row r="3062" spans="1:5" x14ac:dyDescent="0.45">
      <c r="A3062" s="2">
        <v>45055</v>
      </c>
      <c r="B3062" s="3">
        <v>61761.33</v>
      </c>
      <c r="C3062" s="3">
        <v>243.25</v>
      </c>
      <c r="D3062" s="3">
        <f t="shared" si="96"/>
        <v>-4.7277656992860826E-5</v>
      </c>
      <c r="E3062" s="3">
        <f t="shared" si="97"/>
        <v>-6.1475603445052948E-3</v>
      </c>
    </row>
    <row r="3063" spans="1:5" x14ac:dyDescent="0.45">
      <c r="A3063" s="2">
        <v>45056</v>
      </c>
      <c r="B3063" s="3">
        <v>61940.2</v>
      </c>
      <c r="C3063" s="3">
        <v>247.7</v>
      </c>
      <c r="D3063" s="3">
        <f t="shared" si="96"/>
        <v>2.8919630123275591E-3</v>
      </c>
      <c r="E3063" s="3">
        <f t="shared" si="97"/>
        <v>1.8128615429199423E-2</v>
      </c>
    </row>
    <row r="3064" spans="1:5" x14ac:dyDescent="0.45">
      <c r="A3064" s="2">
        <v>45057</v>
      </c>
      <c r="B3064" s="3">
        <v>61904.52</v>
      </c>
      <c r="C3064" s="3">
        <v>248.6</v>
      </c>
      <c r="D3064" s="3">
        <f t="shared" si="96"/>
        <v>-5.7620544480511992E-4</v>
      </c>
      <c r="E3064" s="3">
        <f t="shared" si="97"/>
        <v>3.6268425812969775E-3</v>
      </c>
    </row>
    <row r="3065" spans="1:5" x14ac:dyDescent="0.45">
      <c r="A3065" s="2">
        <v>45058</v>
      </c>
      <c r="B3065" s="3">
        <v>62027.9</v>
      </c>
      <c r="C3065" s="3">
        <v>241.7</v>
      </c>
      <c r="D3065" s="3">
        <f t="shared" si="96"/>
        <v>1.9910857991940786E-3</v>
      </c>
      <c r="E3065" s="3">
        <f t="shared" si="97"/>
        <v>-2.8147891367173456E-2</v>
      </c>
    </row>
    <row r="3066" spans="1:5" x14ac:dyDescent="0.45">
      <c r="A3066" s="2">
        <v>45061</v>
      </c>
      <c r="B3066" s="3">
        <v>62345.71</v>
      </c>
      <c r="C3066" s="3">
        <v>243.2</v>
      </c>
      <c r="D3066" s="3">
        <f t="shared" si="96"/>
        <v>5.1105808010898758E-3</v>
      </c>
      <c r="E3066" s="3">
        <f t="shared" si="97"/>
        <v>6.1868623825745437E-3</v>
      </c>
    </row>
    <row r="3067" spans="1:5" x14ac:dyDescent="0.45">
      <c r="A3067" s="2">
        <v>45062</v>
      </c>
      <c r="B3067" s="3">
        <v>61932.47</v>
      </c>
      <c r="C3067" s="3">
        <v>240.3</v>
      </c>
      <c r="D3067" s="3">
        <f t="shared" si="96"/>
        <v>-6.6502667322057198E-3</v>
      </c>
      <c r="E3067" s="3">
        <f t="shared" si="97"/>
        <v>-1.1996007349588608E-2</v>
      </c>
    </row>
    <row r="3068" spans="1:5" x14ac:dyDescent="0.45">
      <c r="A3068" s="2">
        <v>45063</v>
      </c>
      <c r="B3068" s="3">
        <v>61560.639999999999</v>
      </c>
      <c r="C3068" s="3">
        <v>238.65</v>
      </c>
      <c r="D3068" s="3">
        <f t="shared" si="96"/>
        <v>-6.0218926164302498E-3</v>
      </c>
      <c r="E3068" s="3">
        <f t="shared" si="97"/>
        <v>-6.8900992905176796E-3</v>
      </c>
    </row>
    <row r="3069" spans="1:5" x14ac:dyDescent="0.45">
      <c r="A3069" s="2">
        <v>45064</v>
      </c>
      <c r="B3069" s="3">
        <v>61431.74</v>
      </c>
      <c r="C3069" s="3">
        <v>235.3</v>
      </c>
      <c r="D3069" s="3">
        <f t="shared" si="96"/>
        <v>-2.0960655805410716E-3</v>
      </c>
      <c r="E3069" s="3">
        <f t="shared" si="97"/>
        <v>-1.4136747718588695E-2</v>
      </c>
    </row>
    <row r="3070" spans="1:5" x14ac:dyDescent="0.45">
      <c r="A3070" s="2">
        <v>45065</v>
      </c>
      <c r="B3070" s="3">
        <v>61729.68</v>
      </c>
      <c r="C3070" s="3">
        <v>233.8</v>
      </c>
      <c r="D3070" s="3">
        <f t="shared" si="96"/>
        <v>4.8382128297795052E-3</v>
      </c>
      <c r="E3070" s="3">
        <f t="shared" si="97"/>
        <v>-6.3952466953487875E-3</v>
      </c>
    </row>
    <row r="3071" spans="1:5" x14ac:dyDescent="0.45">
      <c r="A3071" s="2">
        <v>45068</v>
      </c>
      <c r="B3071" s="3">
        <v>61963.68</v>
      </c>
      <c r="C3071" s="3">
        <v>234.35</v>
      </c>
      <c r="D3071" s="3">
        <f t="shared" si="96"/>
        <v>3.7835544146908877E-3</v>
      </c>
      <c r="E3071" s="3">
        <f t="shared" si="97"/>
        <v>2.349675330746941E-3</v>
      </c>
    </row>
    <row r="3072" spans="1:5" x14ac:dyDescent="0.45">
      <c r="A3072" s="2">
        <v>45069</v>
      </c>
      <c r="B3072" s="3">
        <v>61981.79</v>
      </c>
      <c r="C3072" s="3">
        <v>234.05</v>
      </c>
      <c r="D3072" s="3">
        <f t="shared" si="96"/>
        <v>2.9222528469776765E-4</v>
      </c>
      <c r="E3072" s="3">
        <f t="shared" si="97"/>
        <v>-1.2809566226354872E-3</v>
      </c>
    </row>
    <row r="3073" spans="1:5" x14ac:dyDescent="0.45">
      <c r="A3073" s="2">
        <v>45070</v>
      </c>
      <c r="B3073" s="3">
        <v>61773.78</v>
      </c>
      <c r="C3073" s="3">
        <v>235.9</v>
      </c>
      <c r="D3073" s="3">
        <f t="shared" si="96"/>
        <v>-3.3616296363169402E-3</v>
      </c>
      <c r="E3073" s="3">
        <f t="shared" si="97"/>
        <v>7.8732186675497615E-3</v>
      </c>
    </row>
    <row r="3074" spans="1:5" x14ac:dyDescent="0.45">
      <c r="A3074" s="2">
        <v>45071</v>
      </c>
      <c r="B3074" s="3">
        <v>61872.62</v>
      </c>
      <c r="C3074" s="3">
        <v>237.9</v>
      </c>
      <c r="D3074" s="3">
        <f t="shared" si="96"/>
        <v>1.598752912385734E-3</v>
      </c>
      <c r="E3074" s="3">
        <f t="shared" si="97"/>
        <v>8.4424308952827168E-3</v>
      </c>
    </row>
    <row r="3075" spans="1:5" x14ac:dyDescent="0.45">
      <c r="A3075" s="2">
        <v>45072</v>
      </c>
      <c r="B3075" s="3">
        <v>62501.69</v>
      </c>
      <c r="C3075" s="3">
        <v>237.25</v>
      </c>
      <c r="D3075" s="3">
        <f t="shared" si="96"/>
        <v>1.0115840874175455E-2</v>
      </c>
      <c r="E3075" s="3">
        <f t="shared" si="97"/>
        <v>-2.7359798188747488E-3</v>
      </c>
    </row>
    <row r="3076" spans="1:5" x14ac:dyDescent="0.45">
      <c r="A3076" s="2">
        <v>45075</v>
      </c>
      <c r="B3076" s="3">
        <v>62846.38</v>
      </c>
      <c r="C3076" s="3">
        <v>234.55</v>
      </c>
      <c r="D3076" s="3">
        <f t="shared" si="96"/>
        <v>5.4997395464214949E-3</v>
      </c>
      <c r="E3076" s="3">
        <f t="shared" si="97"/>
        <v>-1.1445652715570138E-2</v>
      </c>
    </row>
    <row r="3077" spans="1:5" x14ac:dyDescent="0.45">
      <c r="A3077" s="2">
        <v>45076</v>
      </c>
      <c r="B3077" s="3">
        <v>62969.13</v>
      </c>
      <c r="C3077" s="3">
        <v>235.1</v>
      </c>
      <c r="D3077" s="3">
        <f t="shared" si="96"/>
        <v>1.9512703790986754E-3</v>
      </c>
      <c r="E3077" s="3">
        <f t="shared" si="97"/>
        <v>2.3421707715567293E-3</v>
      </c>
    </row>
    <row r="3078" spans="1:5" x14ac:dyDescent="0.45">
      <c r="A3078" s="2">
        <v>45077</v>
      </c>
      <c r="B3078" s="3">
        <v>62622.239999999998</v>
      </c>
      <c r="C3078" s="3">
        <v>233.25</v>
      </c>
      <c r="D3078" s="3">
        <f t="shared" ref="D3078:D3141" si="98">LN(B3078/B3077)</f>
        <v>-5.5241197247532341E-3</v>
      </c>
      <c r="E3078" s="3">
        <f t="shared" ref="E3078:E3141" si="99">LN(C3078/C3077)</f>
        <v>-7.900115818570563E-3</v>
      </c>
    </row>
    <row r="3079" spans="1:5" x14ac:dyDescent="0.45">
      <c r="A3079" s="2">
        <v>45078</v>
      </c>
      <c r="B3079" s="3">
        <v>62428.54</v>
      </c>
      <c r="C3079" s="3">
        <v>232.9</v>
      </c>
      <c r="D3079" s="3">
        <f t="shared" si="98"/>
        <v>-3.0979439698927353E-3</v>
      </c>
      <c r="E3079" s="3">
        <f t="shared" si="99"/>
        <v>-1.5016628371578506E-3</v>
      </c>
    </row>
    <row r="3080" spans="1:5" x14ac:dyDescent="0.45">
      <c r="A3080" s="2">
        <v>45079</v>
      </c>
      <c r="B3080" s="3">
        <v>62547.11</v>
      </c>
      <c r="C3080" s="3">
        <v>234.6</v>
      </c>
      <c r="D3080" s="3">
        <f t="shared" si="98"/>
        <v>1.8974902003012141E-3</v>
      </c>
      <c r="E3080" s="3">
        <f t="shared" si="99"/>
        <v>7.2727593290796569E-3</v>
      </c>
    </row>
    <row r="3081" spans="1:5" x14ac:dyDescent="0.45">
      <c r="A3081" s="2">
        <v>45082</v>
      </c>
      <c r="B3081" s="3">
        <v>62787.47</v>
      </c>
      <c r="C3081" s="3">
        <v>235.5</v>
      </c>
      <c r="D3081" s="3">
        <f t="shared" si="98"/>
        <v>3.8354984659817494E-3</v>
      </c>
      <c r="E3081" s="3">
        <f t="shared" si="99"/>
        <v>3.8289772370974726E-3</v>
      </c>
    </row>
    <row r="3082" spans="1:5" x14ac:dyDescent="0.45">
      <c r="A3082" s="2">
        <v>45083</v>
      </c>
      <c r="B3082" s="3">
        <v>62792.88</v>
      </c>
      <c r="C3082" s="3">
        <v>235.4</v>
      </c>
      <c r="D3082" s="3">
        <f t="shared" si="98"/>
        <v>8.6159976514601697E-5</v>
      </c>
      <c r="E3082" s="3">
        <f t="shared" si="99"/>
        <v>-4.2471863029609655E-4</v>
      </c>
    </row>
    <row r="3083" spans="1:5" x14ac:dyDescent="0.45">
      <c r="A3083" s="2">
        <v>45084</v>
      </c>
      <c r="B3083" s="3">
        <v>63142.96</v>
      </c>
      <c r="C3083" s="3">
        <v>239.25</v>
      </c>
      <c r="D3083" s="3">
        <f t="shared" si="98"/>
        <v>5.5596707298809379E-3</v>
      </c>
      <c r="E3083" s="3">
        <f t="shared" si="99"/>
        <v>1.6222835506887384E-2</v>
      </c>
    </row>
    <row r="3084" spans="1:5" x14ac:dyDescent="0.45">
      <c r="A3084" s="2">
        <v>45085</v>
      </c>
      <c r="B3084" s="3">
        <v>62848.639999999999</v>
      </c>
      <c r="C3084" s="3">
        <v>241.6</v>
      </c>
      <c r="D3084" s="3">
        <f t="shared" si="98"/>
        <v>-4.672066000793812E-3</v>
      </c>
      <c r="E3084" s="3">
        <f t="shared" si="99"/>
        <v>9.7744357275961653E-3</v>
      </c>
    </row>
    <row r="3085" spans="1:5" x14ac:dyDescent="0.45">
      <c r="A3085" s="2">
        <v>45086</v>
      </c>
      <c r="B3085" s="3">
        <v>62625.63</v>
      </c>
      <c r="C3085" s="3">
        <v>244.75</v>
      </c>
      <c r="D3085" s="3">
        <f t="shared" si="98"/>
        <v>-3.554676744872096E-3</v>
      </c>
      <c r="E3085" s="3">
        <f t="shared" si="99"/>
        <v>1.2953815349959954E-2</v>
      </c>
    </row>
    <row r="3086" spans="1:5" x14ac:dyDescent="0.45">
      <c r="A3086" s="2">
        <v>45089</v>
      </c>
      <c r="B3086" s="3">
        <v>62724.71</v>
      </c>
      <c r="C3086" s="3">
        <v>241.7</v>
      </c>
      <c r="D3086" s="3">
        <f t="shared" si="98"/>
        <v>1.5808496512114438E-3</v>
      </c>
      <c r="E3086" s="3">
        <f t="shared" si="99"/>
        <v>-1.2539993701182526E-2</v>
      </c>
    </row>
    <row r="3087" spans="1:5" x14ac:dyDescent="0.45">
      <c r="A3087" s="2">
        <v>45090</v>
      </c>
      <c r="B3087" s="3">
        <v>63143.16</v>
      </c>
      <c r="C3087" s="3">
        <v>242.45</v>
      </c>
      <c r="D3087" s="3">
        <f t="shared" si="98"/>
        <v>6.6490605050932546E-3</v>
      </c>
      <c r="E3087" s="3">
        <f t="shared" si="99"/>
        <v>3.0982158419239209E-3</v>
      </c>
    </row>
    <row r="3088" spans="1:5" x14ac:dyDescent="0.45">
      <c r="A3088" s="2">
        <v>45091</v>
      </c>
      <c r="B3088" s="3">
        <v>63228.51</v>
      </c>
      <c r="C3088" s="3">
        <v>246.45</v>
      </c>
      <c r="D3088" s="3">
        <f t="shared" si="98"/>
        <v>1.3507776383340519E-3</v>
      </c>
      <c r="E3088" s="3">
        <f t="shared" si="99"/>
        <v>1.6363629600025555E-2</v>
      </c>
    </row>
    <row r="3089" spans="1:5" x14ac:dyDescent="0.45">
      <c r="A3089" s="2">
        <v>45092</v>
      </c>
      <c r="B3089" s="3">
        <v>62917.63</v>
      </c>
      <c r="C3089" s="3">
        <v>246.4</v>
      </c>
      <c r="D3089" s="3">
        <f t="shared" si="98"/>
        <v>-4.9288964272205275E-3</v>
      </c>
      <c r="E3089" s="3">
        <f t="shared" si="99"/>
        <v>-2.0290149202200486E-4</v>
      </c>
    </row>
    <row r="3090" spans="1:5" x14ac:dyDescent="0.45">
      <c r="A3090" s="2">
        <v>45093</v>
      </c>
      <c r="B3090" s="3">
        <v>63384.58</v>
      </c>
      <c r="C3090" s="3">
        <v>246.1</v>
      </c>
      <c r="D3090" s="3">
        <f t="shared" si="98"/>
        <v>7.394203593265568E-3</v>
      </c>
      <c r="E3090" s="3">
        <f t="shared" si="99"/>
        <v>-1.2182742623545986E-3</v>
      </c>
    </row>
    <row r="3091" spans="1:5" x14ac:dyDescent="0.45">
      <c r="A3091" s="2">
        <v>45096</v>
      </c>
      <c r="B3091" s="3">
        <v>63168.3</v>
      </c>
      <c r="C3091" s="3">
        <v>243</v>
      </c>
      <c r="D3091" s="3">
        <f t="shared" si="98"/>
        <v>-3.41802115549155E-3</v>
      </c>
      <c r="E3091" s="3">
        <f t="shared" si="99"/>
        <v>-1.2676514056461646E-2</v>
      </c>
    </row>
    <row r="3092" spans="1:5" x14ac:dyDescent="0.45">
      <c r="A3092" s="2">
        <v>45097</v>
      </c>
      <c r="B3092" s="3">
        <v>63327.7</v>
      </c>
      <c r="C3092" s="3">
        <v>248.95</v>
      </c>
      <c r="D3092" s="3">
        <f t="shared" si="98"/>
        <v>2.5202391280431048E-3</v>
      </c>
      <c r="E3092" s="3">
        <f t="shared" si="99"/>
        <v>2.419062974764315E-2</v>
      </c>
    </row>
    <row r="3093" spans="1:5" x14ac:dyDescent="0.45">
      <c r="A3093" s="2">
        <v>45098</v>
      </c>
      <c r="B3093" s="3">
        <v>63523.15</v>
      </c>
      <c r="C3093" s="3">
        <v>258.10000000000002</v>
      </c>
      <c r="D3093" s="3">
        <f t="shared" si="98"/>
        <v>3.0815742215002549E-3</v>
      </c>
      <c r="E3093" s="3">
        <f t="shared" si="99"/>
        <v>3.6095033636376506E-2</v>
      </c>
    </row>
    <row r="3094" spans="1:5" x14ac:dyDescent="0.45">
      <c r="A3094" s="2">
        <v>45099</v>
      </c>
      <c r="B3094" s="3">
        <v>63238.89</v>
      </c>
      <c r="C3094" s="3">
        <v>253.65</v>
      </c>
      <c r="D3094" s="3">
        <f t="shared" si="98"/>
        <v>-4.484946384337195E-3</v>
      </c>
      <c r="E3094" s="3">
        <f t="shared" si="99"/>
        <v>-1.7391742711869222E-2</v>
      </c>
    </row>
    <row r="3095" spans="1:5" x14ac:dyDescent="0.45">
      <c r="A3095" s="2">
        <v>45100</v>
      </c>
      <c r="B3095" s="3">
        <v>62979.37</v>
      </c>
      <c r="C3095" s="3">
        <v>250</v>
      </c>
      <c r="D3095" s="3">
        <f t="shared" si="98"/>
        <v>-4.1122475578314879E-3</v>
      </c>
      <c r="E3095" s="3">
        <f t="shared" si="99"/>
        <v>-1.4494446150452605E-2</v>
      </c>
    </row>
    <row r="3096" spans="1:5" x14ac:dyDescent="0.45">
      <c r="A3096" s="2">
        <v>45103</v>
      </c>
      <c r="B3096" s="3">
        <v>62970</v>
      </c>
      <c r="C3096" s="3">
        <v>248.4</v>
      </c>
      <c r="D3096" s="3">
        <f t="shared" si="98"/>
        <v>-1.4878994658388799E-4</v>
      </c>
      <c r="E3096" s="3">
        <f t="shared" si="99"/>
        <v>-6.4205678029226948E-3</v>
      </c>
    </row>
    <row r="3097" spans="1:5" x14ac:dyDescent="0.45">
      <c r="A3097" s="2">
        <v>45104</v>
      </c>
      <c r="B3097" s="3">
        <v>63416.03</v>
      </c>
      <c r="C3097" s="3">
        <v>249.5</v>
      </c>
      <c r="D3097" s="3">
        <f t="shared" si="98"/>
        <v>7.0582461008253687E-3</v>
      </c>
      <c r="E3097" s="3">
        <f t="shared" si="99"/>
        <v>4.4185651322496758E-3</v>
      </c>
    </row>
    <row r="3098" spans="1:5" x14ac:dyDescent="0.45">
      <c r="A3098" s="2">
        <v>45105</v>
      </c>
      <c r="B3098" s="3">
        <v>63915.42</v>
      </c>
      <c r="C3098" s="3">
        <v>250.15</v>
      </c>
      <c r="D3098" s="3">
        <f t="shared" si="98"/>
        <v>7.8439782243291886E-3</v>
      </c>
      <c r="E3098" s="3">
        <f t="shared" si="99"/>
        <v>2.601822742640618E-3</v>
      </c>
    </row>
    <row r="3099" spans="1:5" x14ac:dyDescent="0.45">
      <c r="A3099" s="2">
        <v>45107</v>
      </c>
      <c r="B3099" s="3">
        <v>64718.559999999998</v>
      </c>
      <c r="C3099" s="3">
        <v>255.1</v>
      </c>
      <c r="D3099" s="3">
        <f t="shared" si="98"/>
        <v>1.2487375985925612E-2</v>
      </c>
      <c r="E3099" s="3">
        <f t="shared" si="99"/>
        <v>1.9594887213551584E-2</v>
      </c>
    </row>
    <row r="3100" spans="1:5" x14ac:dyDescent="0.45">
      <c r="A3100" s="2">
        <v>45110</v>
      </c>
      <c r="B3100" s="3">
        <v>65205.05</v>
      </c>
      <c r="C3100" s="3">
        <v>250.35</v>
      </c>
      <c r="D3100" s="3">
        <f t="shared" si="98"/>
        <v>7.4888971092005371E-3</v>
      </c>
      <c r="E3100" s="3">
        <f t="shared" si="99"/>
        <v>-1.8795686371811931E-2</v>
      </c>
    </row>
    <row r="3101" spans="1:5" x14ac:dyDescent="0.45">
      <c r="A3101" s="2">
        <v>45111</v>
      </c>
      <c r="B3101" s="3">
        <v>65479.05</v>
      </c>
      <c r="C3101" s="3">
        <v>249.6</v>
      </c>
      <c r="D3101" s="3">
        <f t="shared" si="98"/>
        <v>4.1933242299635404E-3</v>
      </c>
      <c r="E3101" s="3">
        <f t="shared" si="99"/>
        <v>-3.0003022806811656E-3</v>
      </c>
    </row>
    <row r="3102" spans="1:5" x14ac:dyDescent="0.45">
      <c r="A3102" s="2">
        <v>45112</v>
      </c>
      <c r="B3102" s="3">
        <v>65446.04</v>
      </c>
      <c r="C3102" s="3">
        <v>253.25</v>
      </c>
      <c r="D3102" s="3">
        <f t="shared" si="98"/>
        <v>-5.0425782712039109E-4</v>
      </c>
      <c r="E3102" s="3">
        <f t="shared" si="99"/>
        <v>1.4517506633520083E-2</v>
      </c>
    </row>
    <row r="3103" spans="1:5" x14ac:dyDescent="0.45">
      <c r="A3103" s="2">
        <v>45113</v>
      </c>
      <c r="B3103" s="3">
        <v>65785.64</v>
      </c>
      <c r="C3103" s="3">
        <v>262.85000000000002</v>
      </c>
      <c r="D3103" s="3">
        <f t="shared" si="98"/>
        <v>5.1755911082521965E-3</v>
      </c>
      <c r="E3103" s="3">
        <f t="shared" si="99"/>
        <v>3.7206384136664383E-2</v>
      </c>
    </row>
    <row r="3104" spans="1:5" x14ac:dyDescent="0.45">
      <c r="A3104" s="2">
        <v>45114</v>
      </c>
      <c r="B3104" s="3">
        <v>65280.45</v>
      </c>
      <c r="C3104" s="3">
        <v>255.6</v>
      </c>
      <c r="D3104" s="3">
        <f t="shared" si="98"/>
        <v>-7.7089734175821425E-3</v>
      </c>
      <c r="E3104" s="3">
        <f t="shared" si="99"/>
        <v>-2.7969804762077423E-2</v>
      </c>
    </row>
    <row r="3105" spans="1:5" x14ac:dyDescent="0.45">
      <c r="A3105" s="2">
        <v>45117</v>
      </c>
      <c r="B3105" s="3">
        <v>65344.17</v>
      </c>
      <c r="C3105" s="3">
        <v>250.05</v>
      </c>
      <c r="D3105" s="3">
        <f t="shared" si="98"/>
        <v>9.7562014043352024E-4</v>
      </c>
      <c r="E3105" s="3">
        <f t="shared" si="99"/>
        <v>-2.195282463846699E-2</v>
      </c>
    </row>
    <row r="3106" spans="1:5" x14ac:dyDescent="0.45">
      <c r="A3106" s="2">
        <v>45118</v>
      </c>
      <c r="B3106" s="3">
        <v>65617.84</v>
      </c>
      <c r="C3106" s="3">
        <v>253.65</v>
      </c>
      <c r="D3106" s="3">
        <f t="shared" si="98"/>
        <v>4.1793860426467362E-3</v>
      </c>
      <c r="E3106" s="3">
        <f t="shared" si="99"/>
        <v>1.4294466147786299E-2</v>
      </c>
    </row>
    <row r="3107" spans="1:5" x14ac:dyDescent="0.45">
      <c r="A3107" s="2">
        <v>45119</v>
      </c>
      <c r="B3107" s="3">
        <v>65393.9</v>
      </c>
      <c r="C3107" s="3">
        <v>252.3</v>
      </c>
      <c r="D3107" s="3">
        <f t="shared" si="98"/>
        <v>-3.418628255745806E-3</v>
      </c>
      <c r="E3107" s="3">
        <f t="shared" si="99"/>
        <v>-5.3365083656868951E-3</v>
      </c>
    </row>
    <row r="3108" spans="1:5" x14ac:dyDescent="0.45">
      <c r="A3108" s="2">
        <v>45120</v>
      </c>
      <c r="B3108" s="3">
        <v>65558.89</v>
      </c>
      <c r="C3108" s="3">
        <v>243.15</v>
      </c>
      <c r="D3108" s="3">
        <f t="shared" si="98"/>
        <v>2.5198407349955698E-3</v>
      </c>
      <c r="E3108" s="3">
        <f t="shared" si="99"/>
        <v>-3.6940318797217278E-2</v>
      </c>
    </row>
    <row r="3109" spans="1:5" x14ac:dyDescent="0.45">
      <c r="A3109" s="2">
        <v>45121</v>
      </c>
      <c r="B3109" s="3">
        <v>66060.899999999994</v>
      </c>
      <c r="C3109" s="3">
        <v>240.1</v>
      </c>
      <c r="D3109" s="3">
        <f t="shared" si="98"/>
        <v>7.6282211712641818E-3</v>
      </c>
      <c r="E3109" s="3">
        <f t="shared" si="99"/>
        <v>-1.2623033622587319E-2</v>
      </c>
    </row>
    <row r="3110" spans="1:5" x14ac:dyDescent="0.45">
      <c r="A3110" s="2">
        <v>45124</v>
      </c>
      <c r="B3110" s="3">
        <v>66589.929999999993</v>
      </c>
      <c r="C3110" s="3">
        <v>241</v>
      </c>
      <c r="D3110" s="3">
        <f t="shared" si="98"/>
        <v>7.9763210650486416E-3</v>
      </c>
      <c r="E3110" s="3">
        <f t="shared" si="99"/>
        <v>3.7414302634475849E-3</v>
      </c>
    </row>
    <row r="3111" spans="1:5" x14ac:dyDescent="0.45">
      <c r="A3111" s="2">
        <v>45125</v>
      </c>
      <c r="B3111" s="3">
        <v>66795.14</v>
      </c>
      <c r="C3111" s="3">
        <v>241.15</v>
      </c>
      <c r="D3111" s="3">
        <f t="shared" si="98"/>
        <v>3.0769584917575447E-3</v>
      </c>
      <c r="E3111" s="3">
        <f t="shared" si="99"/>
        <v>6.2221302432588423E-4</v>
      </c>
    </row>
    <row r="3112" spans="1:5" x14ac:dyDescent="0.45">
      <c r="A3112" s="2">
        <v>45126</v>
      </c>
      <c r="B3112" s="3">
        <v>67097.440000000002</v>
      </c>
      <c r="C3112" s="3">
        <v>243.25</v>
      </c>
      <c r="D3112" s="3">
        <f t="shared" si="98"/>
        <v>4.5155678330613533E-3</v>
      </c>
      <c r="E3112" s="3">
        <f t="shared" si="99"/>
        <v>8.6705745511335766E-3</v>
      </c>
    </row>
    <row r="3113" spans="1:5" x14ac:dyDescent="0.45">
      <c r="A3113" s="2">
        <v>45127</v>
      </c>
      <c r="B3113" s="3">
        <v>67571.899999999994</v>
      </c>
      <c r="C3113" s="3">
        <v>244.15</v>
      </c>
      <c r="D3113" s="3">
        <f t="shared" si="98"/>
        <v>7.0463249185610975E-3</v>
      </c>
      <c r="E3113" s="3">
        <f t="shared" si="99"/>
        <v>3.6930694415547604E-3</v>
      </c>
    </row>
    <row r="3114" spans="1:5" x14ac:dyDescent="0.45">
      <c r="A3114" s="2">
        <v>45128</v>
      </c>
      <c r="B3114" s="3">
        <v>66684.259999999995</v>
      </c>
      <c r="C3114" s="3">
        <v>244.15</v>
      </c>
      <c r="D3114" s="3">
        <f t="shared" si="98"/>
        <v>-1.3223273092021287E-2</v>
      </c>
      <c r="E3114" s="3">
        <f t="shared" si="99"/>
        <v>0</v>
      </c>
    </row>
    <row r="3115" spans="1:5" x14ac:dyDescent="0.45">
      <c r="A3115" s="2">
        <v>45131</v>
      </c>
      <c r="B3115" s="3">
        <v>66384.78</v>
      </c>
      <c r="C3115" s="3">
        <v>247.4</v>
      </c>
      <c r="D3115" s="3">
        <f t="shared" si="98"/>
        <v>-4.501129723729947E-3</v>
      </c>
      <c r="E3115" s="3">
        <f t="shared" si="99"/>
        <v>1.322366945071827E-2</v>
      </c>
    </row>
    <row r="3116" spans="1:5" x14ac:dyDescent="0.45">
      <c r="A3116" s="2">
        <v>45132</v>
      </c>
      <c r="B3116" s="3">
        <v>66355.710000000006</v>
      </c>
      <c r="C3116" s="3">
        <v>251.15</v>
      </c>
      <c r="D3116" s="3">
        <f t="shared" si="98"/>
        <v>-4.3799748614348709E-4</v>
      </c>
      <c r="E3116" s="3">
        <f t="shared" si="99"/>
        <v>1.5043910237666285E-2</v>
      </c>
    </row>
    <row r="3117" spans="1:5" x14ac:dyDescent="0.45">
      <c r="A3117" s="2">
        <v>45133</v>
      </c>
      <c r="B3117" s="3">
        <v>66707.199999999997</v>
      </c>
      <c r="C3117" s="3">
        <v>251</v>
      </c>
      <c r="D3117" s="3">
        <f t="shared" si="98"/>
        <v>5.2830772682378535E-3</v>
      </c>
      <c r="E3117" s="3">
        <f t="shared" si="99"/>
        <v>-5.9743106426982443E-4</v>
      </c>
    </row>
    <row r="3118" spans="1:5" x14ac:dyDescent="0.45">
      <c r="A3118" s="2">
        <v>45134</v>
      </c>
      <c r="B3118" s="3">
        <v>66266.820000000007</v>
      </c>
      <c r="C3118" s="3">
        <v>250.6</v>
      </c>
      <c r="D3118" s="3">
        <f t="shared" si="98"/>
        <v>-6.6235736878245566E-3</v>
      </c>
      <c r="E3118" s="3">
        <f t="shared" si="99"/>
        <v>-1.5948966698160025E-3</v>
      </c>
    </row>
    <row r="3119" spans="1:5" x14ac:dyDescent="0.45">
      <c r="A3119" s="2">
        <v>45135</v>
      </c>
      <c r="B3119" s="3">
        <v>66160.2</v>
      </c>
      <c r="C3119" s="3">
        <v>258.25</v>
      </c>
      <c r="D3119" s="3">
        <f t="shared" si="98"/>
        <v>-1.6102457495132006E-3</v>
      </c>
      <c r="E3119" s="3">
        <f t="shared" si="99"/>
        <v>3.007006553778005E-2</v>
      </c>
    </row>
    <row r="3120" spans="1:5" x14ac:dyDescent="0.45">
      <c r="A3120" s="2">
        <v>45138</v>
      </c>
      <c r="B3120" s="3">
        <v>66527.67</v>
      </c>
      <c r="C3120" s="3">
        <v>266</v>
      </c>
      <c r="D3120" s="3">
        <f t="shared" si="98"/>
        <v>5.5388776603659349E-3</v>
      </c>
      <c r="E3120" s="3">
        <f t="shared" si="99"/>
        <v>2.9568200781951184E-2</v>
      </c>
    </row>
    <row r="3121" spans="1:5" x14ac:dyDescent="0.45">
      <c r="A3121" s="2">
        <v>45139</v>
      </c>
      <c r="B3121" s="3">
        <v>66459.31</v>
      </c>
      <c r="C3121" s="3">
        <v>251.75</v>
      </c>
      <c r="D3121" s="3">
        <f t="shared" si="98"/>
        <v>-1.0280706580595214E-3</v>
      </c>
      <c r="E3121" s="3">
        <f t="shared" si="99"/>
        <v>-5.5059777183027431E-2</v>
      </c>
    </row>
    <row r="3122" spans="1:5" x14ac:dyDescent="0.45">
      <c r="A3122" s="2">
        <v>45140</v>
      </c>
      <c r="B3122" s="3">
        <v>65782.78</v>
      </c>
      <c r="C3122" s="3">
        <v>248.6</v>
      </c>
      <c r="D3122" s="3">
        <f t="shared" si="98"/>
        <v>-1.0231778734145708E-2</v>
      </c>
      <c r="E3122" s="3">
        <f t="shared" si="99"/>
        <v>-1.2591352522060993E-2</v>
      </c>
    </row>
    <row r="3123" spans="1:5" x14ac:dyDescent="0.45">
      <c r="A3123" s="2">
        <v>45141</v>
      </c>
      <c r="B3123" s="3">
        <v>65240.68</v>
      </c>
      <c r="C3123" s="3">
        <v>248.65</v>
      </c>
      <c r="D3123" s="3">
        <f t="shared" si="98"/>
        <v>-8.2749012017995192E-3</v>
      </c>
      <c r="E3123" s="3">
        <f t="shared" si="99"/>
        <v>2.0110608413675824E-4</v>
      </c>
    </row>
    <row r="3124" spans="1:5" x14ac:dyDescent="0.45">
      <c r="A3124" s="2">
        <v>45142</v>
      </c>
      <c r="B3124" s="3">
        <v>65721.25</v>
      </c>
      <c r="C3124" s="3">
        <v>247.5</v>
      </c>
      <c r="D3124" s="3">
        <f t="shared" si="98"/>
        <v>7.3391123215627001E-3</v>
      </c>
      <c r="E3124" s="3">
        <f t="shared" si="99"/>
        <v>-4.6357031520025682E-3</v>
      </c>
    </row>
    <row r="3125" spans="1:5" x14ac:dyDescent="0.45">
      <c r="A3125" s="2">
        <v>45145</v>
      </c>
      <c r="B3125" s="3">
        <v>65953.48</v>
      </c>
      <c r="C3125" s="3">
        <v>248</v>
      </c>
      <c r="D3125" s="3">
        <f t="shared" si="98"/>
        <v>3.5273319456986677E-3</v>
      </c>
      <c r="E3125" s="3">
        <f t="shared" si="99"/>
        <v>2.0181641562371953E-3</v>
      </c>
    </row>
    <row r="3126" spans="1:5" x14ac:dyDescent="0.45">
      <c r="A3126" s="2">
        <v>45146</v>
      </c>
      <c r="B3126" s="3">
        <v>65846.5</v>
      </c>
      <c r="C3126" s="3">
        <v>241.5</v>
      </c>
      <c r="D3126" s="3">
        <f t="shared" si="98"/>
        <v>-1.6233693433632197E-3</v>
      </c>
      <c r="E3126" s="3">
        <f t="shared" si="99"/>
        <v>-2.6559273072354828E-2</v>
      </c>
    </row>
    <row r="3127" spans="1:5" x14ac:dyDescent="0.45">
      <c r="A3127" s="2">
        <v>45147</v>
      </c>
      <c r="B3127" s="3">
        <v>65995.81</v>
      </c>
      <c r="C3127" s="3">
        <v>240.25</v>
      </c>
      <c r="D3127" s="3">
        <f t="shared" si="98"/>
        <v>2.264979486959238E-3</v>
      </c>
      <c r="E3127" s="3">
        <f t="shared" si="99"/>
        <v>-5.1894252422254959E-3</v>
      </c>
    </row>
    <row r="3128" spans="1:5" x14ac:dyDescent="0.45">
      <c r="A3128" s="2">
        <v>45148</v>
      </c>
      <c r="B3128" s="3">
        <v>65688.179999999993</v>
      </c>
      <c r="C3128" s="3">
        <v>242</v>
      </c>
      <c r="D3128" s="3">
        <f t="shared" si="98"/>
        <v>-4.6722545334338872E-3</v>
      </c>
      <c r="E3128" s="3">
        <f t="shared" si="99"/>
        <v>7.2576783062845108E-3</v>
      </c>
    </row>
    <row r="3129" spans="1:5" x14ac:dyDescent="0.45">
      <c r="A3129" s="2">
        <v>45149</v>
      </c>
      <c r="B3129" s="3">
        <v>65322.65</v>
      </c>
      <c r="C3129" s="3">
        <v>244.3</v>
      </c>
      <c r="D3129" s="3">
        <f t="shared" si="98"/>
        <v>-5.5801638459338021E-3</v>
      </c>
      <c r="E3129" s="3">
        <f t="shared" si="99"/>
        <v>9.4592521070085422E-3</v>
      </c>
    </row>
    <row r="3130" spans="1:5" x14ac:dyDescent="0.45">
      <c r="A3130" s="2">
        <v>45152</v>
      </c>
      <c r="B3130" s="3">
        <v>65401.919999999998</v>
      </c>
      <c r="C3130" s="3">
        <v>244.45</v>
      </c>
      <c r="D3130" s="3">
        <f t="shared" si="98"/>
        <v>1.2127790470616428E-3</v>
      </c>
      <c r="E3130" s="3">
        <f t="shared" si="99"/>
        <v>6.1381076095966519E-4</v>
      </c>
    </row>
    <row r="3131" spans="1:5" x14ac:dyDescent="0.45">
      <c r="A3131" s="2">
        <v>45154</v>
      </c>
      <c r="B3131" s="3">
        <v>65539.42</v>
      </c>
      <c r="C3131" s="3">
        <v>247.8</v>
      </c>
      <c r="D3131" s="3">
        <f t="shared" si="98"/>
        <v>2.1001778436024088E-3</v>
      </c>
      <c r="E3131" s="3">
        <f t="shared" si="99"/>
        <v>1.3611180170387585E-2</v>
      </c>
    </row>
    <row r="3132" spans="1:5" x14ac:dyDescent="0.45">
      <c r="A3132" s="2">
        <v>45155</v>
      </c>
      <c r="B3132" s="3">
        <v>65151.02</v>
      </c>
      <c r="C3132" s="3">
        <v>243.65</v>
      </c>
      <c r="D3132" s="3">
        <f t="shared" si="98"/>
        <v>-5.9438340476407952E-3</v>
      </c>
      <c r="E3132" s="3">
        <f t="shared" si="99"/>
        <v>-1.6889199905526894E-2</v>
      </c>
    </row>
    <row r="3133" spans="1:5" x14ac:dyDescent="0.45">
      <c r="A3133" s="2">
        <v>45156</v>
      </c>
      <c r="B3133" s="3">
        <v>64948.66</v>
      </c>
      <c r="C3133" s="3">
        <v>240.65</v>
      </c>
      <c r="D3133" s="3">
        <f t="shared" si="98"/>
        <v>-3.1108479773780647E-3</v>
      </c>
      <c r="E3133" s="3">
        <f t="shared" si="99"/>
        <v>-1.2389173540396864E-2</v>
      </c>
    </row>
    <row r="3134" spans="1:5" x14ac:dyDescent="0.45">
      <c r="A3134" s="2">
        <v>45159</v>
      </c>
      <c r="B3134" s="3">
        <v>65216.09</v>
      </c>
      <c r="C3134" s="3">
        <v>247.25</v>
      </c>
      <c r="D3134" s="3">
        <f t="shared" si="98"/>
        <v>4.1091059797780096E-3</v>
      </c>
      <c r="E3134" s="3">
        <f t="shared" si="99"/>
        <v>2.7056374753703157E-2</v>
      </c>
    </row>
    <row r="3135" spans="1:5" x14ac:dyDescent="0.45">
      <c r="A3135" s="2">
        <v>45160</v>
      </c>
      <c r="B3135" s="3">
        <v>65220.03</v>
      </c>
      <c r="C3135" s="3">
        <v>247.8</v>
      </c>
      <c r="D3135" s="3">
        <f t="shared" si="98"/>
        <v>6.0412713920037044E-5</v>
      </c>
      <c r="E3135" s="3">
        <f t="shared" si="99"/>
        <v>2.2219986922205849E-3</v>
      </c>
    </row>
    <row r="3136" spans="1:5" x14ac:dyDescent="0.45">
      <c r="A3136" s="2">
        <v>45161</v>
      </c>
      <c r="B3136" s="3">
        <v>65433.3</v>
      </c>
      <c r="C3136" s="3">
        <v>249.6</v>
      </c>
      <c r="D3136" s="3">
        <f t="shared" si="98"/>
        <v>3.2646728471575842E-3</v>
      </c>
      <c r="E3136" s="3">
        <f t="shared" si="99"/>
        <v>7.2376673002303819E-3</v>
      </c>
    </row>
    <row r="3137" spans="1:5" x14ac:dyDescent="0.45">
      <c r="A3137" s="2">
        <v>45162</v>
      </c>
      <c r="B3137" s="3">
        <v>65252.34</v>
      </c>
      <c r="C3137" s="3">
        <v>246.3</v>
      </c>
      <c r="D3137" s="3">
        <f t="shared" si="98"/>
        <v>-2.76939556108588E-3</v>
      </c>
      <c r="E3137" s="3">
        <f t="shared" si="99"/>
        <v>-1.3309331368780267E-2</v>
      </c>
    </row>
    <row r="3138" spans="1:5" x14ac:dyDescent="0.45">
      <c r="A3138" s="2">
        <v>45163</v>
      </c>
      <c r="B3138" s="3">
        <v>64886.51</v>
      </c>
      <c r="C3138" s="3">
        <v>242.4</v>
      </c>
      <c r="D3138" s="3">
        <f t="shared" si="98"/>
        <v>-5.6221637676654437E-3</v>
      </c>
      <c r="E3138" s="3">
        <f t="shared" si="99"/>
        <v>-1.5961050931332904E-2</v>
      </c>
    </row>
    <row r="3139" spans="1:5" x14ac:dyDescent="0.45">
      <c r="A3139" s="2">
        <v>45166</v>
      </c>
      <c r="B3139" s="3">
        <v>64996.6</v>
      </c>
      <c r="C3139" s="3">
        <v>248.45</v>
      </c>
      <c r="D3139" s="3">
        <f t="shared" si="98"/>
        <v>1.6952169741600441E-3</v>
      </c>
      <c r="E3139" s="3">
        <f t="shared" si="99"/>
        <v>2.4652363853170201E-2</v>
      </c>
    </row>
    <row r="3140" spans="1:5" x14ac:dyDescent="0.45">
      <c r="A3140" s="2">
        <v>45167</v>
      </c>
      <c r="B3140" s="3">
        <v>65075.82</v>
      </c>
      <c r="C3140" s="3">
        <v>251.15</v>
      </c>
      <c r="D3140" s="3">
        <f t="shared" si="98"/>
        <v>1.2180908111833076E-3</v>
      </c>
      <c r="E3140" s="3">
        <f t="shared" si="99"/>
        <v>1.080875214772426E-2</v>
      </c>
    </row>
    <row r="3141" spans="1:5" x14ac:dyDescent="0.45">
      <c r="A3141" s="2">
        <v>45168</v>
      </c>
      <c r="B3141" s="3">
        <v>65087.25</v>
      </c>
      <c r="C3141" s="3">
        <v>247.15</v>
      </c>
      <c r="D3141" s="3">
        <f t="shared" si="98"/>
        <v>1.7562585193138601E-4</v>
      </c>
      <c r="E3141" s="3">
        <f t="shared" si="99"/>
        <v>-1.60549304430854E-2</v>
      </c>
    </row>
    <row r="3142" spans="1:5" x14ac:dyDescent="0.45">
      <c r="A3142" s="2">
        <v>45169</v>
      </c>
      <c r="B3142" s="3">
        <v>64831.41</v>
      </c>
      <c r="C3142" s="3">
        <v>244.6</v>
      </c>
      <c r="D3142" s="3">
        <f t="shared" ref="D3142:D3205" si="100">LN(B3142/B3141)</f>
        <v>-3.938469357765235E-3</v>
      </c>
      <c r="E3142" s="3">
        <f t="shared" ref="E3142:E3205" si="101">LN(C3142/C3141)</f>
        <v>-1.0371216499896375E-2</v>
      </c>
    </row>
    <row r="3143" spans="1:5" x14ac:dyDescent="0.45">
      <c r="A3143" s="2">
        <v>45170</v>
      </c>
      <c r="B3143" s="3">
        <v>65387.16</v>
      </c>
      <c r="C3143" s="3">
        <v>252.1</v>
      </c>
      <c r="D3143" s="3">
        <f t="shared" si="100"/>
        <v>8.5357007720284865E-3</v>
      </c>
      <c r="E3143" s="3">
        <f t="shared" si="101"/>
        <v>3.0201610940802124E-2</v>
      </c>
    </row>
    <row r="3144" spans="1:5" x14ac:dyDescent="0.45">
      <c r="A3144" s="2">
        <v>45173</v>
      </c>
      <c r="B3144" s="3">
        <v>65628.14</v>
      </c>
      <c r="C3144" s="3">
        <v>255.25</v>
      </c>
      <c r="D3144" s="3">
        <f t="shared" si="100"/>
        <v>3.6786584735623478E-3</v>
      </c>
      <c r="E3144" s="3">
        <f t="shared" si="101"/>
        <v>1.2417622850900778E-2</v>
      </c>
    </row>
    <row r="3145" spans="1:5" x14ac:dyDescent="0.45">
      <c r="A3145" s="2">
        <v>45174</v>
      </c>
      <c r="B3145" s="3">
        <v>65780.259999999995</v>
      </c>
      <c r="C3145" s="3">
        <v>254.3</v>
      </c>
      <c r="D3145" s="3">
        <f t="shared" si="100"/>
        <v>2.3152259360947757E-3</v>
      </c>
      <c r="E3145" s="3">
        <f t="shared" si="101"/>
        <v>-3.728784616700914E-3</v>
      </c>
    </row>
    <row r="3146" spans="1:5" x14ac:dyDescent="0.45">
      <c r="A3146" s="2">
        <v>45175</v>
      </c>
      <c r="B3146" s="3">
        <v>65880.52</v>
      </c>
      <c r="C3146" s="3">
        <v>254.45</v>
      </c>
      <c r="D3146" s="3">
        <f t="shared" si="100"/>
        <v>1.5230050950603322E-3</v>
      </c>
      <c r="E3146" s="3">
        <f t="shared" si="101"/>
        <v>5.8968060676768707E-4</v>
      </c>
    </row>
    <row r="3147" spans="1:5" x14ac:dyDescent="0.45">
      <c r="A3147" s="2">
        <v>45176</v>
      </c>
      <c r="B3147" s="3">
        <v>66265.56</v>
      </c>
      <c r="C3147" s="3">
        <v>256.95</v>
      </c>
      <c r="D3147" s="3">
        <f t="shared" si="100"/>
        <v>5.8275067963771705E-3</v>
      </c>
      <c r="E3147" s="3">
        <f t="shared" si="101"/>
        <v>9.7771604033969582E-3</v>
      </c>
    </row>
    <row r="3148" spans="1:5" x14ac:dyDescent="0.45">
      <c r="A3148" s="2">
        <v>45177</v>
      </c>
      <c r="B3148" s="3">
        <v>66598.91</v>
      </c>
      <c r="C3148" s="3">
        <v>258.75</v>
      </c>
      <c r="D3148" s="3">
        <f t="shared" si="100"/>
        <v>5.0179058323399049E-3</v>
      </c>
      <c r="E3148" s="3">
        <f t="shared" si="101"/>
        <v>6.9808311413403611E-3</v>
      </c>
    </row>
    <row r="3149" spans="1:5" x14ac:dyDescent="0.45">
      <c r="A3149" s="2">
        <v>45180</v>
      </c>
      <c r="B3149" s="3">
        <v>67127.08</v>
      </c>
      <c r="C3149" s="3">
        <v>264.39999999999998</v>
      </c>
      <c r="D3149" s="3">
        <f t="shared" si="100"/>
        <v>7.8993282675142284E-3</v>
      </c>
      <c r="E3149" s="3">
        <f t="shared" si="101"/>
        <v>2.1600763397952322E-2</v>
      </c>
    </row>
    <row r="3150" spans="1:5" x14ac:dyDescent="0.45">
      <c r="A3150" s="2">
        <v>45181</v>
      </c>
      <c r="B3150" s="3">
        <v>67221.13</v>
      </c>
      <c r="C3150" s="3">
        <v>191.4</v>
      </c>
      <c r="D3150" s="3">
        <f t="shared" si="100"/>
        <v>1.4000933151777223E-3</v>
      </c>
      <c r="E3150" s="3">
        <f t="shared" si="101"/>
        <v>-0.32309762895867722</v>
      </c>
    </row>
    <row r="3151" spans="1:5" x14ac:dyDescent="0.45">
      <c r="A3151" s="2">
        <v>45182</v>
      </c>
      <c r="B3151" s="3">
        <v>67466.990000000005</v>
      </c>
      <c r="C3151" s="3">
        <v>193.2</v>
      </c>
      <c r="D3151" s="3">
        <f t="shared" si="100"/>
        <v>3.6508085950968084E-3</v>
      </c>
      <c r="E3151" s="3">
        <f t="shared" si="101"/>
        <v>9.3604427595636724E-3</v>
      </c>
    </row>
    <row r="3152" spans="1:5" x14ac:dyDescent="0.45">
      <c r="A3152" s="2">
        <v>45183</v>
      </c>
      <c r="B3152" s="3">
        <v>67519</v>
      </c>
      <c r="C3152" s="3">
        <v>195.1</v>
      </c>
      <c r="D3152" s="3">
        <f t="shared" si="100"/>
        <v>7.7059852765049084E-4</v>
      </c>
      <c r="E3152" s="3">
        <f t="shared" si="101"/>
        <v>9.7863258506480418E-3</v>
      </c>
    </row>
    <row r="3153" spans="1:5" x14ac:dyDescent="0.45">
      <c r="A3153" s="2">
        <v>45184</v>
      </c>
      <c r="B3153" s="3">
        <v>67838.63</v>
      </c>
      <c r="C3153" s="3">
        <v>194.2</v>
      </c>
      <c r="D3153" s="3">
        <f t="shared" si="100"/>
        <v>4.7227569527767731E-3</v>
      </c>
      <c r="E3153" s="3">
        <f t="shared" si="101"/>
        <v>-4.6236917718409775E-3</v>
      </c>
    </row>
    <row r="3154" spans="1:5" x14ac:dyDescent="0.45">
      <c r="A3154" s="2">
        <v>45187</v>
      </c>
      <c r="B3154" s="3">
        <v>67596.84</v>
      </c>
      <c r="C3154" s="3">
        <v>200.05</v>
      </c>
      <c r="D3154" s="3">
        <f t="shared" si="100"/>
        <v>-3.5705603100824488E-3</v>
      </c>
      <c r="E3154" s="3">
        <f t="shared" si="101"/>
        <v>2.9678779446019685E-2</v>
      </c>
    </row>
    <row r="3155" spans="1:5" x14ac:dyDescent="0.45">
      <c r="A3155" s="2">
        <v>45189</v>
      </c>
      <c r="B3155" s="3">
        <v>66800.84</v>
      </c>
      <c r="C3155" s="3">
        <v>204.7</v>
      </c>
      <c r="D3155" s="3">
        <f t="shared" si="100"/>
        <v>-1.1845581080343745E-2</v>
      </c>
      <c r="E3155" s="3">
        <f t="shared" si="101"/>
        <v>2.2978157363999704E-2</v>
      </c>
    </row>
    <row r="3156" spans="1:5" x14ac:dyDescent="0.45">
      <c r="A3156" s="2">
        <v>45190</v>
      </c>
      <c r="B3156" s="3">
        <v>66230.240000000005</v>
      </c>
      <c r="C3156" s="3">
        <v>201.8</v>
      </c>
      <c r="D3156" s="3">
        <f t="shared" si="100"/>
        <v>-8.5784990880468214E-3</v>
      </c>
      <c r="E3156" s="3">
        <f t="shared" si="101"/>
        <v>-1.4268384747735122E-2</v>
      </c>
    </row>
    <row r="3157" spans="1:5" x14ac:dyDescent="0.45">
      <c r="A3157" s="2">
        <v>45191</v>
      </c>
      <c r="B3157" s="3">
        <v>66009.149999999994</v>
      </c>
      <c r="C3157" s="3">
        <v>199.1</v>
      </c>
      <c r="D3157" s="3">
        <f t="shared" si="100"/>
        <v>-3.3437874448605373E-3</v>
      </c>
      <c r="E3157" s="3">
        <f t="shared" si="101"/>
        <v>-1.3469896849358091E-2</v>
      </c>
    </row>
    <row r="3158" spans="1:5" x14ac:dyDescent="0.45">
      <c r="A3158" s="2">
        <v>45194</v>
      </c>
      <c r="B3158" s="3">
        <v>66023.69</v>
      </c>
      <c r="C3158" s="3">
        <v>198.9</v>
      </c>
      <c r="D3158" s="3">
        <f t="shared" si="100"/>
        <v>2.2024823610223188E-4</v>
      </c>
      <c r="E3158" s="3">
        <f t="shared" si="101"/>
        <v>-1.0050252102240388E-3</v>
      </c>
    </row>
    <row r="3159" spans="1:5" x14ac:dyDescent="0.45">
      <c r="A3159" s="2">
        <v>45195</v>
      </c>
      <c r="B3159" s="3">
        <v>65945.47</v>
      </c>
      <c r="C3159" s="3">
        <v>198.4</v>
      </c>
      <c r="D3159" s="3">
        <f t="shared" si="100"/>
        <v>-1.1854286131673839E-3</v>
      </c>
      <c r="E3159" s="3">
        <f t="shared" si="101"/>
        <v>-2.5169910091540878E-3</v>
      </c>
    </row>
    <row r="3160" spans="1:5" x14ac:dyDescent="0.45">
      <c r="A3160" s="2">
        <v>45196</v>
      </c>
      <c r="B3160" s="3">
        <v>66118.69</v>
      </c>
      <c r="C3160" s="3">
        <v>199.3</v>
      </c>
      <c r="D3160" s="3">
        <f t="shared" si="100"/>
        <v>2.6232718904999827E-3</v>
      </c>
      <c r="E3160" s="3">
        <f t="shared" si="101"/>
        <v>4.5260323679767091E-3</v>
      </c>
    </row>
    <row r="3161" spans="1:5" x14ac:dyDescent="0.45">
      <c r="A3161" s="2">
        <v>45197</v>
      </c>
      <c r="B3161" s="3">
        <v>65508.32</v>
      </c>
      <c r="C3161" s="3">
        <v>200.75</v>
      </c>
      <c r="D3161" s="3">
        <f t="shared" si="100"/>
        <v>-9.274302819120046E-3</v>
      </c>
      <c r="E3161" s="3">
        <f t="shared" si="101"/>
        <v>7.2491256081219672E-3</v>
      </c>
    </row>
    <row r="3162" spans="1:5" x14ac:dyDescent="0.45">
      <c r="A3162" s="2">
        <v>45198</v>
      </c>
      <c r="B3162" s="3">
        <v>65828.41</v>
      </c>
      <c r="C3162" s="3">
        <v>199.85</v>
      </c>
      <c r="D3162" s="3">
        <f t="shared" si="100"/>
        <v>4.8743505911730033E-3</v>
      </c>
      <c r="E3162" s="3">
        <f t="shared" si="101"/>
        <v>-4.4932676695385882E-3</v>
      </c>
    </row>
    <row r="3163" spans="1:5" x14ac:dyDescent="0.45">
      <c r="A3163" s="2">
        <v>45202</v>
      </c>
      <c r="B3163" s="3">
        <v>65512.1</v>
      </c>
      <c r="C3163" s="3">
        <v>199.3</v>
      </c>
      <c r="D3163" s="3">
        <f t="shared" si="100"/>
        <v>-4.8166496617904307E-3</v>
      </c>
      <c r="E3163" s="3">
        <f t="shared" si="101"/>
        <v>-2.7558579385834289E-3</v>
      </c>
    </row>
    <row r="3164" spans="1:5" x14ac:dyDescent="0.45">
      <c r="A3164" s="2">
        <v>45203</v>
      </c>
      <c r="B3164" s="3">
        <v>65226.04</v>
      </c>
      <c r="C3164" s="3">
        <v>199</v>
      </c>
      <c r="D3164" s="3">
        <f t="shared" si="100"/>
        <v>-4.3760827025122887E-3</v>
      </c>
      <c r="E3164" s="3">
        <f t="shared" si="101"/>
        <v>-1.5064024942567204E-3</v>
      </c>
    </row>
    <row r="3165" spans="1:5" x14ac:dyDescent="0.45">
      <c r="A3165" s="2">
        <v>45204</v>
      </c>
      <c r="B3165" s="3">
        <v>65631.570000000007</v>
      </c>
      <c r="C3165" s="3">
        <v>196.5</v>
      </c>
      <c r="D3165" s="3">
        <f t="shared" si="100"/>
        <v>6.1980544842873027E-3</v>
      </c>
      <c r="E3165" s="3">
        <f t="shared" si="101"/>
        <v>-1.2642393415176468E-2</v>
      </c>
    </row>
    <row r="3166" spans="1:5" x14ac:dyDescent="0.45">
      <c r="A3166" s="2">
        <v>45205</v>
      </c>
      <c r="B3166" s="3">
        <v>65995.63</v>
      </c>
      <c r="C3166" s="3">
        <v>197.05</v>
      </c>
      <c r="D3166" s="3">
        <f t="shared" si="100"/>
        <v>5.531697526692741E-3</v>
      </c>
      <c r="E3166" s="3">
        <f t="shared" si="101"/>
        <v>2.7950723316968202E-3</v>
      </c>
    </row>
    <row r="3167" spans="1:5" x14ac:dyDescent="0.45">
      <c r="A3167" s="2">
        <v>45208</v>
      </c>
      <c r="B3167" s="3">
        <v>65512.39</v>
      </c>
      <c r="C3167" s="3">
        <v>196.1</v>
      </c>
      <c r="D3167" s="3">
        <f t="shared" si="100"/>
        <v>-7.349242655099222E-3</v>
      </c>
      <c r="E3167" s="3">
        <f t="shared" si="101"/>
        <v>-4.8327704387121778E-3</v>
      </c>
    </row>
    <row r="3168" spans="1:5" x14ac:dyDescent="0.45">
      <c r="A3168" s="2">
        <v>45209</v>
      </c>
      <c r="B3168" s="3">
        <v>66079.360000000001</v>
      </c>
      <c r="C3168" s="3">
        <v>197.95</v>
      </c>
      <c r="D3168" s="3">
        <f t="shared" si="100"/>
        <v>8.6171588778013557E-3</v>
      </c>
      <c r="E3168" s="3">
        <f t="shared" si="101"/>
        <v>9.3897403498389171E-3</v>
      </c>
    </row>
    <row r="3169" spans="1:5" x14ac:dyDescent="0.45">
      <c r="A3169" s="2">
        <v>45210</v>
      </c>
      <c r="B3169" s="3">
        <v>66473.05</v>
      </c>
      <c r="C3169" s="3">
        <v>198.5</v>
      </c>
      <c r="D3169" s="3">
        <f t="shared" si="100"/>
        <v>5.9401584268105254E-3</v>
      </c>
      <c r="E3169" s="3">
        <f t="shared" si="101"/>
        <v>2.7746265751056082E-3</v>
      </c>
    </row>
    <row r="3170" spans="1:5" x14ac:dyDescent="0.45">
      <c r="A3170" s="2">
        <v>45211</v>
      </c>
      <c r="B3170" s="3">
        <v>66408.39</v>
      </c>
      <c r="C3170" s="3">
        <v>200.85</v>
      </c>
      <c r="D3170" s="3">
        <f t="shared" si="100"/>
        <v>-9.7319844070590752E-4</v>
      </c>
      <c r="E3170" s="3">
        <f t="shared" si="101"/>
        <v>1.1769260678046095E-2</v>
      </c>
    </row>
    <row r="3171" spans="1:5" x14ac:dyDescent="0.45">
      <c r="A3171" s="2">
        <v>45212</v>
      </c>
      <c r="B3171" s="3">
        <v>66282.740000000005</v>
      </c>
      <c r="C3171" s="3">
        <v>201.65</v>
      </c>
      <c r="D3171" s="3">
        <f t="shared" si="100"/>
        <v>-1.8938724473336714E-3</v>
      </c>
      <c r="E3171" s="3">
        <f t="shared" si="101"/>
        <v>3.9751605140860352E-3</v>
      </c>
    </row>
    <row r="3172" spans="1:5" x14ac:dyDescent="0.45">
      <c r="A3172" s="2">
        <v>45215</v>
      </c>
      <c r="B3172" s="3">
        <v>66166.929999999993</v>
      </c>
      <c r="C3172" s="3">
        <v>203.05</v>
      </c>
      <c r="D3172" s="3">
        <f t="shared" si="100"/>
        <v>-1.7487401744851814E-3</v>
      </c>
      <c r="E3172" s="3">
        <f t="shared" si="101"/>
        <v>6.9187328129296458E-3</v>
      </c>
    </row>
    <row r="3173" spans="1:5" x14ac:dyDescent="0.45">
      <c r="A3173" s="2">
        <v>45216</v>
      </c>
      <c r="B3173" s="3">
        <v>66428.09</v>
      </c>
      <c r="C3173" s="3">
        <v>207.05</v>
      </c>
      <c r="D3173" s="3">
        <f t="shared" si="100"/>
        <v>3.93921789387079E-3</v>
      </c>
      <c r="E3173" s="3">
        <f t="shared" si="101"/>
        <v>1.9508055859269475E-2</v>
      </c>
    </row>
    <row r="3174" spans="1:5" x14ac:dyDescent="0.45">
      <c r="A3174" s="2">
        <v>45217</v>
      </c>
      <c r="B3174" s="3">
        <v>65877.02</v>
      </c>
      <c r="C3174" s="3">
        <v>206.5</v>
      </c>
      <c r="D3174" s="3">
        <f t="shared" si="100"/>
        <v>-8.3303386659392912E-3</v>
      </c>
      <c r="E3174" s="3">
        <f t="shared" si="101"/>
        <v>-2.6598975904888172E-3</v>
      </c>
    </row>
    <row r="3175" spans="1:5" x14ac:dyDescent="0.45">
      <c r="A3175" s="2">
        <v>45218</v>
      </c>
      <c r="B3175" s="3">
        <v>65629.240000000005</v>
      </c>
      <c r="C3175" s="3">
        <v>205.7</v>
      </c>
      <c r="D3175" s="3">
        <f t="shared" si="100"/>
        <v>-3.7683421795217391E-3</v>
      </c>
      <c r="E3175" s="3">
        <f t="shared" si="101"/>
        <v>-3.8816157421759801E-3</v>
      </c>
    </row>
    <row r="3176" spans="1:5" x14ac:dyDescent="0.45">
      <c r="A3176" s="2">
        <v>45219</v>
      </c>
      <c r="B3176" s="3">
        <v>65397.62</v>
      </c>
      <c r="C3176" s="3">
        <v>202.9</v>
      </c>
      <c r="D3176" s="3">
        <f t="shared" si="100"/>
        <v>-3.5354619848322636E-3</v>
      </c>
      <c r="E3176" s="3">
        <f t="shared" si="101"/>
        <v>-1.3705549827142307E-2</v>
      </c>
    </row>
    <row r="3177" spans="1:5" x14ac:dyDescent="0.45">
      <c r="A3177" s="2">
        <v>45222</v>
      </c>
      <c r="B3177" s="3">
        <v>64571.88</v>
      </c>
      <c r="C3177" s="3">
        <v>199.6</v>
      </c>
      <c r="D3177" s="3">
        <f t="shared" si="100"/>
        <v>-1.2706844460737445E-2</v>
      </c>
      <c r="E3177" s="3">
        <f t="shared" si="101"/>
        <v>-1.6397882954405554E-2</v>
      </c>
    </row>
    <row r="3178" spans="1:5" x14ac:dyDescent="0.45">
      <c r="A3178" s="2">
        <v>45224</v>
      </c>
      <c r="B3178" s="3">
        <v>64049.06</v>
      </c>
      <c r="C3178" s="3">
        <v>199.5</v>
      </c>
      <c r="D3178" s="3">
        <f t="shared" si="100"/>
        <v>-8.129669702221301E-3</v>
      </c>
      <c r="E3178" s="3">
        <f t="shared" si="101"/>
        <v>-5.0112754744537015E-4</v>
      </c>
    </row>
    <row r="3179" spans="1:5" x14ac:dyDescent="0.45">
      <c r="A3179" s="2">
        <v>45225</v>
      </c>
      <c r="B3179" s="3">
        <v>63148.15</v>
      </c>
      <c r="C3179" s="3">
        <v>198.95</v>
      </c>
      <c r="D3179" s="3">
        <f t="shared" si="100"/>
        <v>-1.4165799161900099E-2</v>
      </c>
      <c r="E3179" s="3">
        <f t="shared" si="101"/>
        <v>-2.760699456980575E-3</v>
      </c>
    </row>
    <row r="3180" spans="1:5" x14ac:dyDescent="0.45">
      <c r="A3180" s="2">
        <v>45226</v>
      </c>
      <c r="B3180" s="3">
        <v>63782.8</v>
      </c>
      <c r="C3180" s="3">
        <v>201</v>
      </c>
      <c r="D3180" s="3">
        <f t="shared" si="100"/>
        <v>1.0000008488869989E-2</v>
      </c>
      <c r="E3180" s="3">
        <f t="shared" si="101"/>
        <v>1.0251371186138229E-2</v>
      </c>
    </row>
    <row r="3181" spans="1:5" x14ac:dyDescent="0.45">
      <c r="A3181" s="2">
        <v>45229</v>
      </c>
      <c r="B3181" s="3">
        <v>64112.65</v>
      </c>
      <c r="C3181" s="3">
        <v>200.85</v>
      </c>
      <c r="D3181" s="3">
        <f t="shared" si="100"/>
        <v>5.1581308223353521E-3</v>
      </c>
      <c r="E3181" s="3">
        <f t="shared" si="101"/>
        <v>-7.4654725378458175E-4</v>
      </c>
    </row>
    <row r="3182" spans="1:5" x14ac:dyDescent="0.45">
      <c r="A3182" s="2">
        <v>45230</v>
      </c>
      <c r="B3182" s="3">
        <v>63874.93</v>
      </c>
      <c r="C3182" s="3">
        <v>202.15</v>
      </c>
      <c r="D3182" s="3">
        <f t="shared" si="100"/>
        <v>-3.7147397171490436E-3</v>
      </c>
      <c r="E3182" s="3">
        <f t="shared" si="101"/>
        <v>6.4516352814888165E-3</v>
      </c>
    </row>
    <row r="3183" spans="1:5" x14ac:dyDescent="0.45">
      <c r="A3183" s="2">
        <v>45231</v>
      </c>
      <c r="B3183" s="3">
        <v>63591.33</v>
      </c>
      <c r="C3183" s="3">
        <v>200.95</v>
      </c>
      <c r="D3183" s="3">
        <f t="shared" si="100"/>
        <v>-4.4498123340161741E-3</v>
      </c>
      <c r="E3183" s="3">
        <f t="shared" si="101"/>
        <v>-5.9538751915698043E-3</v>
      </c>
    </row>
    <row r="3184" spans="1:5" x14ac:dyDescent="0.45">
      <c r="A3184" s="2">
        <v>45232</v>
      </c>
      <c r="B3184" s="3">
        <v>64080.9</v>
      </c>
      <c r="C3184" s="3">
        <v>203.3</v>
      </c>
      <c r="D3184" s="3">
        <f t="shared" si="100"/>
        <v>7.6692073064537547E-3</v>
      </c>
      <c r="E3184" s="3">
        <f t="shared" si="101"/>
        <v>1.1626599739090955E-2</v>
      </c>
    </row>
    <row r="3185" spans="1:5" x14ac:dyDescent="0.45">
      <c r="A3185" s="2">
        <v>45233</v>
      </c>
      <c r="B3185" s="3">
        <v>64363.78</v>
      </c>
      <c r="C3185" s="3">
        <v>204.35</v>
      </c>
      <c r="D3185" s="3">
        <f t="shared" si="100"/>
        <v>4.4047049259823461E-3</v>
      </c>
      <c r="E3185" s="3">
        <f t="shared" si="101"/>
        <v>5.1514893759852416E-3</v>
      </c>
    </row>
    <row r="3186" spans="1:5" x14ac:dyDescent="0.45">
      <c r="A3186" s="2">
        <v>45236</v>
      </c>
      <c r="B3186" s="3">
        <v>64958.69</v>
      </c>
      <c r="C3186" s="3">
        <v>208.2</v>
      </c>
      <c r="D3186" s="3">
        <f t="shared" si="100"/>
        <v>9.2004768626460266E-3</v>
      </c>
      <c r="E3186" s="3">
        <f t="shared" si="101"/>
        <v>1.8664946170582244E-2</v>
      </c>
    </row>
    <row r="3187" spans="1:5" x14ac:dyDescent="0.45">
      <c r="A3187" s="2">
        <v>45237</v>
      </c>
      <c r="B3187" s="3">
        <v>64942.400000000001</v>
      </c>
      <c r="C3187" s="3">
        <v>208</v>
      </c>
      <c r="D3187" s="3">
        <f t="shared" si="100"/>
        <v>-2.5080621087003656E-4</v>
      </c>
      <c r="E3187" s="3">
        <f t="shared" si="101"/>
        <v>-9.6107647955047816E-4</v>
      </c>
    </row>
    <row r="3188" spans="1:5" x14ac:dyDescent="0.45">
      <c r="A3188" s="2">
        <v>45238</v>
      </c>
      <c r="B3188" s="3">
        <v>64975.61</v>
      </c>
      <c r="C3188" s="3">
        <v>206.9</v>
      </c>
      <c r="D3188" s="3">
        <f t="shared" si="100"/>
        <v>5.1124552667246911E-4</v>
      </c>
      <c r="E3188" s="3">
        <f t="shared" si="101"/>
        <v>-5.3024949498206081E-3</v>
      </c>
    </row>
    <row r="3189" spans="1:5" x14ac:dyDescent="0.45">
      <c r="A3189" s="2">
        <v>45239</v>
      </c>
      <c r="B3189" s="3">
        <v>64832.2</v>
      </c>
      <c r="C3189" s="3">
        <v>210</v>
      </c>
      <c r="D3189" s="3">
        <f t="shared" si="100"/>
        <v>-2.2095751919183801E-3</v>
      </c>
      <c r="E3189" s="3">
        <f t="shared" si="101"/>
        <v>1.4871945965971373E-2</v>
      </c>
    </row>
    <row r="3190" spans="1:5" x14ac:dyDescent="0.45">
      <c r="A3190" s="2">
        <v>45240</v>
      </c>
      <c r="B3190" s="3">
        <v>64904.68</v>
      </c>
      <c r="C3190" s="3">
        <v>211.15</v>
      </c>
      <c r="D3190" s="3">
        <f t="shared" si="100"/>
        <v>1.1173385322755856E-3</v>
      </c>
      <c r="E3190" s="3">
        <f t="shared" si="101"/>
        <v>5.4612506624838368E-3</v>
      </c>
    </row>
    <row r="3191" spans="1:5" x14ac:dyDescent="0.45">
      <c r="A3191" s="2">
        <v>45242</v>
      </c>
      <c r="B3191" s="3">
        <v>65259.45</v>
      </c>
      <c r="C3191" s="3">
        <v>211.9</v>
      </c>
      <c r="D3191" s="3">
        <f t="shared" si="100"/>
        <v>5.4511312524241429E-3</v>
      </c>
      <c r="E3191" s="3">
        <f t="shared" si="101"/>
        <v>3.5456838943008898E-3</v>
      </c>
    </row>
    <row r="3192" spans="1:5" x14ac:dyDescent="0.45">
      <c r="A3192" s="2">
        <v>45243</v>
      </c>
      <c r="B3192" s="3">
        <v>64933.87</v>
      </c>
      <c r="C3192" s="3">
        <v>212.3</v>
      </c>
      <c r="D3192" s="3">
        <f t="shared" si="100"/>
        <v>-5.0014959092725582E-3</v>
      </c>
      <c r="E3192" s="3">
        <f t="shared" si="101"/>
        <v>1.8859034349570491E-3</v>
      </c>
    </row>
    <row r="3193" spans="1:5" x14ac:dyDescent="0.45">
      <c r="A3193" s="2">
        <v>45245</v>
      </c>
      <c r="B3193" s="3">
        <v>65675.929999999993</v>
      </c>
      <c r="C3193" s="3">
        <v>210.25</v>
      </c>
      <c r="D3193" s="3">
        <f t="shared" si="100"/>
        <v>1.1363128717620631E-2</v>
      </c>
      <c r="E3193" s="3">
        <f t="shared" si="101"/>
        <v>-9.7030698561530009E-3</v>
      </c>
    </row>
    <row r="3194" spans="1:5" x14ac:dyDescent="0.45">
      <c r="A3194" s="2">
        <v>45246</v>
      </c>
      <c r="B3194" s="3">
        <v>65982.48</v>
      </c>
      <c r="C3194" s="3">
        <v>207.2</v>
      </c>
      <c r="D3194" s="3">
        <f t="shared" si="100"/>
        <v>4.656756130821298E-3</v>
      </c>
      <c r="E3194" s="3">
        <f t="shared" si="101"/>
        <v>-1.4612788467729494E-2</v>
      </c>
    </row>
    <row r="3195" spans="1:5" x14ac:dyDescent="0.45">
      <c r="A3195" s="2">
        <v>45247</v>
      </c>
      <c r="B3195" s="3">
        <v>65794.73</v>
      </c>
      <c r="C3195" s="3">
        <v>209.55</v>
      </c>
      <c r="D3195" s="3">
        <f t="shared" si="100"/>
        <v>-2.849508303285776E-3</v>
      </c>
      <c r="E3195" s="3">
        <f t="shared" si="101"/>
        <v>1.1277863985752676E-2</v>
      </c>
    </row>
    <row r="3196" spans="1:5" x14ac:dyDescent="0.45">
      <c r="A3196" s="2">
        <v>45250</v>
      </c>
      <c r="B3196" s="3">
        <v>65655.149999999994</v>
      </c>
      <c r="C3196" s="3">
        <v>209.3</v>
      </c>
      <c r="D3196" s="3">
        <f t="shared" si="100"/>
        <v>-2.1236999601672714E-3</v>
      </c>
      <c r="E3196" s="3">
        <f t="shared" si="101"/>
        <v>-1.193744919126438E-3</v>
      </c>
    </row>
    <row r="3197" spans="1:5" x14ac:dyDescent="0.45">
      <c r="A3197" s="2">
        <v>45251</v>
      </c>
      <c r="B3197" s="3">
        <v>65930.77</v>
      </c>
      <c r="C3197" s="3">
        <v>208.9</v>
      </c>
      <c r="D3197" s="3">
        <f t="shared" si="100"/>
        <v>4.1892081323266547E-3</v>
      </c>
      <c r="E3197" s="3">
        <f t="shared" si="101"/>
        <v>-1.9129608894339922E-3</v>
      </c>
    </row>
    <row r="3198" spans="1:5" x14ac:dyDescent="0.45">
      <c r="A3198" s="2">
        <v>45252</v>
      </c>
      <c r="B3198" s="3">
        <v>66023.240000000005</v>
      </c>
      <c r="C3198" s="3">
        <v>211.5</v>
      </c>
      <c r="D3198" s="3">
        <f t="shared" si="100"/>
        <v>1.4015491478716958E-3</v>
      </c>
      <c r="E3198" s="3">
        <f t="shared" si="101"/>
        <v>1.2369329923812592E-2</v>
      </c>
    </row>
    <row r="3199" spans="1:5" x14ac:dyDescent="0.45">
      <c r="A3199" s="2">
        <v>45253</v>
      </c>
      <c r="B3199" s="3">
        <v>66017.81</v>
      </c>
      <c r="C3199" s="3">
        <v>210.85</v>
      </c>
      <c r="D3199" s="3">
        <f t="shared" si="100"/>
        <v>-8.2247149701860256E-5</v>
      </c>
      <c r="E3199" s="3">
        <f t="shared" si="101"/>
        <v>-3.0780182937638536E-3</v>
      </c>
    </row>
    <row r="3200" spans="1:5" x14ac:dyDescent="0.45">
      <c r="A3200" s="2">
        <v>45254</v>
      </c>
      <c r="B3200" s="3">
        <v>65970.039999999994</v>
      </c>
      <c r="C3200" s="3">
        <v>210.55</v>
      </c>
      <c r="D3200" s="3">
        <f t="shared" si="100"/>
        <v>-7.2385453791126817E-4</v>
      </c>
      <c r="E3200" s="3">
        <f t="shared" si="101"/>
        <v>-1.4238255846320486E-3</v>
      </c>
    </row>
    <row r="3201" spans="1:5" x14ac:dyDescent="0.45">
      <c r="A3201" s="2">
        <v>45258</v>
      </c>
      <c r="B3201" s="3">
        <v>66174.2</v>
      </c>
      <c r="C3201" s="3">
        <v>210.15</v>
      </c>
      <c r="D3201" s="3">
        <f t="shared" si="100"/>
        <v>3.089959311744534E-3</v>
      </c>
      <c r="E3201" s="3">
        <f t="shared" si="101"/>
        <v>-1.9015931568110999E-3</v>
      </c>
    </row>
    <row r="3202" spans="1:5" x14ac:dyDescent="0.45">
      <c r="A3202" s="2">
        <v>45259</v>
      </c>
      <c r="B3202" s="3">
        <v>66901.91</v>
      </c>
      <c r="C3202" s="3">
        <v>211.1</v>
      </c>
      <c r="D3202" s="3">
        <f t="shared" si="100"/>
        <v>1.0936857918821987E-2</v>
      </c>
      <c r="E3202" s="3">
        <f t="shared" si="101"/>
        <v>4.5103934031491605E-3</v>
      </c>
    </row>
    <row r="3203" spans="1:5" x14ac:dyDescent="0.45">
      <c r="A3203" s="2">
        <v>45260</v>
      </c>
      <c r="B3203" s="3">
        <v>66988.44</v>
      </c>
      <c r="C3203" s="3">
        <v>208.95</v>
      </c>
      <c r="D3203" s="3">
        <f t="shared" si="100"/>
        <v>1.2925503898830455E-3</v>
      </c>
      <c r="E3203" s="3">
        <f t="shared" si="101"/>
        <v>-1.023696596035056E-2</v>
      </c>
    </row>
    <row r="3204" spans="1:5" x14ac:dyDescent="0.45">
      <c r="A3204" s="2">
        <v>45261</v>
      </c>
      <c r="B3204" s="3">
        <v>67481.19</v>
      </c>
      <c r="C3204" s="3">
        <v>210.35</v>
      </c>
      <c r="D3204" s="3">
        <f t="shared" si="100"/>
        <v>7.3288251857883766E-3</v>
      </c>
      <c r="E3204" s="3">
        <f t="shared" si="101"/>
        <v>6.6778211426054479E-3</v>
      </c>
    </row>
    <row r="3205" spans="1:5" x14ac:dyDescent="0.45">
      <c r="A3205" s="2">
        <v>45264</v>
      </c>
      <c r="B3205" s="3">
        <v>68865.119999999995</v>
      </c>
      <c r="C3205" s="3">
        <v>212.9</v>
      </c>
      <c r="D3205" s="3">
        <f t="shared" si="100"/>
        <v>2.0300916530481338E-2</v>
      </c>
      <c r="E3205" s="3">
        <f t="shared" si="101"/>
        <v>1.2049761862903978E-2</v>
      </c>
    </row>
    <row r="3206" spans="1:5" x14ac:dyDescent="0.45">
      <c r="A3206" s="2">
        <v>45265</v>
      </c>
      <c r="B3206" s="3">
        <v>69296.14</v>
      </c>
      <c r="C3206" s="3">
        <v>222.4</v>
      </c>
      <c r="D3206" s="3">
        <f t="shared" ref="D3206:D3269" si="102">LN(B3206/B3205)</f>
        <v>6.2393958813346789E-3</v>
      </c>
      <c r="E3206" s="3">
        <f t="shared" ref="E3206:E3269" si="103">LN(C3206/C3205)</f>
        <v>4.3654990476993547E-2</v>
      </c>
    </row>
    <row r="3207" spans="1:5" x14ac:dyDescent="0.45">
      <c r="A3207" s="2">
        <v>45266</v>
      </c>
      <c r="B3207" s="3">
        <v>69653.73</v>
      </c>
      <c r="C3207" s="3">
        <v>224.4</v>
      </c>
      <c r="D3207" s="3">
        <f t="shared" si="102"/>
        <v>5.147047484709311E-3</v>
      </c>
      <c r="E3207" s="3">
        <f t="shared" si="103"/>
        <v>8.9526112721138845E-3</v>
      </c>
    </row>
    <row r="3208" spans="1:5" x14ac:dyDescent="0.45">
      <c r="A3208" s="2">
        <v>45267</v>
      </c>
      <c r="B3208" s="3">
        <v>69521.69</v>
      </c>
      <c r="C3208" s="3">
        <v>229.85</v>
      </c>
      <c r="D3208" s="3">
        <f t="shared" si="102"/>
        <v>-1.8974620606997882E-3</v>
      </c>
      <c r="E3208" s="3">
        <f t="shared" si="103"/>
        <v>2.3996748603695644E-2</v>
      </c>
    </row>
    <row r="3209" spans="1:5" x14ac:dyDescent="0.45">
      <c r="A3209" s="2">
        <v>45268</v>
      </c>
      <c r="B3209" s="3">
        <v>69825.600000000006</v>
      </c>
      <c r="C3209" s="3">
        <v>228.55</v>
      </c>
      <c r="D3209" s="3">
        <f t="shared" si="102"/>
        <v>4.3619144922976564E-3</v>
      </c>
      <c r="E3209" s="3">
        <f t="shared" si="103"/>
        <v>-5.6719174744835222E-3</v>
      </c>
    </row>
    <row r="3210" spans="1:5" x14ac:dyDescent="0.45">
      <c r="A3210" s="2">
        <v>45271</v>
      </c>
      <c r="B3210" s="3">
        <v>69928.53</v>
      </c>
      <c r="C3210" s="3">
        <v>230.95</v>
      </c>
      <c r="D3210" s="3">
        <f t="shared" si="102"/>
        <v>1.4730157686393831E-3</v>
      </c>
      <c r="E3210" s="3">
        <f t="shared" si="103"/>
        <v>1.0446232098860853E-2</v>
      </c>
    </row>
    <row r="3211" spans="1:5" x14ac:dyDescent="0.45">
      <c r="A3211" s="2">
        <v>45272</v>
      </c>
      <c r="B3211" s="3">
        <v>69551.03</v>
      </c>
      <c r="C3211" s="3">
        <v>231.45</v>
      </c>
      <c r="D3211" s="3">
        <f t="shared" si="102"/>
        <v>-5.412992724441291E-3</v>
      </c>
      <c r="E3211" s="3">
        <f t="shared" si="103"/>
        <v>2.1626306006651479E-3</v>
      </c>
    </row>
    <row r="3212" spans="1:5" x14ac:dyDescent="0.45">
      <c r="A3212" s="2">
        <v>45273</v>
      </c>
      <c r="B3212" s="3">
        <v>69584.600000000006</v>
      </c>
      <c r="C3212" s="3">
        <v>236.85</v>
      </c>
      <c r="D3212" s="3">
        <f t="shared" si="102"/>
        <v>4.8255074061791595E-4</v>
      </c>
      <c r="E3212" s="3">
        <f t="shared" si="103"/>
        <v>2.3063161892481233E-2</v>
      </c>
    </row>
    <row r="3213" spans="1:5" x14ac:dyDescent="0.45">
      <c r="A3213" s="2">
        <v>45274</v>
      </c>
      <c r="B3213" s="3">
        <v>70514.2</v>
      </c>
      <c r="C3213" s="3">
        <v>232.1</v>
      </c>
      <c r="D3213" s="3">
        <f t="shared" si="102"/>
        <v>1.3270829485982407E-2</v>
      </c>
      <c r="E3213" s="3">
        <f t="shared" si="103"/>
        <v>-2.0258716089369425E-2</v>
      </c>
    </row>
    <row r="3214" spans="1:5" x14ac:dyDescent="0.45">
      <c r="A3214" s="2">
        <v>45275</v>
      </c>
      <c r="B3214" s="3">
        <v>71483.75</v>
      </c>
      <c r="C3214" s="3">
        <v>237.45</v>
      </c>
      <c r="D3214" s="3">
        <f t="shared" si="102"/>
        <v>1.3656043166360418E-2</v>
      </c>
      <c r="E3214" s="3">
        <f t="shared" si="103"/>
        <v>2.2788761714739522E-2</v>
      </c>
    </row>
    <row r="3215" spans="1:5" x14ac:dyDescent="0.45">
      <c r="A3215" s="2">
        <v>45278</v>
      </c>
      <c r="B3215" s="3">
        <v>71315.09</v>
      </c>
      <c r="C3215" s="3">
        <v>231.9</v>
      </c>
      <c r="D3215" s="3">
        <f t="shared" si="102"/>
        <v>-2.3622051611495668E-3</v>
      </c>
      <c r="E3215" s="3">
        <f t="shared" si="103"/>
        <v>-2.3650830733644813E-2</v>
      </c>
    </row>
    <row r="3216" spans="1:5" x14ac:dyDescent="0.45">
      <c r="A3216" s="2">
        <v>45279</v>
      </c>
      <c r="B3216" s="3">
        <v>71437.19</v>
      </c>
      <c r="C3216" s="3">
        <v>233.9</v>
      </c>
      <c r="D3216" s="3">
        <f t="shared" si="102"/>
        <v>1.7106561068665376E-3</v>
      </c>
      <c r="E3216" s="3">
        <f t="shared" si="103"/>
        <v>8.5874293286474137E-3</v>
      </c>
    </row>
    <row r="3217" spans="1:5" x14ac:dyDescent="0.45">
      <c r="A3217" s="2">
        <v>45280</v>
      </c>
      <c r="B3217" s="3">
        <v>70506.31</v>
      </c>
      <c r="C3217" s="3">
        <v>227.2</v>
      </c>
      <c r="D3217" s="3">
        <f t="shared" si="102"/>
        <v>-1.3116392728927326E-2</v>
      </c>
      <c r="E3217" s="3">
        <f t="shared" si="103"/>
        <v>-2.9062986743137138E-2</v>
      </c>
    </row>
    <row r="3218" spans="1:5" x14ac:dyDescent="0.45">
      <c r="A3218" s="2">
        <v>45281</v>
      </c>
      <c r="B3218" s="3">
        <v>70865.100000000006</v>
      </c>
      <c r="C3218" s="3">
        <v>232.35</v>
      </c>
      <c r="D3218" s="3">
        <f t="shared" si="102"/>
        <v>5.0758603926002784E-3</v>
      </c>
      <c r="E3218" s="3">
        <f t="shared" si="103"/>
        <v>2.2414168683991036E-2</v>
      </c>
    </row>
    <row r="3219" spans="1:5" x14ac:dyDescent="0.45">
      <c r="A3219" s="2">
        <v>45282</v>
      </c>
      <c r="B3219" s="3">
        <v>71106.960000000006</v>
      </c>
      <c r="C3219" s="3">
        <v>231.7</v>
      </c>
      <c r="D3219" s="3">
        <f t="shared" si="102"/>
        <v>3.4071525618924515E-3</v>
      </c>
      <c r="E3219" s="3">
        <f t="shared" si="103"/>
        <v>-2.801424092656866E-3</v>
      </c>
    </row>
    <row r="3220" spans="1:5" x14ac:dyDescent="0.45">
      <c r="A3220" s="2">
        <v>45286</v>
      </c>
      <c r="B3220" s="3">
        <v>71336.800000000003</v>
      </c>
      <c r="C3220" s="3">
        <v>233.3</v>
      </c>
      <c r="D3220" s="3">
        <f t="shared" si="102"/>
        <v>3.2271009901205304E-3</v>
      </c>
      <c r="E3220" s="3">
        <f t="shared" si="103"/>
        <v>6.8817475890538314E-3</v>
      </c>
    </row>
    <row r="3221" spans="1:5" x14ac:dyDescent="0.45">
      <c r="A3221" s="2">
        <v>45287</v>
      </c>
      <c r="B3221" s="3">
        <v>72038.429999999993</v>
      </c>
      <c r="C3221" s="3">
        <v>233.6</v>
      </c>
      <c r="D3221" s="3">
        <f t="shared" si="102"/>
        <v>9.7874033184580846E-3</v>
      </c>
      <c r="E3221" s="3">
        <f t="shared" si="103"/>
        <v>1.2850719266876609E-3</v>
      </c>
    </row>
    <row r="3222" spans="1:5" x14ac:dyDescent="0.45">
      <c r="A3222" s="2">
        <v>45288</v>
      </c>
      <c r="B3222" s="3">
        <v>72410.38</v>
      </c>
      <c r="C3222" s="3">
        <v>238.7</v>
      </c>
      <c r="D3222" s="3">
        <f t="shared" si="102"/>
        <v>5.1499326587064352E-3</v>
      </c>
      <c r="E3222" s="3">
        <f t="shared" si="103"/>
        <v>2.1597282390712465E-2</v>
      </c>
    </row>
    <row r="3223" spans="1:5" x14ac:dyDescent="0.45">
      <c r="A3223" s="2">
        <v>45289</v>
      </c>
      <c r="B3223" s="3">
        <v>72240.259999999995</v>
      </c>
      <c r="C3223" s="3">
        <v>237.2</v>
      </c>
      <c r="D3223" s="3">
        <f t="shared" si="102"/>
        <v>-2.3521510645792549E-3</v>
      </c>
      <c r="E3223" s="3">
        <f t="shared" si="103"/>
        <v>-6.3038662212139863E-3</v>
      </c>
    </row>
    <row r="3224" spans="1:5" x14ac:dyDescent="0.45">
      <c r="A3224" s="2">
        <v>45292</v>
      </c>
      <c r="B3224" s="3">
        <v>72271.94</v>
      </c>
      <c r="C3224" s="3">
        <v>237.75</v>
      </c>
      <c r="D3224" s="3">
        <f t="shared" si="102"/>
        <v>4.3844049855309823E-4</v>
      </c>
      <c r="E3224" s="3">
        <f t="shared" si="103"/>
        <v>2.3160343019293971E-3</v>
      </c>
    </row>
    <row r="3225" spans="1:5" x14ac:dyDescent="0.45">
      <c r="A3225" s="2">
        <v>45293</v>
      </c>
      <c r="B3225" s="3">
        <v>71892.479999999996</v>
      </c>
      <c r="C3225" s="3">
        <v>237.75</v>
      </c>
      <c r="D3225" s="3">
        <f t="shared" si="102"/>
        <v>-5.2642791656820056E-3</v>
      </c>
      <c r="E3225" s="3">
        <f t="shared" si="103"/>
        <v>0</v>
      </c>
    </row>
    <row r="3226" spans="1:5" x14ac:dyDescent="0.45">
      <c r="A3226" s="2">
        <v>45294</v>
      </c>
      <c r="B3226" s="3">
        <v>71356.600000000006</v>
      </c>
      <c r="C3226" s="3">
        <v>236.95</v>
      </c>
      <c r="D3226" s="3">
        <f t="shared" si="102"/>
        <v>-7.4818281524389307E-3</v>
      </c>
      <c r="E3226" s="3">
        <f t="shared" si="103"/>
        <v>-3.37055301190245E-3</v>
      </c>
    </row>
    <row r="3227" spans="1:5" x14ac:dyDescent="0.45">
      <c r="A3227" s="2">
        <v>45295</v>
      </c>
      <c r="B3227" s="3">
        <v>71847.570000000007</v>
      </c>
      <c r="C3227" s="3">
        <v>241.45</v>
      </c>
      <c r="D3227" s="3">
        <f t="shared" si="102"/>
        <v>6.8569500970698284E-3</v>
      </c>
      <c r="E3227" s="3">
        <f t="shared" si="103"/>
        <v>1.8813263905953562E-2</v>
      </c>
    </row>
    <row r="3228" spans="1:5" x14ac:dyDescent="0.45">
      <c r="A3228" s="2">
        <v>45296</v>
      </c>
      <c r="B3228" s="3">
        <v>72026.149999999994</v>
      </c>
      <c r="C3228" s="3">
        <v>241.3</v>
      </c>
      <c r="D3228" s="3">
        <f t="shared" si="102"/>
        <v>2.4824560275436276E-3</v>
      </c>
      <c r="E3228" s="3">
        <f t="shared" si="103"/>
        <v>-6.2143968856470959E-4</v>
      </c>
    </row>
    <row r="3229" spans="1:5" x14ac:dyDescent="0.45">
      <c r="A3229" s="2">
        <v>45299</v>
      </c>
      <c r="B3229" s="3">
        <v>71355.22</v>
      </c>
      <c r="C3229" s="3">
        <v>242.25</v>
      </c>
      <c r="D3229" s="3">
        <f t="shared" si="102"/>
        <v>-9.358745798090342E-3</v>
      </c>
      <c r="E3229" s="3">
        <f t="shared" si="103"/>
        <v>3.929278139889557E-3</v>
      </c>
    </row>
    <row r="3230" spans="1:5" x14ac:dyDescent="0.45">
      <c r="A3230" s="2">
        <v>45300</v>
      </c>
      <c r="B3230" s="3">
        <v>71386.210000000006</v>
      </c>
      <c r="C3230" s="3">
        <v>242.25</v>
      </c>
      <c r="D3230" s="3">
        <f t="shared" si="102"/>
        <v>4.3421171396303127E-4</v>
      </c>
      <c r="E3230" s="3">
        <f t="shared" si="103"/>
        <v>0</v>
      </c>
    </row>
    <row r="3231" spans="1:5" x14ac:dyDescent="0.45">
      <c r="A3231" s="2">
        <v>45301</v>
      </c>
      <c r="B3231" s="3">
        <v>71657.710000000006</v>
      </c>
      <c r="C3231" s="3">
        <v>239</v>
      </c>
      <c r="D3231" s="3">
        <f t="shared" si="102"/>
        <v>3.7960414678877754E-3</v>
      </c>
      <c r="E3231" s="3">
        <f t="shared" si="103"/>
        <v>-1.3506698839364915E-2</v>
      </c>
    </row>
    <row r="3232" spans="1:5" x14ac:dyDescent="0.45">
      <c r="A3232" s="2">
        <v>45302</v>
      </c>
      <c r="B3232" s="3">
        <v>71721.179999999993</v>
      </c>
      <c r="C3232" s="3">
        <v>241.85</v>
      </c>
      <c r="D3232" s="3">
        <f t="shared" si="102"/>
        <v>8.8534656874309783E-4</v>
      </c>
      <c r="E3232" s="3">
        <f t="shared" si="103"/>
        <v>1.1854147337481592E-2</v>
      </c>
    </row>
    <row r="3233" spans="1:5" x14ac:dyDescent="0.45">
      <c r="A3233" s="2">
        <v>45303</v>
      </c>
      <c r="B3233" s="3">
        <v>72568.45</v>
      </c>
      <c r="C3233" s="3">
        <v>239.5</v>
      </c>
      <c r="D3233" s="3">
        <f t="shared" si="102"/>
        <v>1.1744152899916342E-2</v>
      </c>
      <c r="E3233" s="3">
        <f t="shared" si="103"/>
        <v>-9.7642824180222462E-3</v>
      </c>
    </row>
    <row r="3234" spans="1:5" x14ac:dyDescent="0.45">
      <c r="A3234" s="2">
        <v>45306</v>
      </c>
      <c r="B3234" s="3">
        <v>73327.94</v>
      </c>
      <c r="C3234" s="3">
        <v>241.1</v>
      </c>
      <c r="D3234" s="3">
        <f t="shared" si="102"/>
        <v>1.041145515132442E-2</v>
      </c>
      <c r="E3234" s="3">
        <f t="shared" si="103"/>
        <v>6.658368336155387E-3</v>
      </c>
    </row>
    <row r="3235" spans="1:5" x14ac:dyDescent="0.45">
      <c r="A3235" s="2">
        <v>45307</v>
      </c>
      <c r="B3235" s="3">
        <v>73128.77</v>
      </c>
      <c r="C3235" s="3">
        <v>239.1</v>
      </c>
      <c r="D3235" s="3">
        <f t="shared" si="102"/>
        <v>-2.7198497464726852E-3</v>
      </c>
      <c r="E3235" s="3">
        <f t="shared" si="103"/>
        <v>-8.3299107228462822E-3</v>
      </c>
    </row>
    <row r="3236" spans="1:5" x14ac:dyDescent="0.45">
      <c r="A3236" s="2">
        <v>45308</v>
      </c>
      <c r="B3236" s="3">
        <v>71500.759999999995</v>
      </c>
      <c r="C3236" s="3">
        <v>239.1</v>
      </c>
      <c r="D3236" s="3">
        <f t="shared" si="102"/>
        <v>-2.2513780764534256E-2</v>
      </c>
      <c r="E3236" s="3">
        <f t="shared" si="103"/>
        <v>0</v>
      </c>
    </row>
    <row r="3237" spans="1:5" x14ac:dyDescent="0.45">
      <c r="A3237" s="2">
        <v>45309</v>
      </c>
      <c r="B3237" s="3">
        <v>71186.86</v>
      </c>
      <c r="C3237" s="3">
        <v>233.45</v>
      </c>
      <c r="D3237" s="3">
        <f t="shared" si="102"/>
        <v>-4.3998281895180121E-3</v>
      </c>
      <c r="E3237" s="3">
        <f t="shared" si="103"/>
        <v>-2.3913953047333052E-2</v>
      </c>
    </row>
    <row r="3238" spans="1:5" x14ac:dyDescent="0.45">
      <c r="A3238" s="2">
        <v>45310</v>
      </c>
      <c r="B3238" s="3">
        <v>71683.23</v>
      </c>
      <c r="C3238" s="3">
        <v>235.45</v>
      </c>
      <c r="D3238" s="3">
        <f t="shared" si="102"/>
        <v>6.9485782107878893E-3</v>
      </c>
      <c r="E3238" s="3">
        <f t="shared" si="103"/>
        <v>8.5306552726175273E-3</v>
      </c>
    </row>
    <row r="3239" spans="1:5" x14ac:dyDescent="0.45">
      <c r="A3239" s="2">
        <v>45311</v>
      </c>
      <c r="B3239" s="3">
        <v>71423.649999999994</v>
      </c>
      <c r="C3239" s="3">
        <v>237.25</v>
      </c>
      <c r="D3239" s="3">
        <f t="shared" si="102"/>
        <v>-3.6277820422056044E-3</v>
      </c>
      <c r="E3239" s="3">
        <f t="shared" si="103"/>
        <v>7.6158608004737935E-3</v>
      </c>
    </row>
    <row r="3240" spans="1:5" x14ac:dyDescent="0.45">
      <c r="A3240" s="2">
        <v>45314</v>
      </c>
      <c r="B3240" s="3">
        <v>70370.55</v>
      </c>
      <c r="C3240" s="3">
        <v>237.9</v>
      </c>
      <c r="D3240" s="3">
        <f t="shared" si="102"/>
        <v>-1.4854195214640591E-2</v>
      </c>
      <c r="E3240" s="3">
        <f t="shared" si="103"/>
        <v>2.7359798188748455E-3</v>
      </c>
    </row>
    <row r="3241" spans="1:5" x14ac:dyDescent="0.45">
      <c r="A3241" s="2">
        <v>45315</v>
      </c>
      <c r="B3241" s="3">
        <v>71060.31</v>
      </c>
      <c r="C3241" s="3">
        <v>246.2</v>
      </c>
      <c r="D3241" s="3">
        <f t="shared" si="102"/>
        <v>9.7541013153960143E-3</v>
      </c>
      <c r="E3241" s="3">
        <f t="shared" si="103"/>
        <v>3.4293796441441163E-2</v>
      </c>
    </row>
    <row r="3242" spans="1:5" x14ac:dyDescent="0.45">
      <c r="A3242" s="2">
        <v>45316</v>
      </c>
      <c r="B3242" s="3">
        <v>70700.67</v>
      </c>
      <c r="C3242" s="3">
        <v>245.45</v>
      </c>
      <c r="D3242" s="3">
        <f t="shared" si="102"/>
        <v>-5.0739035743440986E-3</v>
      </c>
      <c r="E3242" s="3">
        <f t="shared" si="103"/>
        <v>-3.050953246291687E-3</v>
      </c>
    </row>
    <row r="3243" spans="1:5" x14ac:dyDescent="0.45">
      <c r="A3243" s="2">
        <v>45320</v>
      </c>
      <c r="B3243" s="3">
        <v>71941.570000000007</v>
      </c>
      <c r="C3243" s="3">
        <v>253.8</v>
      </c>
      <c r="D3243" s="3">
        <f t="shared" si="102"/>
        <v>1.7399212251775192E-2</v>
      </c>
      <c r="E3243" s="3">
        <f t="shared" si="103"/>
        <v>3.3453294776225856E-2</v>
      </c>
    </row>
    <row r="3244" spans="1:5" x14ac:dyDescent="0.45">
      <c r="A3244" s="2">
        <v>45321</v>
      </c>
      <c r="B3244" s="3">
        <v>71139.899999999994</v>
      </c>
      <c r="C3244" s="3">
        <v>254.15</v>
      </c>
      <c r="D3244" s="3">
        <f t="shared" si="102"/>
        <v>-1.1205900930972618E-2</v>
      </c>
      <c r="E3244" s="3">
        <f t="shared" si="103"/>
        <v>1.3780886126242571E-3</v>
      </c>
    </row>
    <row r="3245" spans="1:5" x14ac:dyDescent="0.45">
      <c r="A3245" s="2">
        <v>45322</v>
      </c>
      <c r="B3245" s="3">
        <v>71752.11</v>
      </c>
      <c r="C3245" s="3">
        <v>259.35000000000002</v>
      </c>
      <c r="D3245" s="3">
        <f t="shared" si="102"/>
        <v>8.5689010324606508E-3</v>
      </c>
      <c r="E3245" s="3">
        <f t="shared" si="103"/>
        <v>2.0253856904497814E-2</v>
      </c>
    </row>
    <row r="3246" spans="1:5" x14ac:dyDescent="0.45">
      <c r="A3246" s="2">
        <v>45323</v>
      </c>
      <c r="B3246" s="3">
        <v>71645.3</v>
      </c>
      <c r="C3246" s="3">
        <v>265.8</v>
      </c>
      <c r="D3246" s="3">
        <f t="shared" si="102"/>
        <v>-1.4897064005960515E-3</v>
      </c>
      <c r="E3246" s="3">
        <f t="shared" si="103"/>
        <v>2.4565645481735784E-2</v>
      </c>
    </row>
    <row r="3247" spans="1:5" x14ac:dyDescent="0.45">
      <c r="A3247" s="2">
        <v>45324</v>
      </c>
      <c r="B3247" s="3">
        <v>72085.63</v>
      </c>
      <c r="C3247" s="3">
        <v>276.7</v>
      </c>
      <c r="D3247" s="3">
        <f t="shared" si="102"/>
        <v>6.1271624357531551E-3</v>
      </c>
      <c r="E3247" s="3">
        <f t="shared" si="103"/>
        <v>4.0189740513735216E-2</v>
      </c>
    </row>
    <row r="3248" spans="1:5" x14ac:dyDescent="0.45">
      <c r="A3248" s="2">
        <v>45327</v>
      </c>
      <c r="B3248" s="3">
        <v>71731.42</v>
      </c>
      <c r="C3248" s="3">
        <v>282.75</v>
      </c>
      <c r="D3248" s="3">
        <f t="shared" si="102"/>
        <v>-4.9258515066568243E-3</v>
      </c>
      <c r="E3248" s="3">
        <f t="shared" si="103"/>
        <v>2.1629228203349726E-2</v>
      </c>
    </row>
    <row r="3249" spans="1:5" x14ac:dyDescent="0.45">
      <c r="A3249" s="2">
        <v>45328</v>
      </c>
      <c r="B3249" s="3">
        <v>72186.09</v>
      </c>
      <c r="C3249" s="3">
        <v>274.35000000000002</v>
      </c>
      <c r="D3249" s="3">
        <f t="shared" si="102"/>
        <v>6.3185016564799839E-3</v>
      </c>
      <c r="E3249" s="3">
        <f t="shared" si="103"/>
        <v>-3.0158451491245308E-2</v>
      </c>
    </row>
    <row r="3250" spans="1:5" x14ac:dyDescent="0.45">
      <c r="A3250" s="2">
        <v>45329</v>
      </c>
      <c r="B3250" s="3">
        <v>72152</v>
      </c>
      <c r="C3250" s="3">
        <v>267.95</v>
      </c>
      <c r="D3250" s="3">
        <f t="shared" si="102"/>
        <v>-4.7236319441204257E-4</v>
      </c>
      <c r="E3250" s="3">
        <f t="shared" si="103"/>
        <v>-2.3604267564125283E-2</v>
      </c>
    </row>
    <row r="3251" spans="1:5" x14ac:dyDescent="0.45">
      <c r="A3251" s="2">
        <v>45330</v>
      </c>
      <c r="B3251" s="3">
        <v>71428.429999999993</v>
      </c>
      <c r="C3251" s="3">
        <v>276.2</v>
      </c>
      <c r="D3251" s="3">
        <f t="shared" si="102"/>
        <v>-1.0079035498488948E-2</v>
      </c>
      <c r="E3251" s="3">
        <f t="shared" si="103"/>
        <v>3.0324845034332484E-2</v>
      </c>
    </row>
    <row r="3252" spans="1:5" x14ac:dyDescent="0.45">
      <c r="A3252" s="2">
        <v>45331</v>
      </c>
      <c r="B3252" s="3">
        <v>71595.490000000005</v>
      </c>
      <c r="C3252" s="3">
        <v>273.10000000000002</v>
      </c>
      <c r="D3252" s="3">
        <f t="shared" si="102"/>
        <v>2.3361137909867192E-3</v>
      </c>
      <c r="E3252" s="3">
        <f t="shared" si="103"/>
        <v>-1.1287212495532266E-2</v>
      </c>
    </row>
    <row r="3253" spans="1:5" x14ac:dyDescent="0.45">
      <c r="A3253" s="2">
        <v>45334</v>
      </c>
      <c r="B3253" s="3">
        <v>71072.490000000005</v>
      </c>
      <c r="C3253" s="3">
        <v>270.10000000000002</v>
      </c>
      <c r="D3253" s="3">
        <f t="shared" si="102"/>
        <v>-7.3317410507249192E-3</v>
      </c>
      <c r="E3253" s="3">
        <f t="shared" si="103"/>
        <v>-1.1045767681089433E-2</v>
      </c>
    </row>
    <row r="3254" spans="1:5" x14ac:dyDescent="0.45">
      <c r="A3254" s="2">
        <v>45335</v>
      </c>
      <c r="B3254" s="3">
        <v>71555.19</v>
      </c>
      <c r="C3254" s="3">
        <v>270.25</v>
      </c>
      <c r="D3254" s="3">
        <f t="shared" si="102"/>
        <v>6.7686979542527755E-3</v>
      </c>
      <c r="E3254" s="3">
        <f t="shared" si="103"/>
        <v>5.5519572074768156E-4</v>
      </c>
    </row>
    <row r="3255" spans="1:5" x14ac:dyDescent="0.45">
      <c r="A3255" s="2">
        <v>45336</v>
      </c>
      <c r="B3255" s="3">
        <v>71822.83</v>
      </c>
      <c r="C3255" s="3">
        <v>273.85000000000002</v>
      </c>
      <c r="D3255" s="3">
        <f t="shared" si="102"/>
        <v>3.7333520279041344E-3</v>
      </c>
      <c r="E3255" s="3">
        <f t="shared" si="103"/>
        <v>1.3233054710412834E-2</v>
      </c>
    </row>
    <row r="3256" spans="1:5" x14ac:dyDescent="0.45">
      <c r="A3256" s="2">
        <v>45337</v>
      </c>
      <c r="B3256" s="3">
        <v>72050.38</v>
      </c>
      <c r="C3256" s="3">
        <v>281.5</v>
      </c>
      <c r="D3256" s="3">
        <f t="shared" si="102"/>
        <v>3.1632044594840075E-3</v>
      </c>
      <c r="E3256" s="3">
        <f t="shared" si="103"/>
        <v>2.7551936350014676E-2</v>
      </c>
    </row>
    <row r="3257" spans="1:5" x14ac:dyDescent="0.45">
      <c r="A3257" s="2">
        <v>45338</v>
      </c>
      <c r="B3257" s="3">
        <v>72426.64</v>
      </c>
      <c r="C3257" s="3">
        <v>274.85000000000002</v>
      </c>
      <c r="D3257" s="3">
        <f t="shared" si="102"/>
        <v>5.2085909668204691E-3</v>
      </c>
      <c r="E3257" s="3">
        <f t="shared" si="103"/>
        <v>-2.3906953273075657E-2</v>
      </c>
    </row>
    <row r="3258" spans="1:5" x14ac:dyDescent="0.45">
      <c r="A3258" s="2">
        <v>45341</v>
      </c>
      <c r="B3258" s="3">
        <v>72708.160000000003</v>
      </c>
      <c r="C3258" s="3">
        <v>276.45</v>
      </c>
      <c r="D3258" s="3">
        <f t="shared" si="102"/>
        <v>3.8794328179443194E-3</v>
      </c>
      <c r="E3258" s="3">
        <f t="shared" si="103"/>
        <v>5.8044784772725445E-3</v>
      </c>
    </row>
    <row r="3259" spans="1:5" x14ac:dyDescent="0.45">
      <c r="A3259" s="2">
        <v>45342</v>
      </c>
      <c r="B3259" s="3">
        <v>73057.399999999994</v>
      </c>
      <c r="C3259" s="3">
        <v>287.95</v>
      </c>
      <c r="D3259" s="3">
        <f t="shared" si="102"/>
        <v>4.7918132136997122E-3</v>
      </c>
      <c r="E3259" s="3">
        <f t="shared" si="103"/>
        <v>4.0756881168739371E-2</v>
      </c>
    </row>
    <row r="3260" spans="1:5" x14ac:dyDescent="0.45">
      <c r="A3260" s="2">
        <v>45343</v>
      </c>
      <c r="B3260" s="3">
        <v>72623.09</v>
      </c>
      <c r="C3260" s="3">
        <v>280.14999999999998</v>
      </c>
      <c r="D3260" s="3">
        <f t="shared" si="102"/>
        <v>-5.9625182026963588E-3</v>
      </c>
      <c r="E3260" s="3">
        <f t="shared" si="103"/>
        <v>-2.7461679941387894E-2</v>
      </c>
    </row>
    <row r="3261" spans="1:5" x14ac:dyDescent="0.45">
      <c r="A3261" s="2">
        <v>45344</v>
      </c>
      <c r="B3261" s="3">
        <v>73158.240000000005</v>
      </c>
      <c r="C3261" s="3">
        <v>282.55</v>
      </c>
      <c r="D3261" s="3">
        <f t="shared" si="102"/>
        <v>7.3418510290321811E-3</v>
      </c>
      <c r="E3261" s="3">
        <f t="shared" si="103"/>
        <v>8.5303520645588701E-3</v>
      </c>
    </row>
    <row r="3262" spans="1:5" x14ac:dyDescent="0.45">
      <c r="A3262" s="2">
        <v>45345</v>
      </c>
      <c r="B3262" s="3">
        <v>73142.8</v>
      </c>
      <c r="C3262" s="3">
        <v>282.2</v>
      </c>
      <c r="D3262" s="3">
        <f t="shared" si="102"/>
        <v>-2.1107163773173055E-4</v>
      </c>
      <c r="E3262" s="3">
        <f t="shared" si="103"/>
        <v>-1.2394866571388038E-3</v>
      </c>
    </row>
    <row r="3263" spans="1:5" x14ac:dyDescent="0.45">
      <c r="A3263" s="2">
        <v>45348</v>
      </c>
      <c r="B3263" s="3">
        <v>72790.13</v>
      </c>
      <c r="C3263" s="3">
        <v>287.75</v>
      </c>
      <c r="D3263" s="3">
        <f t="shared" si="102"/>
        <v>-4.8333256457077627E-3</v>
      </c>
      <c r="E3263" s="3">
        <f t="shared" si="103"/>
        <v>1.9476008183278368E-2</v>
      </c>
    </row>
    <row r="3264" spans="1:5" x14ac:dyDescent="0.45">
      <c r="A3264" s="2">
        <v>45349</v>
      </c>
      <c r="B3264" s="3">
        <v>73095.22</v>
      </c>
      <c r="C3264" s="3">
        <v>292.5</v>
      </c>
      <c r="D3264" s="3">
        <f t="shared" si="102"/>
        <v>4.182605652659049E-3</v>
      </c>
      <c r="E3264" s="3">
        <f t="shared" si="103"/>
        <v>1.6372619069919114E-2</v>
      </c>
    </row>
    <row r="3265" spans="1:5" x14ac:dyDescent="0.45">
      <c r="A3265" s="2">
        <v>45350</v>
      </c>
      <c r="B3265" s="3">
        <v>72304.88</v>
      </c>
      <c r="C3265" s="3">
        <v>279.55</v>
      </c>
      <c r="D3265" s="3">
        <f t="shared" si="102"/>
        <v>-1.0871351311725373E-2</v>
      </c>
      <c r="E3265" s="3">
        <f t="shared" si="103"/>
        <v>-4.5283499199256776E-2</v>
      </c>
    </row>
    <row r="3266" spans="1:5" x14ac:dyDescent="0.45">
      <c r="A3266" s="2">
        <v>45351</v>
      </c>
      <c r="B3266" s="3">
        <v>72500.3</v>
      </c>
      <c r="C3266" s="3">
        <v>282.55</v>
      </c>
      <c r="D3266" s="3">
        <f t="shared" si="102"/>
        <v>2.6990763539870006E-3</v>
      </c>
      <c r="E3266" s="3">
        <f t="shared" si="103"/>
        <v>1.0674358603198045E-2</v>
      </c>
    </row>
    <row r="3267" spans="1:5" x14ac:dyDescent="0.45">
      <c r="A3267" s="2">
        <v>45352</v>
      </c>
      <c r="B3267" s="3">
        <v>73745.350000000006</v>
      </c>
      <c r="C3267" s="3">
        <v>287.64999999999998</v>
      </c>
      <c r="D3267" s="3">
        <f t="shared" si="102"/>
        <v>1.702724260158095E-2</v>
      </c>
      <c r="E3267" s="3">
        <f t="shared" si="103"/>
        <v>1.7888937233449965E-2</v>
      </c>
    </row>
    <row r="3268" spans="1:5" x14ac:dyDescent="0.45">
      <c r="A3268" s="2">
        <v>45353</v>
      </c>
      <c r="B3268" s="3">
        <v>73806.149999999994</v>
      </c>
      <c r="C3268" s="3">
        <v>286.89999999999998</v>
      </c>
      <c r="D3268" s="3">
        <f t="shared" si="102"/>
        <v>8.2411908304738852E-4</v>
      </c>
      <c r="E3268" s="3">
        <f t="shared" si="103"/>
        <v>-2.6107403219833639E-3</v>
      </c>
    </row>
    <row r="3269" spans="1:5" x14ac:dyDescent="0.45">
      <c r="A3269" s="2">
        <v>45355</v>
      </c>
      <c r="B3269" s="3">
        <v>73872.289999999994</v>
      </c>
      <c r="C3269" s="3">
        <v>294.45</v>
      </c>
      <c r="D3269" s="3">
        <f t="shared" si="102"/>
        <v>8.95729998531847E-4</v>
      </c>
      <c r="E3269" s="3">
        <f t="shared" si="103"/>
        <v>2.5975486403260736E-2</v>
      </c>
    </row>
    <row r="3270" spans="1:5" x14ac:dyDescent="0.45">
      <c r="A3270" s="2">
        <v>45356</v>
      </c>
      <c r="B3270" s="3">
        <v>73677.13</v>
      </c>
      <c r="C3270" s="3">
        <v>294.95</v>
      </c>
      <c r="D3270" s="3">
        <f t="shared" ref="D3270:D3333" si="104">LN(B3270/B3269)</f>
        <v>-2.6453525037101852E-3</v>
      </c>
      <c r="E3270" s="3">
        <f t="shared" ref="E3270:E3333" si="105">LN(C3270/C3269)</f>
        <v>1.696641058504525E-3</v>
      </c>
    </row>
    <row r="3271" spans="1:5" x14ac:dyDescent="0.45">
      <c r="A3271" s="2">
        <v>45357</v>
      </c>
      <c r="B3271" s="3">
        <v>74085.990000000005</v>
      </c>
      <c r="C3271" s="3">
        <v>294.05</v>
      </c>
      <c r="D3271" s="3">
        <f t="shared" si="104"/>
        <v>5.5340066378143484E-3</v>
      </c>
      <c r="E3271" s="3">
        <f t="shared" si="105"/>
        <v>-3.0560295431192545E-3</v>
      </c>
    </row>
    <row r="3272" spans="1:5" x14ac:dyDescent="0.45">
      <c r="A3272" s="2">
        <v>45358</v>
      </c>
      <c r="B3272" s="3">
        <v>74119.39</v>
      </c>
      <c r="C3272" s="3">
        <v>292.55</v>
      </c>
      <c r="D3272" s="3">
        <f t="shared" si="104"/>
        <v>4.507258854630576E-4</v>
      </c>
      <c r="E3272" s="3">
        <f t="shared" si="105"/>
        <v>-5.1142286717198492E-3</v>
      </c>
    </row>
    <row r="3273" spans="1:5" x14ac:dyDescent="0.45">
      <c r="A3273" s="2">
        <v>45362</v>
      </c>
      <c r="B3273" s="3">
        <v>73502.64</v>
      </c>
      <c r="C3273" s="3">
        <v>285.5</v>
      </c>
      <c r="D3273" s="3">
        <f t="shared" si="104"/>
        <v>-8.3558475447408301E-3</v>
      </c>
      <c r="E3273" s="3">
        <f t="shared" si="105"/>
        <v>-2.4393563138180249E-2</v>
      </c>
    </row>
    <row r="3274" spans="1:5" x14ac:dyDescent="0.45">
      <c r="A3274" s="2">
        <v>45363</v>
      </c>
      <c r="B3274" s="3">
        <v>73667.960000000006</v>
      </c>
      <c r="C3274" s="3">
        <v>285.05</v>
      </c>
      <c r="D3274" s="3">
        <f t="shared" si="104"/>
        <v>2.246645315525746E-3</v>
      </c>
      <c r="E3274" s="3">
        <f t="shared" si="105"/>
        <v>-1.577425618473961E-3</v>
      </c>
    </row>
    <row r="3275" spans="1:5" x14ac:dyDescent="0.45">
      <c r="A3275" s="2">
        <v>45364</v>
      </c>
      <c r="B3275" s="3">
        <v>72761.89</v>
      </c>
      <c r="C3275" s="3">
        <v>264.3</v>
      </c>
      <c r="D3275" s="3">
        <f t="shared" si="104"/>
        <v>-1.2375640133173453E-2</v>
      </c>
      <c r="E3275" s="3">
        <f t="shared" si="105"/>
        <v>-7.5579781867347345E-2</v>
      </c>
    </row>
    <row r="3276" spans="1:5" x14ac:dyDescent="0.45">
      <c r="A3276" s="2">
        <v>45365</v>
      </c>
      <c r="B3276" s="3">
        <v>73097.279999999999</v>
      </c>
      <c r="C3276" s="3">
        <v>266.55</v>
      </c>
      <c r="D3276" s="3">
        <f t="shared" si="104"/>
        <v>4.5988276376828629E-3</v>
      </c>
      <c r="E3276" s="3">
        <f t="shared" si="105"/>
        <v>8.4770216585265019E-3</v>
      </c>
    </row>
    <row r="3277" spans="1:5" x14ac:dyDescent="0.45">
      <c r="A3277" s="2">
        <v>45366</v>
      </c>
      <c r="B3277" s="3">
        <v>72643.429999999993</v>
      </c>
      <c r="C3277" s="3">
        <v>265.55</v>
      </c>
      <c r="D3277" s="3">
        <f t="shared" si="104"/>
        <v>-6.228204419880156E-3</v>
      </c>
      <c r="E3277" s="3">
        <f t="shared" si="105"/>
        <v>-3.7586964003618545E-3</v>
      </c>
    </row>
    <row r="3278" spans="1:5" x14ac:dyDescent="0.45">
      <c r="A3278" s="2">
        <v>45369</v>
      </c>
      <c r="B3278" s="3">
        <v>72748.42</v>
      </c>
      <c r="C3278" s="3">
        <v>265</v>
      </c>
      <c r="D3278" s="3">
        <f t="shared" si="104"/>
        <v>1.4442352614559091E-3</v>
      </c>
      <c r="E3278" s="3">
        <f t="shared" si="105"/>
        <v>-2.0733208821860486E-3</v>
      </c>
    </row>
    <row r="3279" spans="1:5" x14ac:dyDescent="0.45">
      <c r="A3279" s="2">
        <v>45370</v>
      </c>
      <c r="B3279" s="3">
        <v>72012.05</v>
      </c>
      <c r="C3279" s="3">
        <v>258.95</v>
      </c>
      <c r="D3279" s="3">
        <f t="shared" si="104"/>
        <v>-1.0173721478841552E-2</v>
      </c>
      <c r="E3279" s="3">
        <f t="shared" si="105"/>
        <v>-2.3094833116321815E-2</v>
      </c>
    </row>
    <row r="3280" spans="1:5" x14ac:dyDescent="0.45">
      <c r="A3280" s="2">
        <v>45371</v>
      </c>
      <c r="B3280" s="3">
        <v>72101.69</v>
      </c>
      <c r="C3280" s="3">
        <v>264.75</v>
      </c>
      <c r="D3280" s="3">
        <f t="shared" si="104"/>
        <v>1.2440175594695723E-3</v>
      </c>
      <c r="E3280" s="3">
        <f t="shared" si="105"/>
        <v>2.2150991611615503E-2</v>
      </c>
    </row>
    <row r="3281" spans="1:5" x14ac:dyDescent="0.45">
      <c r="A3281" s="2">
        <v>45372</v>
      </c>
      <c r="B3281" s="3">
        <v>72641.19</v>
      </c>
      <c r="C3281" s="3">
        <v>273.75</v>
      </c>
      <c r="D3281" s="3">
        <f t="shared" si="104"/>
        <v>7.4546326341144494E-3</v>
      </c>
      <c r="E3281" s="3">
        <f t="shared" si="105"/>
        <v>3.3429296649194674E-2</v>
      </c>
    </row>
    <row r="3282" spans="1:5" x14ac:dyDescent="0.45">
      <c r="A3282" s="2">
        <v>45373</v>
      </c>
      <c r="B3282" s="3">
        <v>72831.94</v>
      </c>
      <c r="C3282" s="3">
        <v>275.7</v>
      </c>
      <c r="D3282" s="3">
        <f t="shared" si="104"/>
        <v>2.6224789323214251E-3</v>
      </c>
      <c r="E3282" s="3">
        <f t="shared" si="105"/>
        <v>7.0980368990404292E-3</v>
      </c>
    </row>
    <row r="3283" spans="1:5" x14ac:dyDescent="0.45">
      <c r="A3283" s="2">
        <v>45377</v>
      </c>
      <c r="B3283" s="3">
        <v>72470.3</v>
      </c>
      <c r="C3283" s="3">
        <v>270</v>
      </c>
      <c r="D3283" s="3">
        <f t="shared" si="104"/>
        <v>-4.9777724931511095E-3</v>
      </c>
      <c r="E3283" s="3">
        <f t="shared" si="105"/>
        <v>-2.0891359031376264E-2</v>
      </c>
    </row>
    <row r="3284" spans="1:5" x14ac:dyDescent="0.45">
      <c r="A3284" s="2">
        <v>45378</v>
      </c>
      <c r="B3284" s="3">
        <v>72996.31</v>
      </c>
      <c r="C3284" s="3">
        <v>271.05</v>
      </c>
      <c r="D3284" s="3">
        <f t="shared" si="104"/>
        <v>7.2320691689827495E-3</v>
      </c>
      <c r="E3284" s="3">
        <f t="shared" si="105"/>
        <v>3.8813467079723751E-3</v>
      </c>
    </row>
    <row r="3285" spans="1:5" x14ac:dyDescent="0.45">
      <c r="A3285" s="2">
        <v>45379</v>
      </c>
      <c r="B3285" s="3">
        <v>73651.350000000006</v>
      </c>
      <c r="C3285" s="3">
        <v>277.05</v>
      </c>
      <c r="D3285" s="3">
        <f t="shared" si="104"/>
        <v>8.9335807539530042E-3</v>
      </c>
      <c r="E3285" s="3">
        <f t="shared" si="105"/>
        <v>2.1894689607011502E-2</v>
      </c>
    </row>
    <row r="3286" spans="1:5" x14ac:dyDescent="0.45">
      <c r="A3286" s="2">
        <v>45383</v>
      </c>
      <c r="B3286" s="3">
        <v>74014.55</v>
      </c>
      <c r="C3286" s="3">
        <v>280</v>
      </c>
      <c r="D3286" s="3">
        <f t="shared" si="104"/>
        <v>4.9192228187454959E-3</v>
      </c>
      <c r="E3286" s="3">
        <f t="shared" si="105"/>
        <v>1.059160785589088E-2</v>
      </c>
    </row>
    <row r="3287" spans="1:5" x14ac:dyDescent="0.45">
      <c r="A3287" s="2">
        <v>45384</v>
      </c>
      <c r="B3287" s="3">
        <v>73903.91</v>
      </c>
      <c r="C3287" s="3">
        <v>279.5</v>
      </c>
      <c r="D3287" s="3">
        <f t="shared" si="104"/>
        <v>-1.4959596068453956E-3</v>
      </c>
      <c r="E3287" s="3">
        <f t="shared" si="105"/>
        <v>-1.7873105740957515E-3</v>
      </c>
    </row>
    <row r="3288" spans="1:5" x14ac:dyDescent="0.45">
      <c r="A3288" s="2">
        <v>45385</v>
      </c>
      <c r="B3288" s="3">
        <v>73876.820000000007</v>
      </c>
      <c r="C3288" s="3">
        <v>280.3</v>
      </c>
      <c r="D3288" s="3">
        <f t="shared" si="104"/>
        <v>-3.6662425883849758E-4</v>
      </c>
      <c r="E3288" s="3">
        <f t="shared" si="105"/>
        <v>2.8581655755887192E-3</v>
      </c>
    </row>
    <row r="3289" spans="1:5" x14ac:dyDescent="0.45">
      <c r="A3289" s="2">
        <v>45386</v>
      </c>
      <c r="B3289" s="3">
        <v>74227.63</v>
      </c>
      <c r="C3289" s="3">
        <v>277.60000000000002</v>
      </c>
      <c r="D3289" s="3">
        <f t="shared" si="104"/>
        <v>4.7373411951451422E-3</v>
      </c>
      <c r="E3289" s="3">
        <f t="shared" si="105"/>
        <v>-9.6792295380930728E-3</v>
      </c>
    </row>
    <row r="3290" spans="1:5" x14ac:dyDescent="0.45">
      <c r="A3290" s="2">
        <v>45387</v>
      </c>
      <c r="B3290" s="3">
        <v>74248.22</v>
      </c>
      <c r="C3290" s="3">
        <v>278.3</v>
      </c>
      <c r="D3290" s="3">
        <f t="shared" si="104"/>
        <v>2.7735150372240749E-4</v>
      </c>
      <c r="E3290" s="3">
        <f t="shared" si="105"/>
        <v>2.5184398991956194E-3</v>
      </c>
    </row>
    <row r="3291" spans="1:5" x14ac:dyDescent="0.45">
      <c r="A3291" s="2">
        <v>45390</v>
      </c>
      <c r="B3291" s="3">
        <v>74742.5</v>
      </c>
      <c r="C3291" s="3">
        <v>281.75</v>
      </c>
      <c r="D3291" s="3">
        <f t="shared" si="104"/>
        <v>6.6350684573204151E-3</v>
      </c>
      <c r="E3291" s="3">
        <f t="shared" si="105"/>
        <v>1.2320484388040436E-2</v>
      </c>
    </row>
    <row r="3292" spans="1:5" x14ac:dyDescent="0.45">
      <c r="A3292" s="2">
        <v>45391</v>
      </c>
      <c r="B3292" s="3">
        <v>74683.7</v>
      </c>
      <c r="C3292" s="3">
        <v>280.95</v>
      </c>
      <c r="D3292" s="3">
        <f t="shared" si="104"/>
        <v>-7.8701061841889269E-4</v>
      </c>
      <c r="E3292" s="3">
        <f t="shared" si="105"/>
        <v>-2.8434353616784954E-3</v>
      </c>
    </row>
    <row r="3293" spans="1:5" x14ac:dyDescent="0.45">
      <c r="A3293" s="2">
        <v>45392</v>
      </c>
      <c r="B3293" s="3">
        <v>75038.149999999994</v>
      </c>
      <c r="C3293" s="3">
        <v>282.45</v>
      </c>
      <c r="D3293" s="3">
        <f t="shared" si="104"/>
        <v>4.7347887055635305E-3</v>
      </c>
      <c r="E3293" s="3">
        <f t="shared" si="105"/>
        <v>5.324826213063882E-3</v>
      </c>
    </row>
    <row r="3294" spans="1:5" x14ac:dyDescent="0.45">
      <c r="A3294" s="2">
        <v>45394</v>
      </c>
      <c r="B3294" s="3">
        <v>74244.899999999994</v>
      </c>
      <c r="C3294" s="3">
        <v>275.2</v>
      </c>
      <c r="D3294" s="3">
        <f t="shared" si="104"/>
        <v>-1.0627562420871458E-2</v>
      </c>
      <c r="E3294" s="3">
        <f t="shared" si="105"/>
        <v>-2.6003437712082491E-2</v>
      </c>
    </row>
    <row r="3295" spans="1:5" x14ac:dyDescent="0.45">
      <c r="A3295" s="2">
        <v>45397</v>
      </c>
      <c r="B3295" s="3">
        <v>73399.78</v>
      </c>
      <c r="C3295" s="3">
        <v>274.14999999999998</v>
      </c>
      <c r="D3295" s="3">
        <f t="shared" si="104"/>
        <v>-1.144815011429739E-2</v>
      </c>
      <c r="E3295" s="3">
        <f t="shared" si="105"/>
        <v>-3.8227042091311474E-3</v>
      </c>
    </row>
    <row r="3296" spans="1:5" x14ac:dyDescent="0.45">
      <c r="A3296" s="2">
        <v>45398</v>
      </c>
      <c r="B3296" s="3">
        <v>72943.679999999993</v>
      </c>
      <c r="C3296" s="3">
        <v>274.35000000000002</v>
      </c>
      <c r="D3296" s="3">
        <f t="shared" si="104"/>
        <v>-6.2333018062683872E-3</v>
      </c>
      <c r="E3296" s="3">
        <f t="shared" si="105"/>
        <v>7.2926165492711225E-4</v>
      </c>
    </row>
    <row r="3297" spans="1:5" x14ac:dyDescent="0.45">
      <c r="A3297" s="2">
        <v>45400</v>
      </c>
      <c r="B3297" s="3">
        <v>72488.990000000005</v>
      </c>
      <c r="C3297" s="3">
        <v>280.2</v>
      </c>
      <c r="D3297" s="3">
        <f t="shared" si="104"/>
        <v>-6.2529482750531265E-3</v>
      </c>
      <c r="E3297" s="3">
        <f t="shared" si="105"/>
        <v>2.10989703979221E-2</v>
      </c>
    </row>
    <row r="3298" spans="1:5" x14ac:dyDescent="0.45">
      <c r="A3298" s="2">
        <v>45401</v>
      </c>
      <c r="B3298" s="3">
        <v>73088.33</v>
      </c>
      <c r="C3298" s="3">
        <v>281.7</v>
      </c>
      <c r="D3298" s="3">
        <f t="shared" si="104"/>
        <v>8.2340214289239912E-3</v>
      </c>
      <c r="E3298" s="3">
        <f t="shared" si="105"/>
        <v>5.3390409794203276E-3</v>
      </c>
    </row>
    <row r="3299" spans="1:5" x14ac:dyDescent="0.45">
      <c r="A3299" s="2">
        <v>45404</v>
      </c>
      <c r="B3299" s="3">
        <v>73648.62</v>
      </c>
      <c r="C3299" s="3">
        <v>283.55</v>
      </c>
      <c r="D3299" s="3">
        <f t="shared" si="104"/>
        <v>7.636695773842391E-3</v>
      </c>
      <c r="E3299" s="3">
        <f t="shared" si="105"/>
        <v>6.5457995777102266E-3</v>
      </c>
    </row>
    <row r="3300" spans="1:5" x14ac:dyDescent="0.45">
      <c r="A3300" s="2">
        <v>45405</v>
      </c>
      <c r="B3300" s="3">
        <v>73738.45</v>
      </c>
      <c r="C3300" s="3">
        <v>285</v>
      </c>
      <c r="D3300" s="3">
        <f t="shared" si="104"/>
        <v>1.2189673235658521E-3</v>
      </c>
      <c r="E3300" s="3">
        <f t="shared" si="105"/>
        <v>5.1007058086135525E-3</v>
      </c>
    </row>
    <row r="3301" spans="1:5" x14ac:dyDescent="0.45">
      <c r="A3301" s="2">
        <v>45406</v>
      </c>
      <c r="B3301" s="3">
        <v>73852.94</v>
      </c>
      <c r="C3301" s="3">
        <v>290.55</v>
      </c>
      <c r="D3301" s="3">
        <f t="shared" si="104"/>
        <v>1.5514458257306575E-3</v>
      </c>
      <c r="E3301" s="3">
        <f t="shared" si="105"/>
        <v>1.9286498252464042E-2</v>
      </c>
    </row>
    <row r="3302" spans="1:5" x14ac:dyDescent="0.45">
      <c r="A3302" s="2">
        <v>45407</v>
      </c>
      <c r="B3302" s="3">
        <v>74339.44</v>
      </c>
      <c r="C3302" s="3">
        <v>293.10000000000002</v>
      </c>
      <c r="D3302" s="3">
        <f t="shared" si="104"/>
        <v>6.5658132725325584E-3</v>
      </c>
      <c r="E3302" s="3">
        <f t="shared" si="105"/>
        <v>8.7381691957322365E-3</v>
      </c>
    </row>
    <row r="3303" spans="1:5" x14ac:dyDescent="0.45">
      <c r="A3303" s="2">
        <v>45408</v>
      </c>
      <c r="B3303" s="3">
        <v>73730.16</v>
      </c>
      <c r="C3303" s="3">
        <v>292.10000000000002</v>
      </c>
      <c r="D3303" s="3">
        <f t="shared" si="104"/>
        <v>-8.2296898048214578E-3</v>
      </c>
      <c r="E3303" s="3">
        <f t="shared" si="105"/>
        <v>-3.4176383231514776E-3</v>
      </c>
    </row>
    <row r="3304" spans="1:5" x14ac:dyDescent="0.45">
      <c r="A3304" s="2">
        <v>45411</v>
      </c>
      <c r="B3304" s="3">
        <v>74671.28</v>
      </c>
      <c r="C3304" s="3">
        <v>293.7</v>
      </c>
      <c r="D3304" s="3">
        <f t="shared" si="104"/>
        <v>1.2683604913330964E-2</v>
      </c>
      <c r="E3304" s="3">
        <f t="shared" si="105"/>
        <v>5.4626288108790911E-3</v>
      </c>
    </row>
    <row r="3305" spans="1:5" x14ac:dyDescent="0.45">
      <c r="A3305" s="2">
        <v>45412</v>
      </c>
      <c r="B3305" s="3">
        <v>74482.78</v>
      </c>
      <c r="C3305" s="3">
        <v>301.64999999999998</v>
      </c>
      <c r="D3305" s="3">
        <f t="shared" si="104"/>
        <v>-2.5275892638248012E-3</v>
      </c>
      <c r="E3305" s="3">
        <f t="shared" si="105"/>
        <v>2.6708566682196389E-2</v>
      </c>
    </row>
    <row r="3306" spans="1:5" x14ac:dyDescent="0.45">
      <c r="A3306" s="2">
        <v>45414</v>
      </c>
      <c r="B3306" s="3">
        <v>74611.11</v>
      </c>
      <c r="C3306" s="3">
        <v>313.45</v>
      </c>
      <c r="D3306" s="3">
        <f t="shared" si="104"/>
        <v>1.7214660063075305E-3</v>
      </c>
      <c r="E3306" s="3">
        <f t="shared" si="105"/>
        <v>3.8372452833206776E-2</v>
      </c>
    </row>
    <row r="3307" spans="1:5" x14ac:dyDescent="0.45">
      <c r="A3307" s="2">
        <v>45415</v>
      </c>
      <c r="B3307" s="3">
        <v>73878.149999999994</v>
      </c>
      <c r="C3307" s="3">
        <v>310.7</v>
      </c>
      <c r="D3307" s="3">
        <f t="shared" si="104"/>
        <v>-9.8723093239108713E-3</v>
      </c>
      <c r="E3307" s="3">
        <f t="shared" si="105"/>
        <v>-8.8120413209758323E-3</v>
      </c>
    </row>
    <row r="3308" spans="1:5" x14ac:dyDescent="0.45">
      <c r="A3308" s="2">
        <v>45418</v>
      </c>
      <c r="B3308" s="3">
        <v>73895.539999999994</v>
      </c>
      <c r="C3308" s="3">
        <v>306.89999999999998</v>
      </c>
      <c r="D3308" s="3">
        <f t="shared" si="104"/>
        <v>2.3535989498904987E-4</v>
      </c>
      <c r="E3308" s="3">
        <f t="shared" si="105"/>
        <v>-1.2305854773311279E-2</v>
      </c>
    </row>
    <row r="3309" spans="1:5" x14ac:dyDescent="0.45">
      <c r="A3309" s="2">
        <v>45419</v>
      </c>
      <c r="B3309" s="3">
        <v>73511.850000000006</v>
      </c>
      <c r="C3309" s="3">
        <v>295.25</v>
      </c>
      <c r="D3309" s="3">
        <f t="shared" si="104"/>
        <v>-5.2058565928025892E-3</v>
      </c>
      <c r="E3309" s="3">
        <f t="shared" si="105"/>
        <v>-3.8699506548218729E-2</v>
      </c>
    </row>
    <row r="3310" spans="1:5" x14ac:dyDescent="0.45">
      <c r="A3310" s="2">
        <v>45420</v>
      </c>
      <c r="B3310" s="3">
        <v>73466.39</v>
      </c>
      <c r="C3310" s="3">
        <v>301.89999999999998</v>
      </c>
      <c r="D3310" s="3">
        <f t="shared" si="104"/>
        <v>-6.18594989974703E-4</v>
      </c>
      <c r="E3310" s="3">
        <f t="shared" si="105"/>
        <v>2.2273381635321339E-2</v>
      </c>
    </row>
    <row r="3311" spans="1:5" x14ac:dyDescent="0.45">
      <c r="A3311" s="2">
        <v>45421</v>
      </c>
      <c r="B3311" s="3">
        <v>72404.17</v>
      </c>
      <c r="C3311" s="3">
        <v>296.10000000000002</v>
      </c>
      <c r="D3311" s="3">
        <f t="shared" si="104"/>
        <v>-1.4564128305212818E-2</v>
      </c>
      <c r="E3311" s="3">
        <f t="shared" si="105"/>
        <v>-1.9398601605247322E-2</v>
      </c>
    </row>
    <row r="3312" spans="1:5" x14ac:dyDescent="0.45">
      <c r="A3312" s="2">
        <v>45422</v>
      </c>
      <c r="B3312" s="3">
        <v>72664.47</v>
      </c>
      <c r="C3312" s="3">
        <v>303.89999999999998</v>
      </c>
      <c r="D3312" s="3">
        <f t="shared" si="104"/>
        <v>3.5886498881368295E-3</v>
      </c>
      <c r="E3312" s="3">
        <f t="shared" si="105"/>
        <v>2.600146481520171E-2</v>
      </c>
    </row>
    <row r="3313" spans="1:5" x14ac:dyDescent="0.45">
      <c r="A3313" s="2">
        <v>45425</v>
      </c>
      <c r="B3313" s="3">
        <v>72776.13</v>
      </c>
      <c r="C3313" s="3">
        <v>306.45</v>
      </c>
      <c r="D3313" s="3">
        <f t="shared" si="104"/>
        <v>1.5354725150772163E-3</v>
      </c>
      <c r="E3313" s="3">
        <f t="shared" si="105"/>
        <v>8.3559100089934859E-3</v>
      </c>
    </row>
    <row r="3314" spans="1:5" x14ac:dyDescent="0.45">
      <c r="A3314" s="2">
        <v>45426</v>
      </c>
      <c r="B3314" s="3">
        <v>73104.61</v>
      </c>
      <c r="C3314" s="3">
        <v>309.2</v>
      </c>
      <c r="D3314" s="3">
        <f t="shared" si="104"/>
        <v>4.5034122414071096E-3</v>
      </c>
      <c r="E3314" s="3">
        <f t="shared" si="105"/>
        <v>8.9337067815260379E-3</v>
      </c>
    </row>
    <row r="3315" spans="1:5" x14ac:dyDescent="0.45">
      <c r="A3315" s="2">
        <v>45427</v>
      </c>
      <c r="B3315" s="3">
        <v>72987.03</v>
      </c>
      <c r="C3315" s="3">
        <v>315</v>
      </c>
      <c r="D3315" s="3">
        <f t="shared" si="104"/>
        <v>-1.6096749326381943E-3</v>
      </c>
      <c r="E3315" s="3">
        <f t="shared" si="105"/>
        <v>1.8584322112366193E-2</v>
      </c>
    </row>
    <row r="3316" spans="1:5" x14ac:dyDescent="0.45">
      <c r="A3316" s="2">
        <v>45428</v>
      </c>
      <c r="B3316" s="3">
        <v>73663.72</v>
      </c>
      <c r="C3316" s="3">
        <v>312.55</v>
      </c>
      <c r="D3316" s="3">
        <f t="shared" si="104"/>
        <v>9.2286579195106754E-3</v>
      </c>
      <c r="E3316" s="3">
        <f t="shared" si="105"/>
        <v>-7.8081824478116986E-3</v>
      </c>
    </row>
    <row r="3317" spans="1:5" x14ac:dyDescent="0.45">
      <c r="A3317" s="2">
        <v>45429</v>
      </c>
      <c r="B3317" s="3">
        <v>73917.03</v>
      </c>
      <c r="C3317" s="3">
        <v>313.35000000000002</v>
      </c>
      <c r="D3317" s="3">
        <f t="shared" si="104"/>
        <v>3.4328359051977943E-3</v>
      </c>
      <c r="E3317" s="3">
        <f t="shared" si="105"/>
        <v>2.5563202928631729E-3</v>
      </c>
    </row>
    <row r="3318" spans="1:5" x14ac:dyDescent="0.45">
      <c r="A3318" s="2">
        <v>45430</v>
      </c>
      <c r="B3318" s="3">
        <v>74005.94</v>
      </c>
      <c r="C3318" s="3">
        <v>316.85000000000002</v>
      </c>
      <c r="D3318" s="3">
        <f t="shared" si="104"/>
        <v>1.2021122981345092E-3</v>
      </c>
      <c r="E3318" s="3">
        <f t="shared" si="105"/>
        <v>1.1107699098841444E-2</v>
      </c>
    </row>
    <row r="3319" spans="1:5" x14ac:dyDescent="0.45">
      <c r="A3319" s="2">
        <v>45433</v>
      </c>
      <c r="B3319" s="3">
        <v>73953.31</v>
      </c>
      <c r="C3319" s="3">
        <v>325.45</v>
      </c>
      <c r="D3319" s="3">
        <f t="shared" si="104"/>
        <v>-7.1141212488853682E-4</v>
      </c>
      <c r="E3319" s="3">
        <f t="shared" si="105"/>
        <v>2.6780364248870266E-2</v>
      </c>
    </row>
    <row r="3320" spans="1:5" x14ac:dyDescent="0.45">
      <c r="A3320" s="2">
        <v>45434</v>
      </c>
      <c r="B3320" s="3">
        <v>74221.06</v>
      </c>
      <c r="C3320" s="3">
        <v>325.8</v>
      </c>
      <c r="D3320" s="3">
        <f t="shared" si="104"/>
        <v>3.613989267127258E-3</v>
      </c>
      <c r="E3320" s="3">
        <f t="shared" si="105"/>
        <v>1.0748561495485466E-3</v>
      </c>
    </row>
    <row r="3321" spans="1:5" x14ac:dyDescent="0.45">
      <c r="A3321" s="2">
        <v>45435</v>
      </c>
      <c r="B3321" s="3">
        <v>75418.039999999994</v>
      </c>
      <c r="C3321" s="3">
        <v>319.75</v>
      </c>
      <c r="D3321" s="3">
        <f t="shared" si="104"/>
        <v>1.599856629568484E-2</v>
      </c>
      <c r="E3321" s="3">
        <f t="shared" si="105"/>
        <v>-1.874425570899272E-2</v>
      </c>
    </row>
    <row r="3322" spans="1:5" x14ac:dyDescent="0.45">
      <c r="A3322" s="2">
        <v>45436</v>
      </c>
      <c r="B3322" s="3">
        <v>75410.39</v>
      </c>
      <c r="C3322" s="3">
        <v>318.55</v>
      </c>
      <c r="D3322" s="3">
        <f t="shared" si="104"/>
        <v>-1.0143976180821501E-4</v>
      </c>
      <c r="E3322" s="3">
        <f t="shared" si="105"/>
        <v>-3.7599918964548646E-3</v>
      </c>
    </row>
    <row r="3323" spans="1:5" x14ac:dyDescent="0.45">
      <c r="A3323" s="2">
        <v>45439</v>
      </c>
      <c r="B3323" s="3">
        <v>75390.5</v>
      </c>
      <c r="C3323" s="3">
        <v>318</v>
      </c>
      <c r="D3323" s="3">
        <f t="shared" si="104"/>
        <v>-2.6379154811806042E-4</v>
      </c>
      <c r="E3323" s="3">
        <f t="shared" si="105"/>
        <v>-1.7280657823203773E-3</v>
      </c>
    </row>
    <row r="3324" spans="1:5" x14ac:dyDescent="0.45">
      <c r="A3324" s="2">
        <v>45440</v>
      </c>
      <c r="B3324" s="3">
        <v>75170.45</v>
      </c>
      <c r="C3324" s="3">
        <v>312.8</v>
      </c>
      <c r="D3324" s="3">
        <f t="shared" si="104"/>
        <v>-2.9230707787360069E-3</v>
      </c>
      <c r="E3324" s="3">
        <f t="shared" si="105"/>
        <v>-1.6487374109020816E-2</v>
      </c>
    </row>
    <row r="3325" spans="1:5" x14ac:dyDescent="0.45">
      <c r="A3325" s="2">
        <v>45441</v>
      </c>
      <c r="B3325" s="3">
        <v>74502.899999999994</v>
      </c>
      <c r="C3325" s="3">
        <v>317.55</v>
      </c>
      <c r="D3325" s="3">
        <f t="shared" si="104"/>
        <v>-8.9201507998092743E-3</v>
      </c>
      <c r="E3325" s="3">
        <f t="shared" si="105"/>
        <v>1.5071277577827748E-2</v>
      </c>
    </row>
    <row r="3326" spans="1:5" x14ac:dyDescent="0.45">
      <c r="A3326" s="2">
        <v>45442</v>
      </c>
      <c r="B3326" s="3">
        <v>73885.600000000006</v>
      </c>
      <c r="C3326" s="3">
        <v>306.5</v>
      </c>
      <c r="D3326" s="3">
        <f t="shared" si="104"/>
        <v>-8.3200997516235144E-3</v>
      </c>
      <c r="E3326" s="3">
        <f t="shared" si="105"/>
        <v>-3.5417530872717783E-2</v>
      </c>
    </row>
    <row r="3327" spans="1:5" x14ac:dyDescent="0.45">
      <c r="A3327" s="2">
        <v>45443</v>
      </c>
      <c r="B3327" s="3">
        <v>73961.31</v>
      </c>
      <c r="C3327" s="3">
        <v>309.89999999999998</v>
      </c>
      <c r="D3327" s="3">
        <f t="shared" si="104"/>
        <v>1.0241675881868873E-3</v>
      </c>
      <c r="E3327" s="3">
        <f t="shared" si="105"/>
        <v>1.1031909417436448E-2</v>
      </c>
    </row>
    <row r="3328" spans="1:5" x14ac:dyDescent="0.45">
      <c r="A3328" s="2">
        <v>45446</v>
      </c>
      <c r="B3328" s="3">
        <v>76468.78</v>
      </c>
      <c r="C3328" s="3">
        <v>337.7</v>
      </c>
      <c r="D3328" s="3">
        <f t="shared" si="104"/>
        <v>3.334043432102108E-2</v>
      </c>
      <c r="E3328" s="3">
        <f t="shared" si="105"/>
        <v>8.5908262597819585E-2</v>
      </c>
    </row>
    <row r="3329" spans="1:5" x14ac:dyDescent="0.45">
      <c r="A3329" s="2">
        <v>45447</v>
      </c>
      <c r="B3329" s="3">
        <v>72079.05</v>
      </c>
      <c r="C3329" s="3">
        <v>295.89999999999998</v>
      </c>
      <c r="D3329" s="3">
        <f t="shared" si="104"/>
        <v>-5.9119119546984893E-2</v>
      </c>
      <c r="E3329" s="3">
        <f t="shared" si="105"/>
        <v>-0.13213636798535811</v>
      </c>
    </row>
    <row r="3330" spans="1:5" x14ac:dyDescent="0.45">
      <c r="A3330" s="2">
        <v>45448</v>
      </c>
      <c r="B3330" s="3">
        <v>74382.240000000005</v>
      </c>
      <c r="C3330" s="3">
        <v>298.75</v>
      </c>
      <c r="D3330" s="3">
        <f t="shared" si="104"/>
        <v>3.1453770252930835E-2</v>
      </c>
      <c r="E3330" s="3">
        <f t="shared" si="105"/>
        <v>9.5855438395566223E-3</v>
      </c>
    </row>
    <row r="3331" spans="1:5" x14ac:dyDescent="0.45">
      <c r="A3331" s="2">
        <v>45449</v>
      </c>
      <c r="B3331" s="3">
        <v>75074.509999999995</v>
      </c>
      <c r="C3331" s="3">
        <v>300.5</v>
      </c>
      <c r="D3331" s="3">
        <f t="shared" si="104"/>
        <v>9.2638833756304214E-3</v>
      </c>
      <c r="E3331" s="3">
        <f t="shared" si="105"/>
        <v>5.840650729541829E-3</v>
      </c>
    </row>
    <row r="3332" spans="1:5" x14ac:dyDescent="0.45">
      <c r="A3332" s="2">
        <v>45450</v>
      </c>
      <c r="B3332" s="3">
        <v>76693.36</v>
      </c>
      <c r="C3332" s="3">
        <v>309.35000000000002</v>
      </c>
      <c r="D3332" s="3">
        <f t="shared" si="104"/>
        <v>2.1334046528090411E-2</v>
      </c>
      <c r="E3332" s="3">
        <f t="shared" si="105"/>
        <v>2.9025568001735638E-2</v>
      </c>
    </row>
    <row r="3333" spans="1:5" x14ac:dyDescent="0.45">
      <c r="A3333" s="2">
        <v>45453</v>
      </c>
      <c r="B3333" s="3">
        <v>76490.080000000002</v>
      </c>
      <c r="C3333" s="3">
        <v>315.75</v>
      </c>
      <c r="D3333" s="3">
        <f t="shared" si="104"/>
        <v>-2.6540743480785644E-3</v>
      </c>
      <c r="E3333" s="3">
        <f t="shared" si="105"/>
        <v>2.0477439253602514E-2</v>
      </c>
    </row>
    <row r="3334" spans="1:5" x14ac:dyDescent="0.45">
      <c r="A3334" s="2">
        <v>45454</v>
      </c>
      <c r="B3334" s="3">
        <v>76456.59</v>
      </c>
      <c r="C3334" s="3">
        <v>316.55</v>
      </c>
      <c r="D3334" s="3">
        <f t="shared" ref="D3334:D3397" si="106">LN(B3334/B3333)</f>
        <v>-4.3793043072124632E-4</v>
      </c>
      <c r="E3334" s="3">
        <f t="shared" ref="E3334:E3397" si="107">LN(C3334/C3333)</f>
        <v>2.530445759535037E-3</v>
      </c>
    </row>
    <row r="3335" spans="1:5" x14ac:dyDescent="0.45">
      <c r="A3335" s="2">
        <v>45455</v>
      </c>
      <c r="B3335" s="3">
        <v>76606.570000000007</v>
      </c>
      <c r="C3335" s="3">
        <v>324.60000000000002</v>
      </c>
      <c r="D3335" s="3">
        <f t="shared" si="106"/>
        <v>1.9597145126185205E-3</v>
      </c>
      <c r="E3335" s="3">
        <f t="shared" si="107"/>
        <v>2.5112448090355434E-2</v>
      </c>
    </row>
    <row r="3336" spans="1:5" x14ac:dyDescent="0.45">
      <c r="A3336" s="2">
        <v>45456</v>
      </c>
      <c r="B3336" s="3">
        <v>76810.899999999994</v>
      </c>
      <c r="C3336" s="3">
        <v>321.39999999999998</v>
      </c>
      <c r="D3336" s="3">
        <f t="shared" si="106"/>
        <v>2.6637138627876827E-3</v>
      </c>
      <c r="E3336" s="3">
        <f t="shared" si="107"/>
        <v>-9.9072017770787894E-3</v>
      </c>
    </row>
    <row r="3337" spans="1:5" x14ac:dyDescent="0.45">
      <c r="A3337" s="2">
        <v>45457</v>
      </c>
      <c r="B3337" s="3">
        <v>76992.77</v>
      </c>
      <c r="C3337" s="3">
        <v>321.5</v>
      </c>
      <c r="D3337" s="3">
        <f t="shared" si="106"/>
        <v>2.3649641750085686E-3</v>
      </c>
      <c r="E3337" s="3">
        <f t="shared" si="107"/>
        <v>3.1109037426184892E-4</v>
      </c>
    </row>
    <row r="3338" spans="1:5" x14ac:dyDescent="0.45">
      <c r="A3338" s="2">
        <v>45461</v>
      </c>
      <c r="B3338" s="3">
        <v>77301.14</v>
      </c>
      <c r="C3338" s="3">
        <v>331.7</v>
      </c>
      <c r="D3338" s="3">
        <f t="shared" si="106"/>
        <v>3.9971818794499268E-3</v>
      </c>
      <c r="E3338" s="3">
        <f t="shared" si="107"/>
        <v>3.1233402275332608E-2</v>
      </c>
    </row>
    <row r="3339" spans="1:5" x14ac:dyDescent="0.45">
      <c r="A3339" s="2">
        <v>45462</v>
      </c>
      <c r="B3339" s="3">
        <v>77337.59</v>
      </c>
      <c r="C3339" s="3">
        <v>327.55</v>
      </c>
      <c r="D3339" s="3">
        <f t="shared" si="106"/>
        <v>4.7142136610986901E-4</v>
      </c>
      <c r="E3339" s="3">
        <f t="shared" si="107"/>
        <v>-1.2590230775121326E-2</v>
      </c>
    </row>
    <row r="3340" spans="1:5" x14ac:dyDescent="0.45">
      <c r="A3340" s="2">
        <v>45463</v>
      </c>
      <c r="B3340" s="3">
        <v>77478.929999999993</v>
      </c>
      <c r="C3340" s="3">
        <v>324.60000000000002</v>
      </c>
      <c r="D3340" s="3">
        <f t="shared" si="106"/>
        <v>1.8259038411154722E-3</v>
      </c>
      <c r="E3340" s="3">
        <f t="shared" si="107"/>
        <v>-9.0470600973944736E-3</v>
      </c>
    </row>
    <row r="3341" spans="1:5" x14ac:dyDescent="0.45">
      <c r="A3341" s="2">
        <v>45464</v>
      </c>
      <c r="B3341" s="3">
        <v>77209.899999999994</v>
      </c>
      <c r="C3341" s="3">
        <v>325.8</v>
      </c>
      <c r="D3341" s="3">
        <f t="shared" si="106"/>
        <v>-3.4783412770819618E-3</v>
      </c>
      <c r="E3341" s="3">
        <f t="shared" si="107"/>
        <v>3.6900410874539631E-3</v>
      </c>
    </row>
    <row r="3342" spans="1:5" x14ac:dyDescent="0.45">
      <c r="A3342" s="2">
        <v>45467</v>
      </c>
      <c r="B3342" s="3">
        <v>77341.08</v>
      </c>
      <c r="C3342" s="3">
        <v>333.05</v>
      </c>
      <c r="D3342" s="3">
        <f t="shared" si="106"/>
        <v>1.6975632442061386E-3</v>
      </c>
      <c r="E3342" s="3">
        <f t="shared" si="107"/>
        <v>2.2008932691243707E-2</v>
      </c>
    </row>
    <row r="3343" spans="1:5" x14ac:dyDescent="0.45">
      <c r="A3343" s="2">
        <v>45468</v>
      </c>
      <c r="B3343" s="3">
        <v>78053.52</v>
      </c>
      <c r="C3343" s="3">
        <v>327.60000000000002</v>
      </c>
      <c r="D3343" s="3">
        <f t="shared" si="106"/>
        <v>9.1694948447498901E-3</v>
      </c>
      <c r="E3343" s="3">
        <f t="shared" si="107"/>
        <v>-1.649927688027401E-2</v>
      </c>
    </row>
    <row r="3344" spans="1:5" x14ac:dyDescent="0.45">
      <c r="A3344" s="2">
        <v>45469</v>
      </c>
      <c r="B3344" s="3">
        <v>78674.25</v>
      </c>
      <c r="C3344" s="3">
        <v>326.85000000000002</v>
      </c>
      <c r="D3344" s="3">
        <f t="shared" si="106"/>
        <v>7.9211647767451973E-3</v>
      </c>
      <c r="E3344" s="3">
        <f t="shared" si="107"/>
        <v>-2.2920019201757773E-3</v>
      </c>
    </row>
    <row r="3345" spans="1:5" x14ac:dyDescent="0.45">
      <c r="A3345" s="2">
        <v>45470</v>
      </c>
      <c r="B3345" s="3">
        <v>79243.179999999993</v>
      </c>
      <c r="C3345" s="3">
        <v>331.55</v>
      </c>
      <c r="D3345" s="3">
        <f t="shared" si="106"/>
        <v>7.2054422553910194E-3</v>
      </c>
      <c r="E3345" s="3">
        <f t="shared" si="107"/>
        <v>1.4277277756138065E-2</v>
      </c>
    </row>
    <row r="3346" spans="1:5" x14ac:dyDescent="0.45">
      <c r="A3346" s="2">
        <v>45471</v>
      </c>
      <c r="B3346" s="3">
        <v>79032.73</v>
      </c>
      <c r="C3346" s="3">
        <v>330.8</v>
      </c>
      <c r="D3346" s="3">
        <f t="shared" si="106"/>
        <v>-2.6592818075892306E-3</v>
      </c>
      <c r="E3346" s="3">
        <f t="shared" si="107"/>
        <v>-2.2646646653404286E-3</v>
      </c>
    </row>
    <row r="3347" spans="1:5" x14ac:dyDescent="0.45">
      <c r="A3347" s="2">
        <v>45474</v>
      </c>
      <c r="B3347" s="3">
        <v>79476.19</v>
      </c>
      <c r="C3347" s="3">
        <v>329.55</v>
      </c>
      <c r="D3347" s="3">
        <f t="shared" si="106"/>
        <v>5.5954094824314602E-3</v>
      </c>
      <c r="E3347" s="3">
        <f t="shared" si="107"/>
        <v>-3.7858756508073505E-3</v>
      </c>
    </row>
    <row r="3348" spans="1:5" x14ac:dyDescent="0.45">
      <c r="A3348" s="2">
        <v>45475</v>
      </c>
      <c r="B3348" s="3">
        <v>79441.45</v>
      </c>
      <c r="C3348" s="3">
        <v>330.75</v>
      </c>
      <c r="D3348" s="3">
        <f t="shared" si="106"/>
        <v>-4.3720760707731583E-4</v>
      </c>
      <c r="E3348" s="3">
        <f t="shared" si="107"/>
        <v>3.6347154963361438E-3</v>
      </c>
    </row>
    <row r="3349" spans="1:5" x14ac:dyDescent="0.45">
      <c r="A3349" s="2">
        <v>45476</v>
      </c>
      <c r="B3349" s="3">
        <v>79986.8</v>
      </c>
      <c r="C3349" s="3">
        <v>335.4</v>
      </c>
      <c r="D3349" s="3">
        <f t="shared" si="106"/>
        <v>6.8413487201609757E-3</v>
      </c>
      <c r="E3349" s="3">
        <f t="shared" si="107"/>
        <v>1.3961046394043237E-2</v>
      </c>
    </row>
    <row r="3350" spans="1:5" x14ac:dyDescent="0.45">
      <c r="A3350" s="2">
        <v>45477</v>
      </c>
      <c r="B3350" s="3">
        <v>80049.67</v>
      </c>
      <c r="C3350" s="3">
        <v>335.35</v>
      </c>
      <c r="D3350" s="3">
        <f t="shared" si="106"/>
        <v>7.8569595085707525E-4</v>
      </c>
      <c r="E3350" s="3">
        <f t="shared" si="107"/>
        <v>-1.4908684336212305E-4</v>
      </c>
    </row>
    <row r="3351" spans="1:5" x14ac:dyDescent="0.45">
      <c r="A3351" s="2">
        <v>45478</v>
      </c>
      <c r="B3351" s="3">
        <v>79996.600000000006</v>
      </c>
      <c r="C3351" s="3">
        <v>339.4</v>
      </c>
      <c r="D3351" s="3">
        <f t="shared" si="106"/>
        <v>-6.6318324001005298E-4</v>
      </c>
      <c r="E3351" s="3">
        <f t="shared" si="107"/>
        <v>1.2004590254379553E-2</v>
      </c>
    </row>
    <row r="3352" spans="1:5" x14ac:dyDescent="0.45">
      <c r="A3352" s="2">
        <v>45481</v>
      </c>
      <c r="B3352" s="3">
        <v>79960.38</v>
      </c>
      <c r="C3352" s="3">
        <v>339.45</v>
      </c>
      <c r="D3352" s="3">
        <f t="shared" si="106"/>
        <v>-4.528717736360783E-4</v>
      </c>
      <c r="E3352" s="3">
        <f t="shared" si="107"/>
        <v>1.4730794753018233E-4</v>
      </c>
    </row>
    <row r="3353" spans="1:5" x14ac:dyDescent="0.45">
      <c r="A3353" s="2">
        <v>45482</v>
      </c>
      <c r="B3353" s="3">
        <v>80351.64</v>
      </c>
      <c r="C3353" s="3">
        <v>340.9</v>
      </c>
      <c r="D3353" s="3">
        <f t="shared" si="106"/>
        <v>4.8812406813047386E-3</v>
      </c>
      <c r="E3353" s="3">
        <f t="shared" si="107"/>
        <v>4.262518396201365E-3</v>
      </c>
    </row>
    <row r="3354" spans="1:5" x14ac:dyDescent="0.45">
      <c r="A3354" s="2">
        <v>45483</v>
      </c>
      <c r="B3354" s="3">
        <v>79924.77</v>
      </c>
      <c r="C3354" s="3">
        <v>346.1</v>
      </c>
      <c r="D3354" s="3">
        <f t="shared" si="106"/>
        <v>-5.3266854344766979E-3</v>
      </c>
      <c r="E3354" s="3">
        <f t="shared" si="107"/>
        <v>1.5138571497441286E-2</v>
      </c>
    </row>
    <row r="3355" spans="1:5" x14ac:dyDescent="0.45">
      <c r="A3355" s="2">
        <v>45484</v>
      </c>
      <c r="B3355" s="3">
        <v>79897.34</v>
      </c>
      <c r="C3355" s="3">
        <v>342.8</v>
      </c>
      <c r="D3355" s="3">
        <f t="shared" si="106"/>
        <v>-3.432566403901553E-4</v>
      </c>
      <c r="E3355" s="3">
        <f t="shared" si="107"/>
        <v>-9.5805639176739094E-3</v>
      </c>
    </row>
    <row r="3356" spans="1:5" x14ac:dyDescent="0.45">
      <c r="A3356" s="2">
        <v>45485</v>
      </c>
      <c r="B3356" s="3">
        <v>80519.34</v>
      </c>
      <c r="C3356" s="3">
        <v>343.15</v>
      </c>
      <c r="D3356" s="3">
        <f t="shared" si="106"/>
        <v>7.754843413153285E-3</v>
      </c>
      <c r="E3356" s="3">
        <f t="shared" si="107"/>
        <v>1.0204826310188323E-3</v>
      </c>
    </row>
    <row r="3357" spans="1:5" x14ac:dyDescent="0.45">
      <c r="A3357" s="2">
        <v>45488</v>
      </c>
      <c r="B3357" s="3">
        <v>80664.86</v>
      </c>
      <c r="C3357" s="3">
        <v>343.9</v>
      </c>
      <c r="D3357" s="3">
        <f t="shared" si="106"/>
        <v>1.8056365268662034E-3</v>
      </c>
      <c r="E3357" s="3">
        <f t="shared" si="107"/>
        <v>2.1832480835767948E-3</v>
      </c>
    </row>
    <row r="3358" spans="1:5" x14ac:dyDescent="0.45">
      <c r="A3358" s="2">
        <v>45489</v>
      </c>
      <c r="B3358" s="3">
        <v>80716.55</v>
      </c>
      <c r="C3358" s="3">
        <v>342.45</v>
      </c>
      <c r="D3358" s="3">
        <f t="shared" si="106"/>
        <v>6.4059425143991476E-4</v>
      </c>
      <c r="E3358" s="3">
        <f t="shared" si="107"/>
        <v>-4.2252557943062126E-3</v>
      </c>
    </row>
    <row r="3359" spans="1:5" x14ac:dyDescent="0.45">
      <c r="A3359" s="2">
        <v>45491</v>
      </c>
      <c r="B3359" s="3">
        <v>81343.460000000006</v>
      </c>
      <c r="C3359" s="3">
        <v>341</v>
      </c>
      <c r="D3359" s="3">
        <f t="shared" si="106"/>
        <v>7.7368022763193494E-3</v>
      </c>
      <c r="E3359" s="3">
        <f t="shared" si="107"/>
        <v>-4.2431843603973783E-3</v>
      </c>
    </row>
    <row r="3360" spans="1:5" x14ac:dyDescent="0.45">
      <c r="A3360" s="2">
        <v>45492</v>
      </c>
      <c r="B3360" s="3">
        <v>80604.649999999994</v>
      </c>
      <c r="C3360" s="3">
        <v>332</v>
      </c>
      <c r="D3360" s="3">
        <f t="shared" si="106"/>
        <v>-9.1240969151737475E-3</v>
      </c>
      <c r="E3360" s="3">
        <f t="shared" si="107"/>
        <v>-2.6747508367028223E-2</v>
      </c>
    </row>
    <row r="3361" spans="1:5" x14ac:dyDescent="0.45">
      <c r="A3361" s="2">
        <v>45495</v>
      </c>
      <c r="B3361" s="3">
        <v>80502.080000000002</v>
      </c>
      <c r="C3361" s="3">
        <v>338.5</v>
      </c>
      <c r="D3361" s="3">
        <f t="shared" si="106"/>
        <v>-1.2733175561117206E-3</v>
      </c>
      <c r="E3361" s="3">
        <f t="shared" si="107"/>
        <v>1.9389123435841163E-2</v>
      </c>
    </row>
    <row r="3362" spans="1:5" x14ac:dyDescent="0.45">
      <c r="A3362" s="2">
        <v>45496</v>
      </c>
      <c r="B3362" s="3">
        <v>80429.039999999994</v>
      </c>
      <c r="C3362" s="3">
        <v>334</v>
      </c>
      <c r="D3362" s="3">
        <f t="shared" si="106"/>
        <v>-9.0771760011523533E-4</v>
      </c>
      <c r="E3362" s="3">
        <f t="shared" si="107"/>
        <v>-1.338309937562931E-2</v>
      </c>
    </row>
    <row r="3363" spans="1:5" x14ac:dyDescent="0.45">
      <c r="A3363" s="2">
        <v>45497</v>
      </c>
      <c r="B3363" s="3">
        <v>80148.88</v>
      </c>
      <c r="C3363" s="3">
        <v>337.15</v>
      </c>
      <c r="D3363" s="3">
        <f t="shared" si="106"/>
        <v>-3.4893998411098682E-3</v>
      </c>
      <c r="E3363" s="3">
        <f t="shared" si="107"/>
        <v>9.386942203890478E-3</v>
      </c>
    </row>
    <row r="3364" spans="1:5" x14ac:dyDescent="0.45">
      <c r="A3364" s="2">
        <v>45498</v>
      </c>
      <c r="B3364" s="3">
        <v>80039.8</v>
      </c>
      <c r="C3364" s="3">
        <v>339.2</v>
      </c>
      <c r="D3364" s="3">
        <f t="shared" si="106"/>
        <v>-1.3618941970148515E-3</v>
      </c>
      <c r="E3364" s="3">
        <f t="shared" si="107"/>
        <v>6.0619687371571904E-3</v>
      </c>
    </row>
    <row r="3365" spans="1:5" x14ac:dyDescent="0.45">
      <c r="A3365" s="2">
        <v>45499</v>
      </c>
      <c r="B3365" s="3">
        <v>81332.72</v>
      </c>
      <c r="C3365" s="3">
        <v>344.3</v>
      </c>
      <c r="D3365" s="3">
        <f t="shared" si="106"/>
        <v>1.6024384651266189E-2</v>
      </c>
      <c r="E3365" s="3">
        <f t="shared" si="107"/>
        <v>1.492346642673009E-2</v>
      </c>
    </row>
    <row r="3366" spans="1:5" x14ac:dyDescent="0.45">
      <c r="A3366" s="2">
        <v>45502</v>
      </c>
      <c r="B3366" s="3">
        <v>81355.839999999997</v>
      </c>
      <c r="C3366" s="3">
        <v>342.4</v>
      </c>
      <c r="D3366" s="3">
        <f t="shared" si="106"/>
        <v>2.8422404323491236E-4</v>
      </c>
      <c r="E3366" s="3">
        <f t="shared" si="107"/>
        <v>-5.5337260768910925E-3</v>
      </c>
    </row>
    <row r="3367" spans="1:5" x14ac:dyDescent="0.45">
      <c r="A3367" s="2">
        <v>45503</v>
      </c>
      <c r="B3367" s="3">
        <v>81455.399999999994</v>
      </c>
      <c r="C3367" s="3">
        <v>349.65</v>
      </c>
      <c r="D3367" s="3">
        <f t="shared" si="106"/>
        <v>1.2230115366701842E-3</v>
      </c>
      <c r="E3367" s="3">
        <f t="shared" si="107"/>
        <v>2.0953009882288817E-2</v>
      </c>
    </row>
    <row r="3368" spans="1:5" x14ac:dyDescent="0.45">
      <c r="A3368" s="2">
        <v>45504</v>
      </c>
      <c r="B3368" s="3">
        <v>81741.34</v>
      </c>
      <c r="C3368" s="3">
        <v>348.6</v>
      </c>
      <c r="D3368" s="3">
        <f t="shared" si="106"/>
        <v>3.5042402514255315E-3</v>
      </c>
      <c r="E3368" s="3">
        <f t="shared" si="107"/>
        <v>-3.0075210639551055E-3</v>
      </c>
    </row>
    <row r="3369" spans="1:5" x14ac:dyDescent="0.45">
      <c r="A3369" s="2">
        <v>45505</v>
      </c>
      <c r="B3369" s="3">
        <v>81867.55</v>
      </c>
      <c r="C3369" s="3">
        <v>361.25</v>
      </c>
      <c r="D3369" s="3">
        <f t="shared" si="106"/>
        <v>1.542826004564158E-3</v>
      </c>
      <c r="E3369" s="3">
        <f t="shared" si="107"/>
        <v>3.564510634072135E-2</v>
      </c>
    </row>
    <row r="3370" spans="1:5" x14ac:dyDescent="0.45">
      <c r="A3370" s="2">
        <v>45506</v>
      </c>
      <c r="B3370" s="3">
        <v>80981.95</v>
      </c>
      <c r="C3370" s="3">
        <v>358</v>
      </c>
      <c r="D3370" s="3">
        <f t="shared" si="106"/>
        <v>-1.0876407115093309E-2</v>
      </c>
      <c r="E3370" s="3">
        <f t="shared" si="107"/>
        <v>-9.037253025941638E-3</v>
      </c>
    </row>
    <row r="3371" spans="1:5" x14ac:dyDescent="0.45">
      <c r="A3371" s="2">
        <v>45509</v>
      </c>
      <c r="B3371" s="3">
        <v>78759.399999999994</v>
      </c>
      <c r="C3371" s="3">
        <v>342.8</v>
      </c>
      <c r="D3371" s="3">
        <f t="shared" si="106"/>
        <v>-2.7828654672190808E-2</v>
      </c>
      <c r="E3371" s="3">
        <f t="shared" si="107"/>
        <v>-4.3385799677075537E-2</v>
      </c>
    </row>
    <row r="3372" spans="1:5" x14ac:dyDescent="0.45">
      <c r="A3372" s="2">
        <v>45510</v>
      </c>
      <c r="B3372" s="3">
        <v>78593.070000000007</v>
      </c>
      <c r="C3372" s="3">
        <v>340.9</v>
      </c>
      <c r="D3372" s="3">
        <f t="shared" si="106"/>
        <v>-2.1141080524547415E-3</v>
      </c>
      <c r="E3372" s="3">
        <f t="shared" si="107"/>
        <v>-5.55800757976746E-3</v>
      </c>
    </row>
    <row r="3373" spans="1:5" x14ac:dyDescent="0.45">
      <c r="A3373" s="2">
        <v>45511</v>
      </c>
      <c r="B3373" s="3">
        <v>79468.009999999995</v>
      </c>
      <c r="C3373" s="3">
        <v>352.1</v>
      </c>
      <c r="D3373" s="3">
        <f t="shared" si="106"/>
        <v>1.1071023133415431E-2</v>
      </c>
      <c r="E3373" s="3">
        <f t="shared" si="107"/>
        <v>3.2326047017149459E-2</v>
      </c>
    </row>
    <row r="3374" spans="1:5" x14ac:dyDescent="0.45">
      <c r="A3374" s="2">
        <v>45512</v>
      </c>
      <c r="B3374" s="3">
        <v>78886.22</v>
      </c>
      <c r="C3374" s="3">
        <v>342.45</v>
      </c>
      <c r="D3374" s="3">
        <f t="shared" si="106"/>
        <v>-7.3479896016784389E-3</v>
      </c>
      <c r="E3374" s="3">
        <f t="shared" si="107"/>
        <v>-2.7789564517092677E-2</v>
      </c>
    </row>
    <row r="3375" spans="1:5" x14ac:dyDescent="0.45">
      <c r="A3375" s="2">
        <v>45513</v>
      </c>
      <c r="B3375" s="3">
        <v>79705.91</v>
      </c>
      <c r="C3375" s="3">
        <v>346.1</v>
      </c>
      <c r="D3375" s="3">
        <f t="shared" si="106"/>
        <v>1.0337174980048292E-2</v>
      </c>
      <c r="E3375" s="3">
        <f t="shared" si="107"/>
        <v>1.0602088997384521E-2</v>
      </c>
    </row>
    <row r="3376" spans="1:5" x14ac:dyDescent="0.45">
      <c r="A3376" s="2">
        <v>45516</v>
      </c>
      <c r="B3376" s="3">
        <v>79648.92</v>
      </c>
      <c r="C3376" s="3">
        <v>341.15</v>
      </c>
      <c r="D3376" s="3">
        <f t="shared" si="106"/>
        <v>-7.1525917889850082E-4</v>
      </c>
      <c r="E3376" s="3">
        <f t="shared" si="107"/>
        <v>-1.4405487379866088E-2</v>
      </c>
    </row>
    <row r="3377" spans="1:5" x14ac:dyDescent="0.45">
      <c r="A3377" s="2">
        <v>45517</v>
      </c>
      <c r="B3377" s="3">
        <v>78956.03</v>
      </c>
      <c r="C3377" s="3">
        <v>336.7</v>
      </c>
      <c r="D3377" s="3">
        <f t="shared" si="106"/>
        <v>-8.7373617029684915E-3</v>
      </c>
      <c r="E3377" s="3">
        <f t="shared" si="107"/>
        <v>-1.3129937094403779E-2</v>
      </c>
    </row>
    <row r="3378" spans="1:5" x14ac:dyDescent="0.45">
      <c r="A3378" s="2">
        <v>45518</v>
      </c>
      <c r="B3378" s="3">
        <v>79105.88</v>
      </c>
      <c r="C3378" s="3">
        <v>333.45</v>
      </c>
      <c r="D3378" s="3">
        <f t="shared" si="106"/>
        <v>1.8960930548628816E-3</v>
      </c>
      <c r="E3378" s="3">
        <f t="shared" si="107"/>
        <v>-9.6993970887135055E-3</v>
      </c>
    </row>
    <row r="3379" spans="1:5" x14ac:dyDescent="0.45">
      <c r="A3379" s="2">
        <v>45520</v>
      </c>
      <c r="B3379" s="3">
        <v>80436.84</v>
      </c>
      <c r="C3379" s="3">
        <v>338.8</v>
      </c>
      <c r="D3379" s="3">
        <f t="shared" si="106"/>
        <v>1.6685071900488589E-2</v>
      </c>
      <c r="E3379" s="3">
        <f t="shared" si="107"/>
        <v>1.5917033699584165E-2</v>
      </c>
    </row>
    <row r="3380" spans="1:5" x14ac:dyDescent="0.45">
      <c r="A3380" s="2">
        <v>45523</v>
      </c>
      <c r="B3380" s="3">
        <v>80424.679999999993</v>
      </c>
      <c r="C3380" s="3">
        <v>340.25</v>
      </c>
      <c r="D3380" s="3">
        <f t="shared" si="106"/>
        <v>-1.5118593959777287E-4</v>
      </c>
      <c r="E3380" s="3">
        <f t="shared" si="107"/>
        <v>4.2706787536761224E-3</v>
      </c>
    </row>
    <row r="3381" spans="1:5" x14ac:dyDescent="0.45">
      <c r="A3381" s="2">
        <v>45524</v>
      </c>
      <c r="B3381" s="3">
        <v>80802.86</v>
      </c>
      <c r="C3381" s="3">
        <v>340.55</v>
      </c>
      <c r="D3381" s="3">
        <f t="shared" si="106"/>
        <v>4.6912666853485361E-3</v>
      </c>
      <c r="E3381" s="3">
        <f t="shared" si="107"/>
        <v>8.8131615575193928E-4</v>
      </c>
    </row>
    <row r="3382" spans="1:5" x14ac:dyDescent="0.45">
      <c r="A3382" s="2">
        <v>45525</v>
      </c>
      <c r="B3382" s="3">
        <v>80905.3</v>
      </c>
      <c r="C3382" s="3">
        <v>336.8</v>
      </c>
      <c r="D3382" s="3">
        <f t="shared" si="106"/>
        <v>1.2669739573223069E-3</v>
      </c>
      <c r="E3382" s="3">
        <f t="shared" si="107"/>
        <v>-1.1072675319155657E-2</v>
      </c>
    </row>
    <row r="3383" spans="1:5" x14ac:dyDescent="0.45">
      <c r="A3383" s="2">
        <v>45526</v>
      </c>
      <c r="B3383" s="3">
        <v>81053.19</v>
      </c>
      <c r="C3383" s="3">
        <v>333.9</v>
      </c>
      <c r="D3383" s="3">
        <f t="shared" si="106"/>
        <v>1.8262709303396981E-3</v>
      </c>
      <c r="E3383" s="3">
        <f t="shared" si="107"/>
        <v>-8.6477354185628807E-3</v>
      </c>
    </row>
    <row r="3384" spans="1:5" x14ac:dyDescent="0.45">
      <c r="A3384" s="2">
        <v>45527</v>
      </c>
      <c r="B3384" s="3">
        <v>81086.210000000006</v>
      </c>
      <c r="C3384" s="3">
        <v>336.15</v>
      </c>
      <c r="D3384" s="3">
        <f t="shared" si="106"/>
        <v>4.0730384417977863E-4</v>
      </c>
      <c r="E3384" s="3">
        <f t="shared" si="107"/>
        <v>6.7159419654368091E-3</v>
      </c>
    </row>
    <row r="3385" spans="1:5" x14ac:dyDescent="0.45">
      <c r="A3385" s="2">
        <v>45530</v>
      </c>
      <c r="B3385" s="3">
        <v>81698.11</v>
      </c>
      <c r="C3385" s="3">
        <v>338.1</v>
      </c>
      <c r="D3385" s="3">
        <f t="shared" si="106"/>
        <v>7.5179585113725068E-3</v>
      </c>
      <c r="E3385" s="3">
        <f t="shared" si="107"/>
        <v>5.7842207987947583E-3</v>
      </c>
    </row>
    <row r="3386" spans="1:5" x14ac:dyDescent="0.45">
      <c r="A3386" s="2">
        <v>45531</v>
      </c>
      <c r="B3386" s="3">
        <v>81711.759999999995</v>
      </c>
      <c r="C3386" s="3">
        <v>335.05</v>
      </c>
      <c r="D3386" s="3">
        <f t="shared" si="106"/>
        <v>1.6706457243665033E-4</v>
      </c>
      <c r="E3386" s="3">
        <f t="shared" si="107"/>
        <v>-9.0619352946606016E-3</v>
      </c>
    </row>
    <row r="3387" spans="1:5" x14ac:dyDescent="0.45">
      <c r="A3387" s="2">
        <v>45532</v>
      </c>
      <c r="B3387" s="3">
        <v>81785.56</v>
      </c>
      <c r="C3387" s="3">
        <v>334.3</v>
      </c>
      <c r="D3387" s="3">
        <f t="shared" si="106"/>
        <v>9.0276715254021382E-4</v>
      </c>
      <c r="E3387" s="3">
        <f t="shared" si="107"/>
        <v>-2.2409809931267718E-3</v>
      </c>
    </row>
    <row r="3388" spans="1:5" x14ac:dyDescent="0.45">
      <c r="A3388" s="2">
        <v>45533</v>
      </c>
      <c r="B3388" s="3">
        <v>82134.61</v>
      </c>
      <c r="C3388" s="3">
        <v>333.1</v>
      </c>
      <c r="D3388" s="3">
        <f t="shared" si="106"/>
        <v>4.2587867931997495E-3</v>
      </c>
      <c r="E3388" s="3">
        <f t="shared" si="107"/>
        <v>-3.5960482264188673E-3</v>
      </c>
    </row>
    <row r="3389" spans="1:5" x14ac:dyDescent="0.45">
      <c r="A3389" s="2">
        <v>45534</v>
      </c>
      <c r="B3389" s="3">
        <v>82365.77</v>
      </c>
      <c r="C3389" s="3">
        <v>337.4</v>
      </c>
      <c r="D3389" s="3">
        <f t="shared" si="106"/>
        <v>2.8104512847209589E-3</v>
      </c>
      <c r="E3389" s="3">
        <f t="shared" si="107"/>
        <v>1.2826424912233774E-2</v>
      </c>
    </row>
    <row r="3390" spans="1:5" x14ac:dyDescent="0.45">
      <c r="A3390" s="2">
        <v>45537</v>
      </c>
      <c r="B3390" s="3">
        <v>82559.839999999997</v>
      </c>
      <c r="C3390" s="3">
        <v>335.35</v>
      </c>
      <c r="D3390" s="3">
        <f t="shared" si="106"/>
        <v>2.3534257605377367E-3</v>
      </c>
      <c r="E3390" s="3">
        <f t="shared" si="107"/>
        <v>-6.094407566121559E-3</v>
      </c>
    </row>
    <row r="3391" spans="1:5" x14ac:dyDescent="0.45">
      <c r="A3391" s="2">
        <v>45538</v>
      </c>
      <c r="B3391" s="3">
        <v>82555.44</v>
      </c>
      <c r="C3391" s="3">
        <v>334.6</v>
      </c>
      <c r="D3391" s="3">
        <f t="shared" si="106"/>
        <v>-5.3296097139361041E-5</v>
      </c>
      <c r="E3391" s="3">
        <f t="shared" si="107"/>
        <v>-2.2389739930226819E-3</v>
      </c>
    </row>
    <row r="3392" spans="1:5" x14ac:dyDescent="0.45">
      <c r="A3392" s="2">
        <v>45539</v>
      </c>
      <c r="B3392" s="3">
        <v>82352.639999999999</v>
      </c>
      <c r="C3392" s="3">
        <v>332.8</v>
      </c>
      <c r="D3392" s="3">
        <f t="shared" si="106"/>
        <v>-2.4595532521498467E-3</v>
      </c>
      <c r="E3392" s="3">
        <f t="shared" si="107"/>
        <v>-5.3940796056701559E-3</v>
      </c>
    </row>
    <row r="3393" spans="1:5" x14ac:dyDescent="0.45">
      <c r="A3393" s="2">
        <v>45540</v>
      </c>
      <c r="B3393" s="3">
        <v>82201.16</v>
      </c>
      <c r="C3393" s="3">
        <v>330.95</v>
      </c>
      <c r="D3393" s="3">
        <f t="shared" si="106"/>
        <v>-1.8411005128862446E-3</v>
      </c>
      <c r="E3393" s="3">
        <f t="shared" si="107"/>
        <v>-5.5744023821217691E-3</v>
      </c>
    </row>
    <row r="3394" spans="1:5" x14ac:dyDescent="0.45">
      <c r="A3394" s="2">
        <v>45541</v>
      </c>
      <c r="B3394" s="3">
        <v>81183.929999999993</v>
      </c>
      <c r="C3394" s="3">
        <v>329.7</v>
      </c>
      <c r="D3394" s="3">
        <f t="shared" si="106"/>
        <v>-1.2452092707068351E-2</v>
      </c>
      <c r="E3394" s="3">
        <f t="shared" si="107"/>
        <v>-3.7841564872464544E-3</v>
      </c>
    </row>
    <row r="3395" spans="1:5" x14ac:dyDescent="0.45">
      <c r="A3395" s="2">
        <v>45544</v>
      </c>
      <c r="B3395" s="3">
        <v>81559.539999999994</v>
      </c>
      <c r="C3395" s="3">
        <v>328.55</v>
      </c>
      <c r="D3395" s="3">
        <f t="shared" si="106"/>
        <v>4.6159844930972636E-3</v>
      </c>
      <c r="E3395" s="3">
        <f t="shared" si="107"/>
        <v>-3.4941167338084795E-3</v>
      </c>
    </row>
    <row r="3396" spans="1:5" x14ac:dyDescent="0.45">
      <c r="A3396" s="2">
        <v>45545</v>
      </c>
      <c r="B3396" s="3">
        <v>81921.289999999994</v>
      </c>
      <c r="C3396" s="3">
        <v>334.2</v>
      </c>
      <c r="D3396" s="3">
        <f t="shared" si="106"/>
        <v>4.4256025667943769E-3</v>
      </c>
      <c r="E3396" s="3">
        <f t="shared" si="107"/>
        <v>1.7050582817416303E-2</v>
      </c>
    </row>
    <row r="3397" spans="1:5" x14ac:dyDescent="0.45">
      <c r="A3397" s="2">
        <v>45546</v>
      </c>
      <c r="B3397" s="3">
        <v>81523.16</v>
      </c>
      <c r="C3397" s="3">
        <v>332.85</v>
      </c>
      <c r="D3397" s="3">
        <f t="shared" si="106"/>
        <v>-4.8717565807204263E-3</v>
      </c>
      <c r="E3397" s="3">
        <f t="shared" si="107"/>
        <v>-4.0476781145806304E-3</v>
      </c>
    </row>
    <row r="3398" spans="1:5" x14ac:dyDescent="0.45">
      <c r="A3398" s="2">
        <v>45547</v>
      </c>
      <c r="B3398" s="3">
        <v>82962.710000000006</v>
      </c>
      <c r="C3398" s="3">
        <v>337.8</v>
      </c>
      <c r="D3398" s="3">
        <f t="shared" ref="D3398:D3461" si="108">LN(B3398/B3397)</f>
        <v>1.750407807615928E-2</v>
      </c>
      <c r="E3398" s="3">
        <f t="shared" ref="E3398:E3461" si="109">LN(C3398/C3397)</f>
        <v>1.4762066326987053E-2</v>
      </c>
    </row>
    <row r="3399" spans="1:5" x14ac:dyDescent="0.45">
      <c r="A3399" s="2">
        <v>45548</v>
      </c>
      <c r="B3399" s="3">
        <v>82890.94</v>
      </c>
      <c r="C3399" s="3">
        <v>337.1</v>
      </c>
      <c r="D3399" s="3">
        <f t="shared" si="108"/>
        <v>-8.6546186327279655E-4</v>
      </c>
      <c r="E3399" s="3">
        <f t="shared" si="109"/>
        <v>-2.0743821336846524E-3</v>
      </c>
    </row>
    <row r="3400" spans="1:5" x14ac:dyDescent="0.45">
      <c r="A3400" s="2">
        <v>45551</v>
      </c>
      <c r="B3400" s="3">
        <v>82988.78</v>
      </c>
      <c r="C3400" s="3">
        <v>338.35</v>
      </c>
      <c r="D3400" s="3">
        <f t="shared" si="108"/>
        <v>1.1796500662765818E-3</v>
      </c>
      <c r="E3400" s="3">
        <f t="shared" si="109"/>
        <v>3.7012404382195142E-3</v>
      </c>
    </row>
    <row r="3401" spans="1:5" x14ac:dyDescent="0.45">
      <c r="A3401" s="2">
        <v>45552</v>
      </c>
      <c r="B3401" s="3">
        <v>83079.66</v>
      </c>
      <c r="C3401" s="3">
        <v>336.65</v>
      </c>
      <c r="D3401" s="3">
        <f t="shared" si="108"/>
        <v>1.0944886225479813E-3</v>
      </c>
      <c r="E3401" s="3">
        <f t="shared" si="109"/>
        <v>-5.0370476869447739E-3</v>
      </c>
    </row>
    <row r="3402" spans="1:5" x14ac:dyDescent="0.45">
      <c r="A3402" s="2">
        <v>45553</v>
      </c>
      <c r="B3402" s="3">
        <v>82948.23</v>
      </c>
      <c r="C3402" s="3">
        <v>334.2</v>
      </c>
      <c r="D3402" s="3">
        <f t="shared" si="108"/>
        <v>-1.5832283052404094E-3</v>
      </c>
      <c r="E3402" s="3">
        <f t="shared" si="109"/>
        <v>-7.3041988299965607E-3</v>
      </c>
    </row>
    <row r="3403" spans="1:5" x14ac:dyDescent="0.45">
      <c r="A3403" s="2">
        <v>45554</v>
      </c>
      <c r="B3403" s="3">
        <v>83184.800000000003</v>
      </c>
      <c r="C3403" s="3">
        <v>334.9</v>
      </c>
      <c r="D3403" s="3">
        <f t="shared" si="108"/>
        <v>2.8479605759217188E-3</v>
      </c>
      <c r="E3403" s="3">
        <f t="shared" si="109"/>
        <v>2.0923636388655831E-3</v>
      </c>
    </row>
    <row r="3404" spans="1:5" x14ac:dyDescent="0.45">
      <c r="A3404" s="2">
        <v>45555</v>
      </c>
      <c r="B3404" s="3">
        <v>84544.31</v>
      </c>
      <c r="C3404" s="3">
        <v>341.15</v>
      </c>
      <c r="D3404" s="3">
        <f t="shared" si="108"/>
        <v>1.6211136793689622E-2</v>
      </c>
      <c r="E3404" s="3">
        <f t="shared" si="109"/>
        <v>1.8490283461273738E-2</v>
      </c>
    </row>
    <row r="3405" spans="1:5" x14ac:dyDescent="0.45">
      <c r="A3405" s="2">
        <v>45558</v>
      </c>
      <c r="B3405" s="3">
        <v>84928.61</v>
      </c>
      <c r="C3405" s="3">
        <v>341.05</v>
      </c>
      <c r="D3405" s="3">
        <f t="shared" si="108"/>
        <v>4.5352456156945468E-3</v>
      </c>
      <c r="E3405" s="3">
        <f t="shared" si="109"/>
        <v>-2.9316916070414294E-4</v>
      </c>
    </row>
    <row r="3406" spans="1:5" x14ac:dyDescent="0.45">
      <c r="A3406" s="2">
        <v>45559</v>
      </c>
      <c r="B3406" s="3">
        <v>84914.04</v>
      </c>
      <c r="C3406" s="3">
        <v>350.1</v>
      </c>
      <c r="D3406" s="3">
        <f t="shared" si="108"/>
        <v>-1.7157056882647357E-4</v>
      </c>
      <c r="E3406" s="3">
        <f t="shared" si="109"/>
        <v>2.6189733859891786E-2</v>
      </c>
    </row>
    <row r="3407" spans="1:5" x14ac:dyDescent="0.45">
      <c r="A3407" s="2">
        <v>45560</v>
      </c>
      <c r="B3407" s="3">
        <v>85169.87</v>
      </c>
      <c r="C3407" s="3">
        <v>363.8</v>
      </c>
      <c r="D3407" s="3">
        <f t="shared" si="108"/>
        <v>3.0082821230221052E-3</v>
      </c>
      <c r="E3407" s="3">
        <f t="shared" si="109"/>
        <v>3.8385438123401894E-2</v>
      </c>
    </row>
    <row r="3408" spans="1:5" x14ac:dyDescent="0.45">
      <c r="A3408" s="2">
        <v>45561</v>
      </c>
      <c r="B3408" s="3">
        <v>85836.12</v>
      </c>
      <c r="C3408" s="3">
        <v>365.25</v>
      </c>
      <c r="D3408" s="3">
        <f t="shared" si="108"/>
        <v>7.7921641353108518E-3</v>
      </c>
      <c r="E3408" s="3">
        <f t="shared" si="109"/>
        <v>3.9777845467870382E-3</v>
      </c>
    </row>
    <row r="3409" spans="1:5" x14ac:dyDescent="0.45">
      <c r="A3409" s="2">
        <v>45562</v>
      </c>
      <c r="B3409" s="3">
        <v>85571.85</v>
      </c>
      <c r="C3409" s="3">
        <v>354.2</v>
      </c>
      <c r="D3409" s="3">
        <f t="shared" si="108"/>
        <v>-3.0835230052884441E-3</v>
      </c>
      <c r="E3409" s="3">
        <f t="shared" si="109"/>
        <v>-3.0720325282075731E-2</v>
      </c>
    </row>
    <row r="3410" spans="1:5" x14ac:dyDescent="0.45">
      <c r="A3410" s="2">
        <v>45565</v>
      </c>
      <c r="B3410" s="3">
        <v>84299.78</v>
      </c>
      <c r="C3410" s="3">
        <v>352.9</v>
      </c>
      <c r="D3410" s="3">
        <f t="shared" si="108"/>
        <v>-1.4977118645560743E-2</v>
      </c>
      <c r="E3410" s="3">
        <f t="shared" si="109"/>
        <v>-3.6769946675088245E-3</v>
      </c>
    </row>
    <row r="3411" spans="1:5" x14ac:dyDescent="0.45">
      <c r="A3411" s="2">
        <v>45566</v>
      </c>
      <c r="B3411" s="3">
        <v>84266.29</v>
      </c>
      <c r="C3411" s="3">
        <v>350.85</v>
      </c>
      <c r="D3411" s="3">
        <f t="shared" si="108"/>
        <v>-3.9735161934602927E-4</v>
      </c>
      <c r="E3411" s="3">
        <f t="shared" si="109"/>
        <v>-5.8259489829265119E-3</v>
      </c>
    </row>
    <row r="3412" spans="1:5" x14ac:dyDescent="0.45">
      <c r="A3412" s="2">
        <v>45568</v>
      </c>
      <c r="B3412" s="3">
        <v>82497.100000000006</v>
      </c>
      <c r="C3412" s="3">
        <v>344.2</v>
      </c>
      <c r="D3412" s="3">
        <f t="shared" si="108"/>
        <v>-2.1218762450238689E-2</v>
      </c>
      <c r="E3412" s="3">
        <f t="shared" si="109"/>
        <v>-1.9135897920858784E-2</v>
      </c>
    </row>
    <row r="3413" spans="1:5" x14ac:dyDescent="0.45">
      <c r="A3413" s="2">
        <v>45569</v>
      </c>
      <c r="B3413" s="3">
        <v>81688.45</v>
      </c>
      <c r="C3413" s="3">
        <v>338.8</v>
      </c>
      <c r="D3413" s="3">
        <f t="shared" si="108"/>
        <v>-9.8505202045339156E-3</v>
      </c>
      <c r="E3413" s="3">
        <f t="shared" si="109"/>
        <v>-1.5812920999539636E-2</v>
      </c>
    </row>
    <row r="3414" spans="1:5" x14ac:dyDescent="0.45">
      <c r="A3414" s="2">
        <v>45572</v>
      </c>
      <c r="B3414" s="3">
        <v>81050</v>
      </c>
      <c r="C3414" s="3">
        <v>328.9</v>
      </c>
      <c r="D3414" s="3">
        <f t="shared" si="108"/>
        <v>-7.8463728214358489E-3</v>
      </c>
      <c r="E3414" s="3">
        <f t="shared" si="109"/>
        <v>-2.9656209582888195E-2</v>
      </c>
    </row>
    <row r="3415" spans="1:5" x14ac:dyDescent="0.45">
      <c r="A3415" s="2">
        <v>45573</v>
      </c>
      <c r="B3415" s="3">
        <v>81634.81</v>
      </c>
      <c r="C3415" s="3">
        <v>327.14999999999998</v>
      </c>
      <c r="D3415" s="3">
        <f t="shared" si="108"/>
        <v>7.1895159606478465E-3</v>
      </c>
      <c r="E3415" s="3">
        <f t="shared" si="109"/>
        <v>-5.3349718792635179E-3</v>
      </c>
    </row>
    <row r="3416" spans="1:5" x14ac:dyDescent="0.45">
      <c r="A3416" s="2">
        <v>45574</v>
      </c>
      <c r="B3416" s="3">
        <v>81467.100000000006</v>
      </c>
      <c r="C3416" s="3">
        <v>329.75</v>
      </c>
      <c r="D3416" s="3">
        <f t="shared" si="108"/>
        <v>-2.0565063782127424E-3</v>
      </c>
      <c r="E3416" s="3">
        <f t="shared" si="109"/>
        <v>7.9160102816761887E-3</v>
      </c>
    </row>
    <row r="3417" spans="1:5" x14ac:dyDescent="0.45">
      <c r="A3417" s="2">
        <v>45575</v>
      </c>
      <c r="B3417" s="3">
        <v>81611.41</v>
      </c>
      <c r="C3417" s="3">
        <v>334.35</v>
      </c>
      <c r="D3417" s="3">
        <f t="shared" si="108"/>
        <v>1.769822862229877E-3</v>
      </c>
      <c r="E3417" s="3">
        <f t="shared" si="109"/>
        <v>1.3853556902563588E-2</v>
      </c>
    </row>
    <row r="3418" spans="1:5" x14ac:dyDescent="0.45">
      <c r="A3418" s="2">
        <v>45576</v>
      </c>
      <c r="B3418" s="3">
        <v>81381.36</v>
      </c>
      <c r="C3418" s="3">
        <v>330</v>
      </c>
      <c r="D3418" s="3">
        <f t="shared" si="108"/>
        <v>-2.822826469663415E-3</v>
      </c>
      <c r="E3418" s="3">
        <f t="shared" si="109"/>
        <v>-1.3095694039461743E-2</v>
      </c>
    </row>
    <row r="3419" spans="1:5" x14ac:dyDescent="0.45">
      <c r="A3419" s="2">
        <v>45579</v>
      </c>
      <c r="B3419" s="3">
        <v>81973.05</v>
      </c>
      <c r="C3419" s="3">
        <v>330.75</v>
      </c>
      <c r="D3419" s="3">
        <f t="shared" si="108"/>
        <v>7.244280550927973E-3</v>
      </c>
      <c r="E3419" s="3">
        <f t="shared" si="109"/>
        <v>2.2701485345390775E-3</v>
      </c>
    </row>
    <row r="3420" spans="1:5" x14ac:dyDescent="0.45">
      <c r="A3420" s="2">
        <v>45580</v>
      </c>
      <c r="B3420" s="3">
        <v>81820.12</v>
      </c>
      <c r="C3420" s="3">
        <v>329.65</v>
      </c>
      <c r="D3420" s="3">
        <f t="shared" si="108"/>
        <v>-1.8673555733627729E-3</v>
      </c>
      <c r="E3420" s="3">
        <f t="shared" si="109"/>
        <v>-3.3313174357564798E-3</v>
      </c>
    </row>
    <row r="3421" spans="1:5" x14ac:dyDescent="0.45">
      <c r="A3421" s="2">
        <v>45581</v>
      </c>
      <c r="B3421" s="3">
        <v>81501.36</v>
      </c>
      <c r="C3421" s="3">
        <v>327.10000000000002</v>
      </c>
      <c r="D3421" s="3">
        <f t="shared" si="108"/>
        <v>-3.9034719100986405E-3</v>
      </c>
      <c r="E3421" s="3">
        <f t="shared" si="109"/>
        <v>-7.7655510149702575E-3</v>
      </c>
    </row>
    <row r="3422" spans="1:5" x14ac:dyDescent="0.45">
      <c r="A3422" s="2">
        <v>45582</v>
      </c>
      <c r="B3422" s="3">
        <v>81006.61</v>
      </c>
      <c r="C3422" s="3">
        <v>331.3</v>
      </c>
      <c r="D3422" s="3">
        <f t="shared" si="108"/>
        <v>-6.0889509429445108E-3</v>
      </c>
      <c r="E3422" s="3">
        <f t="shared" si="109"/>
        <v>1.2758374761511903E-2</v>
      </c>
    </row>
    <row r="3423" spans="1:5" x14ac:dyDescent="0.45">
      <c r="A3423" s="2">
        <v>45583</v>
      </c>
      <c r="B3423" s="3">
        <v>81224.75</v>
      </c>
      <c r="C3423" s="3">
        <v>331.95</v>
      </c>
      <c r="D3423" s="3">
        <f t="shared" si="108"/>
        <v>2.6892473991049644E-3</v>
      </c>
      <c r="E3423" s="3">
        <f t="shared" si="109"/>
        <v>1.9600458593180031E-3</v>
      </c>
    </row>
    <row r="3424" spans="1:5" x14ac:dyDescent="0.45">
      <c r="A3424" s="2">
        <v>45586</v>
      </c>
      <c r="B3424" s="3">
        <v>81151.27</v>
      </c>
      <c r="C3424" s="3">
        <v>331</v>
      </c>
      <c r="D3424" s="3">
        <f t="shared" si="108"/>
        <v>-9.0505981136651797E-4</v>
      </c>
      <c r="E3424" s="3">
        <f t="shared" si="109"/>
        <v>-2.865979788105464E-3</v>
      </c>
    </row>
    <row r="3425" spans="1:5" x14ac:dyDescent="0.45">
      <c r="A3425" s="2">
        <v>45587</v>
      </c>
      <c r="B3425" s="3">
        <v>80220.72</v>
      </c>
      <c r="C3425" s="3">
        <v>322.8</v>
      </c>
      <c r="D3425" s="3">
        <f t="shared" si="108"/>
        <v>-1.1533108249442195E-2</v>
      </c>
      <c r="E3425" s="3">
        <f t="shared" si="109"/>
        <v>-2.508543898126914E-2</v>
      </c>
    </row>
    <row r="3426" spans="1:5" x14ac:dyDescent="0.45">
      <c r="A3426" s="2">
        <v>45588</v>
      </c>
      <c r="B3426" s="3">
        <v>80081.98</v>
      </c>
      <c r="C3426" s="3">
        <v>316.8</v>
      </c>
      <c r="D3426" s="3">
        <f t="shared" si="108"/>
        <v>-1.7309756434789117E-3</v>
      </c>
      <c r="E3426" s="3">
        <f t="shared" si="109"/>
        <v>-1.8762276455522892E-2</v>
      </c>
    </row>
    <row r="3427" spans="1:5" x14ac:dyDescent="0.45">
      <c r="A3427" s="2">
        <v>45589</v>
      </c>
      <c r="B3427" s="3">
        <v>80065.16</v>
      </c>
      <c r="C3427" s="3">
        <v>319.05</v>
      </c>
      <c r="D3427" s="3">
        <f t="shared" si="108"/>
        <v>-2.1005682726320319E-4</v>
      </c>
      <c r="E3427" s="3">
        <f t="shared" si="109"/>
        <v>7.0771703740850787E-3</v>
      </c>
    </row>
    <row r="3428" spans="1:5" x14ac:dyDescent="0.45">
      <c r="A3428" s="2">
        <v>45590</v>
      </c>
      <c r="B3428" s="3">
        <v>79402.289999999994</v>
      </c>
      <c r="C3428" s="3">
        <v>315.55</v>
      </c>
      <c r="D3428" s="3">
        <f t="shared" si="108"/>
        <v>-8.3135940017515595E-3</v>
      </c>
      <c r="E3428" s="3">
        <f t="shared" si="109"/>
        <v>-1.1030682284107337E-2</v>
      </c>
    </row>
    <row r="3429" spans="1:5" x14ac:dyDescent="0.45">
      <c r="A3429" s="2">
        <v>45593</v>
      </c>
      <c r="B3429" s="3">
        <v>80005.039999999994</v>
      </c>
      <c r="C3429" s="3">
        <v>318.05</v>
      </c>
      <c r="D3429" s="3">
        <f t="shared" si="108"/>
        <v>7.5624235424538253E-3</v>
      </c>
      <c r="E3429" s="3">
        <f t="shared" si="109"/>
        <v>7.8914550945646637E-3</v>
      </c>
    </row>
    <row r="3430" spans="1:5" x14ac:dyDescent="0.45">
      <c r="A3430" s="2">
        <v>45594</v>
      </c>
      <c r="B3430" s="3">
        <v>80369.03</v>
      </c>
      <c r="C3430" s="3">
        <v>320.64999999999998</v>
      </c>
      <c r="D3430" s="3">
        <f t="shared" si="108"/>
        <v>4.5392702822866782E-3</v>
      </c>
      <c r="E3430" s="3">
        <f t="shared" si="109"/>
        <v>8.1415824700586878E-3</v>
      </c>
    </row>
    <row r="3431" spans="1:5" x14ac:dyDescent="0.45">
      <c r="A3431" s="2">
        <v>45595</v>
      </c>
      <c r="B3431" s="3">
        <v>79942.179999999993</v>
      </c>
      <c r="C3431" s="3">
        <v>318.45</v>
      </c>
      <c r="D3431" s="3">
        <f t="shared" si="108"/>
        <v>-5.3252796075666546E-3</v>
      </c>
      <c r="E3431" s="3">
        <f t="shared" si="109"/>
        <v>-6.8847087774971437E-3</v>
      </c>
    </row>
    <row r="3432" spans="1:5" x14ac:dyDescent="0.45">
      <c r="A3432" s="2">
        <v>45596</v>
      </c>
      <c r="B3432" s="3">
        <v>79389.06</v>
      </c>
      <c r="C3432" s="3">
        <v>321.2</v>
      </c>
      <c r="D3432" s="3">
        <f t="shared" si="108"/>
        <v>-6.9430479794111181E-3</v>
      </c>
      <c r="E3432" s="3">
        <f t="shared" si="109"/>
        <v>8.5985052552317708E-3</v>
      </c>
    </row>
    <row r="3433" spans="1:5" x14ac:dyDescent="0.45">
      <c r="A3433" s="2">
        <v>45597</v>
      </c>
      <c r="B3433" s="3">
        <v>79724.12</v>
      </c>
      <c r="C3433" s="3">
        <v>321.89999999999998</v>
      </c>
      <c r="D3433" s="3">
        <f t="shared" si="108"/>
        <v>4.2115995075000367E-3</v>
      </c>
      <c r="E3433" s="3">
        <f t="shared" si="109"/>
        <v>2.1769562321557689E-3</v>
      </c>
    </row>
    <row r="3434" spans="1:5" x14ac:dyDescent="0.45">
      <c r="A3434" s="2">
        <v>45600</v>
      </c>
      <c r="B3434" s="3">
        <v>78782.240000000005</v>
      </c>
      <c r="C3434" s="3">
        <v>315.5</v>
      </c>
      <c r="D3434" s="3">
        <f t="shared" si="108"/>
        <v>-1.1884584141149467E-2</v>
      </c>
      <c r="E3434" s="3">
        <f t="shared" si="109"/>
        <v>-2.0082256323494588E-2</v>
      </c>
    </row>
    <row r="3435" spans="1:5" x14ac:dyDescent="0.45">
      <c r="A3435" s="2">
        <v>45601</v>
      </c>
      <c r="B3435" s="3">
        <v>79476.63</v>
      </c>
      <c r="C3435" s="3">
        <v>316.7</v>
      </c>
      <c r="D3435" s="3">
        <f t="shared" si="108"/>
        <v>8.7754254296353151E-3</v>
      </c>
      <c r="E3435" s="3">
        <f t="shared" si="109"/>
        <v>3.7962715633263334E-3</v>
      </c>
    </row>
    <row r="3436" spans="1:5" x14ac:dyDescent="0.45">
      <c r="A3436" s="2">
        <v>45602</v>
      </c>
      <c r="B3436" s="3">
        <v>80378.13</v>
      </c>
      <c r="C3436" s="3">
        <v>318.45</v>
      </c>
      <c r="D3436" s="3">
        <f t="shared" si="108"/>
        <v>1.1279108076017728E-2</v>
      </c>
      <c r="E3436" s="3">
        <f t="shared" si="109"/>
        <v>5.510523272780633E-3</v>
      </c>
    </row>
    <row r="3437" spans="1:5" x14ac:dyDescent="0.45">
      <c r="A3437" s="2">
        <v>45603</v>
      </c>
      <c r="B3437" s="3">
        <v>79541.789999999994</v>
      </c>
      <c r="C3437" s="3">
        <v>312.89999999999998</v>
      </c>
      <c r="D3437" s="3">
        <f t="shared" si="108"/>
        <v>-1.0459580330151394E-2</v>
      </c>
      <c r="E3437" s="3">
        <f t="shared" si="109"/>
        <v>-1.7581826142538393E-2</v>
      </c>
    </row>
    <row r="3438" spans="1:5" x14ac:dyDescent="0.45">
      <c r="A3438" s="2">
        <v>45604</v>
      </c>
      <c r="B3438" s="3">
        <v>79486.320000000007</v>
      </c>
      <c r="C3438" s="3">
        <v>316.39999999999998</v>
      </c>
      <c r="D3438" s="3">
        <f t="shared" si="108"/>
        <v>-6.976125447204272E-4</v>
      </c>
      <c r="E3438" s="3">
        <f t="shared" si="109"/>
        <v>1.1123585218662302E-2</v>
      </c>
    </row>
    <row r="3439" spans="1:5" x14ac:dyDescent="0.45">
      <c r="A3439" s="2">
        <v>45607</v>
      </c>
      <c r="B3439" s="3">
        <v>79496.149999999994</v>
      </c>
      <c r="C3439" s="3">
        <v>329.75</v>
      </c>
      <c r="D3439" s="3">
        <f t="shared" si="108"/>
        <v>1.2366143276690113E-4</v>
      </c>
      <c r="E3439" s="3">
        <f t="shared" si="109"/>
        <v>4.1327555703925309E-2</v>
      </c>
    </row>
    <row r="3440" spans="1:5" x14ac:dyDescent="0.45">
      <c r="A3440" s="2">
        <v>45608</v>
      </c>
      <c r="B3440" s="3">
        <v>78675.179999999993</v>
      </c>
      <c r="C3440" s="3">
        <v>322.5</v>
      </c>
      <c r="D3440" s="3">
        <f t="shared" si="108"/>
        <v>-1.0380861973587606E-2</v>
      </c>
      <c r="E3440" s="3">
        <f t="shared" si="109"/>
        <v>-2.2231655361596759E-2</v>
      </c>
    </row>
    <row r="3441" spans="1:5" x14ac:dyDescent="0.45">
      <c r="A3441" s="2">
        <v>45609</v>
      </c>
      <c r="B3441" s="3">
        <v>77690.95</v>
      </c>
      <c r="C3441" s="3">
        <v>318.2</v>
      </c>
      <c r="D3441" s="3">
        <f t="shared" si="108"/>
        <v>-1.2588953867535163E-2</v>
      </c>
      <c r="E3441" s="3">
        <f t="shared" si="109"/>
        <v>-1.3423020332140774E-2</v>
      </c>
    </row>
    <row r="3442" spans="1:5" x14ac:dyDescent="0.45">
      <c r="A3442" s="2">
        <v>45610</v>
      </c>
      <c r="B3442" s="3">
        <v>77580.31</v>
      </c>
      <c r="C3442" s="3">
        <v>312.2</v>
      </c>
      <c r="D3442" s="3">
        <f t="shared" si="108"/>
        <v>-1.4251190944865276E-3</v>
      </c>
      <c r="E3442" s="3">
        <f t="shared" si="109"/>
        <v>-1.9036107822354771E-2</v>
      </c>
    </row>
    <row r="3443" spans="1:5" x14ac:dyDescent="0.45">
      <c r="A3443" s="2">
        <v>45614</v>
      </c>
      <c r="B3443" s="3">
        <v>77339.009999999995</v>
      </c>
      <c r="C3443" s="3">
        <v>311.95</v>
      </c>
      <c r="D3443" s="3">
        <f t="shared" si="108"/>
        <v>-3.115172402477061E-3</v>
      </c>
      <c r="E3443" s="3">
        <f t="shared" si="109"/>
        <v>-8.0108952453637272E-4</v>
      </c>
    </row>
    <row r="3444" spans="1:5" x14ac:dyDescent="0.45">
      <c r="A3444" s="2">
        <v>45615</v>
      </c>
      <c r="B3444" s="3">
        <v>77578.38</v>
      </c>
      <c r="C3444" s="3">
        <v>315.05</v>
      </c>
      <c r="D3444" s="3">
        <f t="shared" si="108"/>
        <v>3.0902946466761939E-3</v>
      </c>
      <c r="E3444" s="3">
        <f t="shared" si="109"/>
        <v>9.8884378312691576E-3</v>
      </c>
    </row>
    <row r="3445" spans="1:5" x14ac:dyDescent="0.45">
      <c r="A3445" s="2">
        <v>45617</v>
      </c>
      <c r="B3445" s="3">
        <v>77155.789999999994</v>
      </c>
      <c r="C3445" s="3">
        <v>325.8</v>
      </c>
      <c r="D3445" s="3">
        <f t="shared" si="108"/>
        <v>-5.4621555234879221E-3</v>
      </c>
      <c r="E3445" s="3">
        <f t="shared" si="109"/>
        <v>3.3552339779880293E-2</v>
      </c>
    </row>
    <row r="3446" spans="1:5" x14ac:dyDescent="0.45">
      <c r="A3446" s="2">
        <v>45618</v>
      </c>
      <c r="B3446" s="3">
        <v>79117.11</v>
      </c>
      <c r="C3446" s="3">
        <v>337</v>
      </c>
      <c r="D3446" s="3">
        <f t="shared" si="108"/>
        <v>2.510253525282052E-2</v>
      </c>
      <c r="E3446" s="3">
        <f t="shared" si="109"/>
        <v>3.3799234184416882E-2</v>
      </c>
    </row>
    <row r="3447" spans="1:5" x14ac:dyDescent="0.45">
      <c r="A3447" s="2">
        <v>45621</v>
      </c>
      <c r="B3447" s="3">
        <v>80109.850000000006</v>
      </c>
      <c r="C3447" s="3">
        <v>342.85</v>
      </c>
      <c r="D3447" s="3">
        <f t="shared" si="108"/>
        <v>1.2469657947262611E-2</v>
      </c>
      <c r="E3447" s="3">
        <f t="shared" si="109"/>
        <v>1.7210103378011859E-2</v>
      </c>
    </row>
    <row r="3448" spans="1:5" x14ac:dyDescent="0.45">
      <c r="A3448" s="2">
        <v>45622</v>
      </c>
      <c r="B3448" s="3">
        <v>80004.06</v>
      </c>
      <c r="C3448" s="3">
        <v>338.7</v>
      </c>
      <c r="D3448" s="3">
        <f t="shared" si="108"/>
        <v>-1.321434413713512E-3</v>
      </c>
      <c r="E3448" s="3">
        <f t="shared" si="109"/>
        <v>-1.2178273906647474E-2</v>
      </c>
    </row>
    <row r="3449" spans="1:5" x14ac:dyDescent="0.45">
      <c r="A3449" s="2">
        <v>45623</v>
      </c>
      <c r="B3449" s="3">
        <v>80234.080000000002</v>
      </c>
      <c r="C3449" s="3">
        <v>339</v>
      </c>
      <c r="D3449" s="3">
        <f t="shared" si="108"/>
        <v>2.8709788817487527E-3</v>
      </c>
      <c r="E3449" s="3">
        <f t="shared" si="109"/>
        <v>8.8534755672433436E-4</v>
      </c>
    </row>
    <row r="3450" spans="1:5" x14ac:dyDescent="0.45">
      <c r="A3450" s="2">
        <v>45624</v>
      </c>
      <c r="B3450" s="3">
        <v>79043.740000000005</v>
      </c>
      <c r="C3450" s="3">
        <v>333.7</v>
      </c>
      <c r="D3450" s="3">
        <f t="shared" si="108"/>
        <v>-1.4946992133967451E-2</v>
      </c>
      <c r="E3450" s="3">
        <f t="shared" si="109"/>
        <v>-1.5757721623122015E-2</v>
      </c>
    </row>
    <row r="3451" spans="1:5" x14ac:dyDescent="0.45">
      <c r="A3451" s="2">
        <v>45625</v>
      </c>
      <c r="B3451" s="3">
        <v>79802.789999999994</v>
      </c>
      <c r="C3451" s="3">
        <v>329.6</v>
      </c>
      <c r="D3451" s="3">
        <f t="shared" si="108"/>
        <v>9.5570961166821303E-3</v>
      </c>
      <c r="E3451" s="3">
        <f t="shared" si="109"/>
        <v>-1.2362587722011631E-2</v>
      </c>
    </row>
    <row r="3452" spans="1:5" x14ac:dyDescent="0.45">
      <c r="A3452" s="2">
        <v>45628</v>
      </c>
      <c r="B3452" s="3">
        <v>80248.08</v>
      </c>
      <c r="C3452" s="3">
        <v>328</v>
      </c>
      <c r="D3452" s="3">
        <f t="shared" si="108"/>
        <v>5.564370239660125E-3</v>
      </c>
      <c r="E3452" s="3">
        <f t="shared" si="109"/>
        <v>-4.8661896511730113E-3</v>
      </c>
    </row>
    <row r="3453" spans="1:5" x14ac:dyDescent="0.45">
      <c r="A3453" s="2">
        <v>45629</v>
      </c>
      <c r="B3453" s="3">
        <v>80845.75</v>
      </c>
      <c r="C3453" s="3">
        <v>329.75</v>
      </c>
      <c r="D3453" s="3">
        <f t="shared" si="108"/>
        <v>7.4201816700446566E-3</v>
      </c>
      <c r="E3453" s="3">
        <f t="shared" si="109"/>
        <v>5.3211832132802799E-3</v>
      </c>
    </row>
    <row r="3454" spans="1:5" x14ac:dyDescent="0.45">
      <c r="A3454" s="2">
        <v>45630</v>
      </c>
      <c r="B3454" s="3">
        <v>80956.33</v>
      </c>
      <c r="C3454" s="3">
        <v>325</v>
      </c>
      <c r="D3454" s="3">
        <f t="shared" si="108"/>
        <v>1.3668553236933273E-3</v>
      </c>
      <c r="E3454" s="3">
        <f t="shared" si="109"/>
        <v>-1.4509609267686513E-2</v>
      </c>
    </row>
    <row r="3455" spans="1:5" x14ac:dyDescent="0.45">
      <c r="A3455" s="2">
        <v>45631</v>
      </c>
      <c r="B3455" s="3">
        <v>81765.86</v>
      </c>
      <c r="C3455" s="3">
        <v>328.6</v>
      </c>
      <c r="D3455" s="3">
        <f t="shared" si="108"/>
        <v>9.949923592812571E-3</v>
      </c>
      <c r="E3455" s="3">
        <f t="shared" si="109"/>
        <v>1.1016023273430348E-2</v>
      </c>
    </row>
    <row r="3456" spans="1:5" x14ac:dyDescent="0.45">
      <c r="A3456" s="2">
        <v>45632</v>
      </c>
      <c r="B3456" s="3">
        <v>81709.119999999995</v>
      </c>
      <c r="C3456" s="3">
        <v>328.95</v>
      </c>
      <c r="D3456" s="3">
        <f t="shared" si="108"/>
        <v>-6.9417353381512011E-4</v>
      </c>
      <c r="E3456" s="3">
        <f t="shared" si="109"/>
        <v>1.0645579288390066E-3</v>
      </c>
    </row>
    <row r="3457" spans="1:5" x14ac:dyDescent="0.45">
      <c r="A3457" s="2">
        <v>45635</v>
      </c>
      <c r="B3457" s="3">
        <v>81508.460000000006</v>
      </c>
      <c r="C3457" s="3">
        <v>329.1</v>
      </c>
      <c r="D3457" s="3">
        <f t="shared" si="108"/>
        <v>-2.4588050024332724E-3</v>
      </c>
      <c r="E3457" s="3">
        <f t="shared" si="109"/>
        <v>4.5589241728737409E-4</v>
      </c>
    </row>
    <row r="3458" spans="1:5" x14ac:dyDescent="0.45">
      <c r="A3458" s="2">
        <v>45636</v>
      </c>
      <c r="B3458" s="3">
        <v>81510.05</v>
      </c>
      <c r="C3458" s="3">
        <v>327.85</v>
      </c>
      <c r="D3458" s="3">
        <f t="shared" si="108"/>
        <v>1.9506987274556906E-5</v>
      </c>
      <c r="E3458" s="3">
        <f t="shared" si="109"/>
        <v>-3.8054692396657999E-3</v>
      </c>
    </row>
    <row r="3459" spans="1:5" x14ac:dyDescent="0.45">
      <c r="A3459" s="2">
        <v>45637</v>
      </c>
      <c r="B3459" s="3">
        <v>81526.14</v>
      </c>
      <c r="C3459" s="3">
        <v>327.5</v>
      </c>
      <c r="D3459" s="3">
        <f t="shared" si="108"/>
        <v>1.9737949043379931E-4</v>
      </c>
      <c r="E3459" s="3">
        <f t="shared" si="109"/>
        <v>-1.0681316343218929E-3</v>
      </c>
    </row>
    <row r="3460" spans="1:5" x14ac:dyDescent="0.45">
      <c r="A3460" s="2">
        <v>45638</v>
      </c>
      <c r="B3460" s="3">
        <v>81289.960000000006</v>
      </c>
      <c r="C3460" s="3">
        <v>329</v>
      </c>
      <c r="D3460" s="3">
        <f t="shared" si="108"/>
        <v>-2.901189325362557E-3</v>
      </c>
      <c r="E3460" s="3">
        <f t="shared" si="109"/>
        <v>4.5696956900652683E-3</v>
      </c>
    </row>
    <row r="3461" spans="1:5" x14ac:dyDescent="0.45">
      <c r="A3461" s="2">
        <v>45639</v>
      </c>
      <c r="B3461" s="3">
        <v>82133.119999999995</v>
      </c>
      <c r="C3461" s="3">
        <v>334</v>
      </c>
      <c r="D3461" s="3">
        <f t="shared" si="108"/>
        <v>1.0318829892369059E-2</v>
      </c>
      <c r="E3461" s="3">
        <f t="shared" si="109"/>
        <v>1.50832422113285E-2</v>
      </c>
    </row>
    <row r="3462" spans="1:5" x14ac:dyDescent="0.45">
      <c r="A3462" s="2">
        <v>45642</v>
      </c>
      <c r="B3462" s="3">
        <v>81748.570000000007</v>
      </c>
      <c r="C3462" s="3">
        <v>334.8</v>
      </c>
      <c r="D3462" s="3">
        <f t="shared" ref="D3462:D3525" si="110">LN(B3462/B3461)</f>
        <v>-4.6930283156545721E-3</v>
      </c>
      <c r="E3462" s="3">
        <f t="shared" ref="E3462:E3525" si="111">LN(C3462/C3461)</f>
        <v>2.3923456386199015E-3</v>
      </c>
    </row>
    <row r="3463" spans="1:5" x14ac:dyDescent="0.45">
      <c r="A3463" s="2">
        <v>45643</v>
      </c>
      <c r="B3463" s="3">
        <v>80684.45</v>
      </c>
      <c r="C3463" s="3">
        <v>330</v>
      </c>
      <c r="D3463" s="3">
        <f t="shared" si="110"/>
        <v>-1.310244953213105E-2</v>
      </c>
      <c r="E3463" s="3">
        <f t="shared" si="111"/>
        <v>-1.444068415479436E-2</v>
      </c>
    </row>
    <row r="3464" spans="1:5" x14ac:dyDescent="0.45">
      <c r="A3464" s="2">
        <v>45644</v>
      </c>
      <c r="B3464" s="3">
        <v>80182.2</v>
      </c>
      <c r="C3464" s="3">
        <v>321.55</v>
      </c>
      <c r="D3464" s="3">
        <f t="shared" si="110"/>
        <v>-6.2443226356538838E-3</v>
      </c>
      <c r="E3464" s="3">
        <f t="shared" si="111"/>
        <v>-2.5939601879653676E-2</v>
      </c>
    </row>
    <row r="3465" spans="1:5" x14ac:dyDescent="0.45">
      <c r="A3465" s="2">
        <v>45645</v>
      </c>
      <c r="B3465" s="3">
        <v>79218.05</v>
      </c>
      <c r="C3465" s="3">
        <v>321.85000000000002</v>
      </c>
      <c r="D3465" s="3">
        <f t="shared" si="110"/>
        <v>-1.2097368207241293E-2</v>
      </c>
      <c r="E3465" s="3">
        <f t="shared" si="111"/>
        <v>9.3254591775266706E-4</v>
      </c>
    </row>
    <row r="3466" spans="1:5" x14ac:dyDescent="0.45">
      <c r="A3466" s="2">
        <v>45646</v>
      </c>
      <c r="B3466" s="3">
        <v>78041.59</v>
      </c>
      <c r="C3466" s="3">
        <v>315.75</v>
      </c>
      <c r="D3466" s="3">
        <f t="shared" si="110"/>
        <v>-1.4962287180149849E-2</v>
      </c>
      <c r="E3466" s="3">
        <f t="shared" si="111"/>
        <v>-1.9134837268024427E-2</v>
      </c>
    </row>
    <row r="3467" spans="1:5" x14ac:dyDescent="0.45">
      <c r="A3467" s="2">
        <v>45649</v>
      </c>
      <c r="B3467" s="3">
        <v>78540.17</v>
      </c>
      <c r="C3467" s="3">
        <v>315.25</v>
      </c>
      <c r="D3467" s="3">
        <f t="shared" si="110"/>
        <v>6.3683239352319088E-3</v>
      </c>
      <c r="E3467" s="3">
        <f t="shared" si="111"/>
        <v>-1.5847863855715191E-3</v>
      </c>
    </row>
    <row r="3468" spans="1:5" x14ac:dyDescent="0.45">
      <c r="A3468" s="2">
        <v>45650</v>
      </c>
      <c r="B3468" s="3">
        <v>78472.87</v>
      </c>
      <c r="C3468" s="3">
        <v>310.14999999999998</v>
      </c>
      <c r="D3468" s="3">
        <f t="shared" si="110"/>
        <v>-8.5725369206885685E-4</v>
      </c>
      <c r="E3468" s="3">
        <f t="shared" si="111"/>
        <v>-1.6309923425902456E-2</v>
      </c>
    </row>
    <row r="3469" spans="1:5" x14ac:dyDescent="0.45">
      <c r="A3469" s="2">
        <v>45652</v>
      </c>
      <c r="B3469" s="3">
        <v>78472.479999999996</v>
      </c>
      <c r="C3469" s="3">
        <v>310.35000000000002</v>
      </c>
      <c r="D3469" s="3">
        <f t="shared" si="110"/>
        <v>-4.9698828286686762E-6</v>
      </c>
      <c r="E3469" s="3">
        <f t="shared" si="111"/>
        <v>6.4464144053534718E-4</v>
      </c>
    </row>
    <row r="3470" spans="1:5" x14ac:dyDescent="0.45">
      <c r="A3470" s="2">
        <v>45653</v>
      </c>
      <c r="B3470" s="3">
        <v>78699.070000000007</v>
      </c>
      <c r="C3470" s="3">
        <v>309.55</v>
      </c>
      <c r="D3470" s="3">
        <f t="shared" si="110"/>
        <v>2.8833482520643338E-3</v>
      </c>
      <c r="E3470" s="3">
        <f t="shared" si="111"/>
        <v>-2.5810628944206559E-3</v>
      </c>
    </row>
    <row r="3471" spans="1:5" x14ac:dyDescent="0.45">
      <c r="A3471" s="2">
        <v>45656</v>
      </c>
      <c r="B3471" s="3">
        <v>78248.13</v>
      </c>
      <c r="C3471" s="3">
        <v>308.35000000000002</v>
      </c>
      <c r="D3471" s="3">
        <f t="shared" si="110"/>
        <v>-5.7464069557241612E-3</v>
      </c>
      <c r="E3471" s="3">
        <f t="shared" si="111"/>
        <v>-3.8841285277392982E-3</v>
      </c>
    </row>
    <row r="3472" spans="1:5" x14ac:dyDescent="0.45">
      <c r="A3472" s="2">
        <v>45657</v>
      </c>
      <c r="B3472" s="3">
        <v>78139.009999999995</v>
      </c>
      <c r="C3472" s="3">
        <v>308.60000000000002</v>
      </c>
      <c r="D3472" s="3">
        <f t="shared" si="110"/>
        <v>-1.3955113919064909E-3</v>
      </c>
      <c r="E3472" s="3">
        <f t="shared" si="111"/>
        <v>8.1043849155866456E-4</v>
      </c>
    </row>
    <row r="3473" spans="1:5" x14ac:dyDescent="0.45">
      <c r="A3473" s="2">
        <v>45658</v>
      </c>
      <c r="B3473" s="3">
        <v>78507.41</v>
      </c>
      <c r="C3473" s="3">
        <v>310.5</v>
      </c>
      <c r="D3473" s="3">
        <f t="shared" si="110"/>
        <v>4.7035952586809053E-3</v>
      </c>
      <c r="E3473" s="3">
        <f t="shared" si="111"/>
        <v>6.1379614444729462E-3</v>
      </c>
    </row>
    <row r="3474" spans="1:5" x14ac:dyDescent="0.45">
      <c r="A3474" s="2">
        <v>45659</v>
      </c>
      <c r="B3474" s="3">
        <v>79943.710000000006</v>
      </c>
      <c r="C3474" s="3">
        <v>315.39999999999998</v>
      </c>
      <c r="D3474" s="3">
        <f t="shared" si="110"/>
        <v>1.8129746775728438E-2</v>
      </c>
      <c r="E3474" s="3">
        <f t="shared" si="111"/>
        <v>1.5657773155404446E-2</v>
      </c>
    </row>
    <row r="3475" spans="1:5" x14ac:dyDescent="0.45">
      <c r="A3475" s="2">
        <v>45660</v>
      </c>
      <c r="B3475" s="3">
        <v>79223.11</v>
      </c>
      <c r="C3475" s="3">
        <v>316.14999999999998</v>
      </c>
      <c r="D3475" s="3">
        <f t="shared" si="110"/>
        <v>-9.0547128272353977E-3</v>
      </c>
      <c r="E3475" s="3">
        <f t="shared" si="111"/>
        <v>2.3751099756843023E-3</v>
      </c>
    </row>
    <row r="3476" spans="1:5" x14ac:dyDescent="0.45">
      <c r="A3476" s="2">
        <v>45663</v>
      </c>
      <c r="B3476" s="3">
        <v>77964.990000000005</v>
      </c>
      <c r="C3476" s="3">
        <v>306.05</v>
      </c>
      <c r="D3476" s="3">
        <f t="shared" si="110"/>
        <v>-1.6008169412237244E-2</v>
      </c>
      <c r="E3476" s="3">
        <f t="shared" si="111"/>
        <v>-3.2468297207543247E-2</v>
      </c>
    </row>
    <row r="3477" spans="1:5" x14ac:dyDescent="0.45">
      <c r="A3477" s="2">
        <v>45664</v>
      </c>
      <c r="B3477" s="3">
        <v>78199.11</v>
      </c>
      <c r="C3477" s="3">
        <v>305.2</v>
      </c>
      <c r="D3477" s="3">
        <f t="shared" si="110"/>
        <v>2.998386638172965E-3</v>
      </c>
      <c r="E3477" s="3">
        <f t="shared" si="111"/>
        <v>-2.7811878867769792E-3</v>
      </c>
    </row>
    <row r="3478" spans="1:5" x14ac:dyDescent="0.45">
      <c r="A3478" s="2">
        <v>45665</v>
      </c>
      <c r="B3478" s="3">
        <v>78148.490000000005</v>
      </c>
      <c r="C3478" s="3">
        <v>306.5</v>
      </c>
      <c r="D3478" s="3">
        <f t="shared" si="110"/>
        <v>-6.475315485332463E-4</v>
      </c>
      <c r="E3478" s="3">
        <f t="shared" si="111"/>
        <v>4.2504559659641162E-3</v>
      </c>
    </row>
    <row r="3479" spans="1:5" x14ac:dyDescent="0.45">
      <c r="A3479" s="2">
        <v>45666</v>
      </c>
      <c r="B3479" s="3">
        <v>77620.210000000006</v>
      </c>
      <c r="C3479" s="3">
        <v>305.3</v>
      </c>
      <c r="D3479" s="3">
        <f t="shared" si="110"/>
        <v>-6.782903438421692E-3</v>
      </c>
      <c r="E3479" s="3">
        <f t="shared" si="111"/>
        <v>-3.9228556354339037E-3</v>
      </c>
    </row>
    <row r="3480" spans="1:5" x14ac:dyDescent="0.45">
      <c r="A3480" s="2">
        <v>45667</v>
      </c>
      <c r="B3480" s="3">
        <v>77378.91</v>
      </c>
      <c r="C3480" s="3">
        <v>299.8</v>
      </c>
      <c r="D3480" s="3">
        <f t="shared" si="110"/>
        <v>-3.1135685794393899E-3</v>
      </c>
      <c r="E3480" s="3">
        <f t="shared" si="111"/>
        <v>-1.8179314072334838E-2</v>
      </c>
    </row>
    <row r="3481" spans="1:5" x14ac:dyDescent="0.45">
      <c r="A3481" s="2">
        <v>45670</v>
      </c>
      <c r="B3481" s="3">
        <v>76330.009999999995</v>
      </c>
      <c r="C3481" s="3">
        <v>287.55</v>
      </c>
      <c r="D3481" s="3">
        <f t="shared" si="110"/>
        <v>-1.3648086025479258E-2</v>
      </c>
      <c r="E3481" s="3">
        <f t="shared" si="111"/>
        <v>-4.1718827508734131E-2</v>
      </c>
    </row>
    <row r="3482" spans="1:5" x14ac:dyDescent="0.45">
      <c r="A3482" s="2">
        <v>45671</v>
      </c>
      <c r="B3482" s="3">
        <v>76499.63</v>
      </c>
      <c r="C3482" s="3">
        <v>290</v>
      </c>
      <c r="D3482" s="3">
        <f t="shared" si="110"/>
        <v>2.2197273990286056E-3</v>
      </c>
      <c r="E3482" s="3">
        <f t="shared" si="111"/>
        <v>8.4841648207564686E-3</v>
      </c>
    </row>
    <row r="3483" spans="1:5" x14ac:dyDescent="0.45">
      <c r="A3483" s="2">
        <v>45672</v>
      </c>
      <c r="B3483" s="3">
        <v>76724.08</v>
      </c>
      <c r="C3483" s="3">
        <v>298.64999999999998</v>
      </c>
      <c r="D3483" s="3">
        <f t="shared" si="110"/>
        <v>2.9297053379151758E-3</v>
      </c>
      <c r="E3483" s="3">
        <f t="shared" si="111"/>
        <v>2.9391396197795135E-2</v>
      </c>
    </row>
    <row r="3484" spans="1:5" x14ac:dyDescent="0.45">
      <c r="A3484" s="2">
        <v>45673</v>
      </c>
      <c r="B3484" s="3">
        <v>77042.820000000007</v>
      </c>
      <c r="C3484" s="3">
        <v>297.64999999999998</v>
      </c>
      <c r="D3484" s="3">
        <f t="shared" si="110"/>
        <v>4.1457616239159532E-3</v>
      </c>
      <c r="E3484" s="3">
        <f t="shared" si="111"/>
        <v>-3.3540195789158486E-3</v>
      </c>
    </row>
    <row r="3485" spans="1:5" x14ac:dyDescent="0.45">
      <c r="A3485" s="2">
        <v>45674</v>
      </c>
      <c r="B3485" s="3">
        <v>76619.33</v>
      </c>
      <c r="C3485" s="3">
        <v>302.55</v>
      </c>
      <c r="D3485" s="3">
        <f t="shared" si="110"/>
        <v>-5.5119764001930758E-3</v>
      </c>
      <c r="E3485" s="3">
        <f t="shared" si="111"/>
        <v>1.6328253468931426E-2</v>
      </c>
    </row>
    <row r="3486" spans="1:5" x14ac:dyDescent="0.45">
      <c r="A3486" s="2">
        <v>45677</v>
      </c>
      <c r="B3486" s="3">
        <v>77073.440000000002</v>
      </c>
      <c r="C3486" s="3">
        <v>306.45</v>
      </c>
      <c r="D3486" s="3">
        <f t="shared" si="110"/>
        <v>5.9093387603085515E-3</v>
      </c>
      <c r="E3486" s="3">
        <f t="shared" si="111"/>
        <v>1.2808056863410173E-2</v>
      </c>
    </row>
    <row r="3487" spans="1:5" x14ac:dyDescent="0.45">
      <c r="A3487" s="2">
        <v>45678</v>
      </c>
      <c r="B3487" s="3">
        <v>75838.36</v>
      </c>
      <c r="C3487" s="3">
        <v>302.3</v>
      </c>
      <c r="D3487" s="3">
        <f t="shared" si="110"/>
        <v>-1.6154500301053011E-2</v>
      </c>
      <c r="E3487" s="3">
        <f t="shared" si="111"/>
        <v>-1.3634708146328256E-2</v>
      </c>
    </row>
    <row r="3488" spans="1:5" x14ac:dyDescent="0.45">
      <c r="A3488" s="2">
        <v>45679</v>
      </c>
      <c r="B3488" s="3">
        <v>76404.990000000005</v>
      </c>
      <c r="C3488" s="3">
        <v>297.85000000000002</v>
      </c>
      <c r="D3488" s="3">
        <f t="shared" si="110"/>
        <v>7.4437749353449961E-3</v>
      </c>
      <c r="E3488" s="3">
        <f t="shared" si="111"/>
        <v>-1.4829897710715913E-2</v>
      </c>
    </row>
    <row r="3489" spans="1:5" x14ac:dyDescent="0.45">
      <c r="A3489" s="2">
        <v>45680</v>
      </c>
      <c r="B3489" s="3">
        <v>76520.38</v>
      </c>
      <c r="C3489" s="3">
        <v>294.3</v>
      </c>
      <c r="D3489" s="3">
        <f t="shared" si="110"/>
        <v>1.5091024059513524E-3</v>
      </c>
      <c r="E3489" s="3">
        <f t="shared" si="111"/>
        <v>-1.1990348835269352E-2</v>
      </c>
    </row>
    <row r="3490" spans="1:5" x14ac:dyDescent="0.45">
      <c r="A3490" s="2">
        <v>45681</v>
      </c>
      <c r="B3490" s="3">
        <v>76190.460000000006</v>
      </c>
      <c r="C3490" s="3">
        <v>295.75</v>
      </c>
      <c r="D3490" s="3">
        <f t="shared" si="110"/>
        <v>-4.3208525772494557E-3</v>
      </c>
      <c r="E3490" s="3">
        <f t="shared" si="111"/>
        <v>4.914847619069092E-3</v>
      </c>
    </row>
    <row r="3491" spans="1:5" x14ac:dyDescent="0.45">
      <c r="A3491" s="2">
        <v>45684</v>
      </c>
      <c r="B3491" s="3">
        <v>75366.17</v>
      </c>
      <c r="C3491" s="3">
        <v>287.05</v>
      </c>
      <c r="D3491" s="3">
        <f t="shared" si="110"/>
        <v>-1.0877757414749714E-2</v>
      </c>
      <c r="E3491" s="3">
        <f t="shared" si="111"/>
        <v>-2.985808624485034E-2</v>
      </c>
    </row>
    <row r="3492" spans="1:5" x14ac:dyDescent="0.45">
      <c r="A3492" s="2">
        <v>45685</v>
      </c>
      <c r="B3492" s="3">
        <v>75901.41</v>
      </c>
      <c r="C3492" s="3">
        <v>283.85000000000002</v>
      </c>
      <c r="D3492" s="3">
        <f t="shared" si="110"/>
        <v>7.076760714453862E-3</v>
      </c>
      <c r="E3492" s="3">
        <f t="shared" si="111"/>
        <v>-1.1210486996910579E-2</v>
      </c>
    </row>
    <row r="3493" spans="1:5" x14ac:dyDescent="0.45">
      <c r="A3493" s="2">
        <v>45686</v>
      </c>
      <c r="B3493" s="3">
        <v>76532.960000000006</v>
      </c>
      <c r="C3493" s="3">
        <v>287.8</v>
      </c>
      <c r="D3493" s="3">
        <f t="shared" si="110"/>
        <v>8.2862364124920533E-3</v>
      </c>
      <c r="E3493" s="3">
        <f t="shared" si="111"/>
        <v>1.3819864836532072E-2</v>
      </c>
    </row>
    <row r="3494" spans="1:5" x14ac:dyDescent="0.45">
      <c r="A3494" s="2">
        <v>45687</v>
      </c>
      <c r="B3494" s="3">
        <v>76759.81</v>
      </c>
      <c r="C3494" s="3">
        <v>295.25</v>
      </c>
      <c r="D3494" s="3">
        <f t="shared" si="110"/>
        <v>2.9596981722874506E-3</v>
      </c>
      <c r="E3494" s="3">
        <f t="shared" si="111"/>
        <v>2.5556660624204152E-2</v>
      </c>
    </row>
    <row r="3495" spans="1:5" x14ac:dyDescent="0.45">
      <c r="A3495" s="2">
        <v>45688</v>
      </c>
      <c r="B3495" s="3">
        <v>77500.570000000007</v>
      </c>
      <c r="C3495" s="3">
        <v>301.85000000000002</v>
      </c>
      <c r="D3495" s="3">
        <f t="shared" si="110"/>
        <v>9.6040952820533633E-3</v>
      </c>
      <c r="E3495" s="3">
        <f t="shared" si="111"/>
        <v>2.210775016496349E-2</v>
      </c>
    </row>
    <row r="3496" spans="1:5" x14ac:dyDescent="0.45">
      <c r="A3496" s="2">
        <v>45689</v>
      </c>
      <c r="B3496" s="3">
        <v>77505.960000000006</v>
      </c>
      <c r="C3496" s="3">
        <v>289.95</v>
      </c>
      <c r="D3496" s="3">
        <f t="shared" si="110"/>
        <v>6.9545457242069483E-5</v>
      </c>
      <c r="E3496" s="3">
        <f t="shared" si="111"/>
        <v>-4.022171091998572E-2</v>
      </c>
    </row>
    <row r="3497" spans="1:5" x14ac:dyDescent="0.45">
      <c r="A3497" s="2">
        <v>45691</v>
      </c>
      <c r="B3497" s="3">
        <v>77186.740000000005</v>
      </c>
      <c r="C3497" s="3">
        <v>283.89999999999998</v>
      </c>
      <c r="D3497" s="3">
        <f t="shared" si="110"/>
        <v>-4.1271560082297666E-3</v>
      </c>
      <c r="E3497" s="3">
        <f t="shared" si="111"/>
        <v>-2.1086430843524118E-2</v>
      </c>
    </row>
    <row r="3498" spans="1:5" x14ac:dyDescent="0.45">
      <c r="A3498" s="2">
        <v>45692</v>
      </c>
      <c r="B3498" s="3">
        <v>78583.81</v>
      </c>
      <c r="C3498" s="3">
        <v>285.75</v>
      </c>
      <c r="D3498" s="3">
        <f t="shared" si="110"/>
        <v>1.7938017954698123E-2</v>
      </c>
      <c r="E3498" s="3">
        <f t="shared" si="111"/>
        <v>6.4952391959946978E-3</v>
      </c>
    </row>
    <row r="3499" spans="1:5" x14ac:dyDescent="0.45">
      <c r="A3499" s="2">
        <v>45693</v>
      </c>
      <c r="B3499" s="3">
        <v>78271.28</v>
      </c>
      <c r="C3499" s="3">
        <v>285.14999999999998</v>
      </c>
      <c r="D3499" s="3">
        <f t="shared" si="110"/>
        <v>-3.9849572440173306E-3</v>
      </c>
      <c r="E3499" s="3">
        <f t="shared" si="111"/>
        <v>-2.1019450723722332E-3</v>
      </c>
    </row>
    <row r="3500" spans="1:5" x14ac:dyDescent="0.45">
      <c r="A3500" s="2">
        <v>45694</v>
      </c>
      <c r="B3500" s="3">
        <v>78058.16</v>
      </c>
      <c r="C3500" s="3">
        <v>281.25</v>
      </c>
      <c r="D3500" s="3">
        <f t="shared" si="110"/>
        <v>-2.7265514675839531E-3</v>
      </c>
      <c r="E3500" s="3">
        <f t="shared" si="111"/>
        <v>-1.3771404083917922E-2</v>
      </c>
    </row>
    <row r="3501" spans="1:5" x14ac:dyDescent="0.45">
      <c r="A3501" s="2">
        <v>45695</v>
      </c>
      <c r="B3501" s="3">
        <v>77860.19</v>
      </c>
      <c r="C3501" s="3">
        <v>278.3</v>
      </c>
      <c r="D3501" s="3">
        <f t="shared" si="110"/>
        <v>-2.5394074063200796E-3</v>
      </c>
      <c r="E3501" s="3">
        <f t="shared" si="111"/>
        <v>-1.0544284986784785E-2</v>
      </c>
    </row>
    <row r="3502" spans="1:5" x14ac:dyDescent="0.45">
      <c r="A3502" s="2">
        <v>45698</v>
      </c>
      <c r="B3502" s="3">
        <v>77311.8</v>
      </c>
      <c r="C3502" s="3">
        <v>268.7</v>
      </c>
      <c r="D3502" s="3">
        <f t="shared" si="110"/>
        <v>-7.0681865083340404E-3</v>
      </c>
      <c r="E3502" s="3">
        <f t="shared" si="111"/>
        <v>-3.510415291039963E-2</v>
      </c>
    </row>
    <row r="3503" spans="1:5" x14ac:dyDescent="0.45">
      <c r="A3503" s="2">
        <v>45699</v>
      </c>
      <c r="B3503" s="3">
        <v>76293.600000000006</v>
      </c>
      <c r="C3503" s="3">
        <v>261.5</v>
      </c>
      <c r="D3503" s="3">
        <f t="shared" si="110"/>
        <v>-1.3257540599412285E-2</v>
      </c>
      <c r="E3503" s="3">
        <f t="shared" si="111"/>
        <v>-2.716123211646795E-2</v>
      </c>
    </row>
    <row r="3504" spans="1:5" x14ac:dyDescent="0.45">
      <c r="A3504" s="2">
        <v>45700</v>
      </c>
      <c r="B3504" s="3">
        <v>76171.08</v>
      </c>
      <c r="C3504" s="3">
        <v>257.3</v>
      </c>
      <c r="D3504" s="3">
        <f t="shared" si="110"/>
        <v>-1.6071922542731476E-3</v>
      </c>
      <c r="E3504" s="3">
        <f t="shared" si="111"/>
        <v>-1.6191564217279006E-2</v>
      </c>
    </row>
    <row r="3505" spans="1:5" x14ac:dyDescent="0.45">
      <c r="A3505" s="2">
        <v>45701</v>
      </c>
      <c r="B3505" s="3">
        <v>76138.97</v>
      </c>
      <c r="C3505" s="3">
        <v>259.10000000000002</v>
      </c>
      <c r="D3505" s="3">
        <f t="shared" si="110"/>
        <v>-4.2163994399206168E-4</v>
      </c>
      <c r="E3505" s="3">
        <f t="shared" si="111"/>
        <v>6.9713682803657752E-3</v>
      </c>
    </row>
    <row r="3506" spans="1:5" x14ac:dyDescent="0.45">
      <c r="A3506" s="2">
        <v>45702</v>
      </c>
      <c r="B3506" s="3">
        <v>75939.210000000006</v>
      </c>
      <c r="C3506" s="3">
        <v>257.35000000000002</v>
      </c>
      <c r="D3506" s="3">
        <f t="shared" si="110"/>
        <v>-2.627071350893513E-3</v>
      </c>
      <c r="E3506" s="3">
        <f t="shared" si="111"/>
        <v>-6.7770614693006999E-3</v>
      </c>
    </row>
    <row r="3507" spans="1:5" x14ac:dyDescent="0.45">
      <c r="A3507" s="2">
        <v>45705</v>
      </c>
      <c r="B3507" s="3">
        <v>75996.86</v>
      </c>
      <c r="C3507" s="3">
        <v>263.14999999999998</v>
      </c>
      <c r="D3507" s="3">
        <f t="shared" si="110"/>
        <v>7.5887184348850652E-4</v>
      </c>
      <c r="E3507" s="3">
        <f t="shared" si="111"/>
        <v>2.2287185701024222E-2</v>
      </c>
    </row>
    <row r="3508" spans="1:5" x14ac:dyDescent="0.45">
      <c r="A3508" s="2">
        <v>45706</v>
      </c>
      <c r="B3508" s="3">
        <v>75967.39</v>
      </c>
      <c r="C3508" s="3">
        <v>266.75</v>
      </c>
      <c r="D3508" s="3">
        <f t="shared" si="110"/>
        <v>-3.8785438508640095E-4</v>
      </c>
      <c r="E3508" s="3">
        <f t="shared" si="111"/>
        <v>1.3587678382074904E-2</v>
      </c>
    </row>
    <row r="3509" spans="1:5" x14ac:dyDescent="0.45">
      <c r="A3509" s="2">
        <v>45707</v>
      </c>
      <c r="B3509" s="3">
        <v>75939.179999999993</v>
      </c>
      <c r="C3509" s="3">
        <v>263.14999999999998</v>
      </c>
      <c r="D3509" s="3">
        <f t="shared" si="110"/>
        <v>-3.7141251131271748E-4</v>
      </c>
      <c r="E3509" s="3">
        <f t="shared" si="111"/>
        <v>-1.3587678382074855E-2</v>
      </c>
    </row>
    <row r="3510" spans="1:5" x14ac:dyDescent="0.45">
      <c r="A3510" s="2">
        <v>45708</v>
      </c>
      <c r="B3510" s="3">
        <v>75735.960000000006</v>
      </c>
      <c r="C3510" s="3">
        <v>265.8</v>
      </c>
      <c r="D3510" s="3">
        <f t="shared" si="110"/>
        <v>-2.6796760709041226E-3</v>
      </c>
      <c r="E3510" s="3">
        <f t="shared" si="111"/>
        <v>1.001993447935706E-2</v>
      </c>
    </row>
    <row r="3511" spans="1:5" x14ac:dyDescent="0.45">
      <c r="A3511" s="2">
        <v>45709</v>
      </c>
      <c r="B3511" s="3">
        <v>75311.06</v>
      </c>
      <c r="C3511" s="3">
        <v>261.75</v>
      </c>
      <c r="D3511" s="3">
        <f t="shared" si="110"/>
        <v>-5.6260775058055079E-3</v>
      </c>
      <c r="E3511" s="3">
        <f t="shared" si="111"/>
        <v>-1.5354296528498771E-2</v>
      </c>
    </row>
    <row r="3512" spans="1:5" x14ac:dyDescent="0.45">
      <c r="A3512" s="2">
        <v>45712</v>
      </c>
      <c r="B3512" s="3">
        <v>74454.41</v>
      </c>
      <c r="C3512" s="3">
        <v>259.14999999999998</v>
      </c>
      <c r="D3512" s="3">
        <f t="shared" si="110"/>
        <v>-1.1440011409003262E-2</v>
      </c>
      <c r="E3512" s="3">
        <f t="shared" si="111"/>
        <v>-9.9828051149307567E-3</v>
      </c>
    </row>
    <row r="3513" spans="1:5" x14ac:dyDescent="0.45">
      <c r="A3513" s="2">
        <v>45713</v>
      </c>
      <c r="B3513" s="3">
        <v>74602.12</v>
      </c>
      <c r="C3513" s="3">
        <v>255.9</v>
      </c>
      <c r="D3513" s="3">
        <f t="shared" si="110"/>
        <v>1.9819332752632232E-3</v>
      </c>
      <c r="E3513" s="3">
        <f t="shared" si="111"/>
        <v>-1.2620301469972374E-2</v>
      </c>
    </row>
    <row r="3514" spans="1:5" x14ac:dyDescent="0.45">
      <c r="A3514" s="2">
        <v>45715</v>
      </c>
      <c r="B3514" s="3">
        <v>74612.429999999993</v>
      </c>
      <c r="C3514" s="3">
        <v>256.14999999999998</v>
      </c>
      <c r="D3514" s="3">
        <f t="shared" si="110"/>
        <v>1.3819027724043851E-4</v>
      </c>
      <c r="E3514" s="3">
        <f t="shared" si="111"/>
        <v>9.7646721946810489E-4</v>
      </c>
    </row>
    <row r="3515" spans="1:5" x14ac:dyDescent="0.45">
      <c r="A3515" s="2">
        <v>45716</v>
      </c>
      <c r="B3515" s="3">
        <v>73198.100000000006</v>
      </c>
      <c r="C3515" s="3">
        <v>250.65</v>
      </c>
      <c r="D3515" s="3">
        <f t="shared" si="110"/>
        <v>-1.9137650967485504E-2</v>
      </c>
      <c r="E3515" s="3">
        <f t="shared" si="111"/>
        <v>-2.1705666675698728E-2</v>
      </c>
    </row>
    <row r="3516" spans="1:5" x14ac:dyDescent="0.45">
      <c r="A3516" s="2">
        <v>45719</v>
      </c>
      <c r="B3516" s="3">
        <v>73085.94</v>
      </c>
      <c r="C3516" s="3">
        <v>252.55</v>
      </c>
      <c r="D3516" s="3">
        <f t="shared" si="110"/>
        <v>-1.5334553513637391E-3</v>
      </c>
      <c r="E3516" s="3">
        <f t="shared" si="111"/>
        <v>7.5517052045493017E-3</v>
      </c>
    </row>
    <row r="3517" spans="1:5" x14ac:dyDescent="0.45">
      <c r="A3517" s="2">
        <v>45720</v>
      </c>
      <c r="B3517" s="3">
        <v>72989.929999999993</v>
      </c>
      <c r="C3517" s="3">
        <v>254.05</v>
      </c>
      <c r="D3517" s="3">
        <f t="shared" si="110"/>
        <v>-1.3145225672824225E-3</v>
      </c>
      <c r="E3517" s="3">
        <f t="shared" si="111"/>
        <v>5.9218491256793722E-3</v>
      </c>
    </row>
    <row r="3518" spans="1:5" x14ac:dyDescent="0.45">
      <c r="A3518" s="2">
        <v>45721</v>
      </c>
      <c r="B3518" s="3">
        <v>73730.23</v>
      </c>
      <c r="C3518" s="3">
        <v>264.89999999999998</v>
      </c>
      <c r="D3518" s="3">
        <f t="shared" si="110"/>
        <v>1.0091405059128082E-2</v>
      </c>
      <c r="E3518" s="3">
        <f t="shared" si="111"/>
        <v>4.1821298238283032E-2</v>
      </c>
    </row>
    <row r="3519" spans="1:5" x14ac:dyDescent="0.45">
      <c r="A3519" s="2">
        <v>45722</v>
      </c>
      <c r="B3519" s="3">
        <v>74340.09</v>
      </c>
      <c r="C3519" s="3">
        <v>266.45</v>
      </c>
      <c r="D3519" s="3">
        <f t="shared" si="110"/>
        <v>8.2374840354015391E-3</v>
      </c>
      <c r="E3519" s="3">
        <f t="shared" si="111"/>
        <v>5.8342124647673297E-3</v>
      </c>
    </row>
    <row r="3520" spans="1:5" x14ac:dyDescent="0.45">
      <c r="A3520" s="2">
        <v>45723</v>
      </c>
      <c r="B3520" s="3">
        <v>74332.58</v>
      </c>
      <c r="C3520" s="3">
        <v>263.2</v>
      </c>
      <c r="D3520" s="3">
        <f t="shared" si="110"/>
        <v>-1.0102731061983516E-4</v>
      </c>
      <c r="E3520" s="3">
        <f t="shared" si="111"/>
        <v>-1.2272409291629106E-2</v>
      </c>
    </row>
    <row r="3521" spans="1:5" x14ac:dyDescent="0.45">
      <c r="A3521" s="2">
        <v>45726</v>
      </c>
      <c r="B3521" s="3">
        <v>74115.17</v>
      </c>
      <c r="C3521" s="3">
        <v>271.39999999999998</v>
      </c>
      <c r="D3521" s="3">
        <f t="shared" si="110"/>
        <v>-2.9291135156013525E-3</v>
      </c>
      <c r="E3521" s="3">
        <f t="shared" si="111"/>
        <v>3.06795479496066E-2</v>
      </c>
    </row>
    <row r="3522" spans="1:5" x14ac:dyDescent="0.45">
      <c r="A3522" s="2">
        <v>45727</v>
      </c>
      <c r="B3522" s="3">
        <v>74102.320000000007</v>
      </c>
      <c r="C3522" s="3">
        <v>267.35000000000002</v>
      </c>
      <c r="D3522" s="3">
        <f t="shared" si="110"/>
        <v>-1.73393842146196E-4</v>
      </c>
      <c r="E3522" s="3">
        <f t="shared" si="111"/>
        <v>-1.5035086006027994E-2</v>
      </c>
    </row>
    <row r="3523" spans="1:5" x14ac:dyDescent="0.45">
      <c r="A3523" s="2">
        <v>45728</v>
      </c>
      <c r="B3523" s="3">
        <v>74029.759999999995</v>
      </c>
      <c r="C3523" s="3">
        <v>267.10000000000002</v>
      </c>
      <c r="D3523" s="3">
        <f t="shared" si="110"/>
        <v>-9.7966633295466462E-4</v>
      </c>
      <c r="E3523" s="3">
        <f t="shared" si="111"/>
        <v>-9.3554127882537004E-4</v>
      </c>
    </row>
    <row r="3524" spans="1:5" x14ac:dyDescent="0.45">
      <c r="A3524" s="2">
        <v>45729</v>
      </c>
      <c r="B3524" s="3">
        <v>73828.91</v>
      </c>
      <c r="C3524" s="3">
        <v>267.60000000000002</v>
      </c>
      <c r="D3524" s="3">
        <f t="shared" si="110"/>
        <v>-2.7167852049278219E-3</v>
      </c>
      <c r="E3524" s="3">
        <f t="shared" si="111"/>
        <v>1.87020813815815E-3</v>
      </c>
    </row>
    <row r="3525" spans="1:5" x14ac:dyDescent="0.45">
      <c r="A3525" s="2">
        <v>45733</v>
      </c>
      <c r="B3525" s="3">
        <v>74169.95</v>
      </c>
      <c r="C3525" s="3">
        <v>267.3</v>
      </c>
      <c r="D3525" s="3">
        <f t="shared" si="110"/>
        <v>4.6086923053575823E-3</v>
      </c>
      <c r="E3525" s="3">
        <f t="shared" si="111"/>
        <v>-1.1217051092001266E-3</v>
      </c>
    </row>
    <row r="3526" spans="1:5" x14ac:dyDescent="0.45">
      <c r="A3526" s="2">
        <v>45734</v>
      </c>
      <c r="B3526" s="3">
        <v>75301.259999999995</v>
      </c>
      <c r="C3526" s="3">
        <v>270.8</v>
      </c>
      <c r="D3526" s="3">
        <f t="shared" ref="D3526:D3589" si="112">LN(B3526/B3525)</f>
        <v>1.5137786112346788E-2</v>
      </c>
      <c r="E3526" s="3">
        <f t="shared" ref="E3526:E3589" si="113">LN(C3526/C3525)</f>
        <v>1.3008917893246662E-2</v>
      </c>
    </row>
    <row r="3527" spans="1:5" x14ac:dyDescent="0.45">
      <c r="A3527" s="2">
        <v>45735</v>
      </c>
      <c r="B3527" s="3">
        <v>75449.05</v>
      </c>
      <c r="C3527" s="3">
        <v>276.95</v>
      </c>
      <c r="D3527" s="3">
        <f t="shared" si="112"/>
        <v>1.9607262810614951E-3</v>
      </c>
      <c r="E3527" s="3">
        <f t="shared" si="113"/>
        <v>2.2456443440992877E-2</v>
      </c>
    </row>
    <row r="3528" spans="1:5" x14ac:dyDescent="0.45">
      <c r="A3528" s="2">
        <v>45736</v>
      </c>
      <c r="B3528" s="3">
        <v>76348.06</v>
      </c>
      <c r="C3528" s="3">
        <v>279.95</v>
      </c>
      <c r="D3528" s="3">
        <f t="shared" si="112"/>
        <v>1.1845028027897844E-2</v>
      </c>
      <c r="E3528" s="3">
        <f t="shared" si="113"/>
        <v>1.0774031315789292E-2</v>
      </c>
    </row>
    <row r="3529" spans="1:5" x14ac:dyDescent="0.45">
      <c r="A3529" s="2">
        <v>45737</v>
      </c>
      <c r="B3529" s="3">
        <v>76905.509999999995</v>
      </c>
      <c r="C3529" s="3">
        <v>283</v>
      </c>
      <c r="D3529" s="3">
        <f t="shared" si="112"/>
        <v>7.2749033976609685E-3</v>
      </c>
      <c r="E3529" s="3">
        <f t="shared" si="113"/>
        <v>1.0835881848335479E-2</v>
      </c>
    </row>
    <row r="3530" spans="1:5" x14ac:dyDescent="0.45">
      <c r="A3530" s="2">
        <v>45740</v>
      </c>
      <c r="B3530" s="3">
        <v>77984.38</v>
      </c>
      <c r="C3530" s="3">
        <v>291.89999999999998</v>
      </c>
      <c r="D3530" s="3">
        <f t="shared" si="112"/>
        <v>1.3931024785141955E-2</v>
      </c>
      <c r="E3530" s="3">
        <f t="shared" si="113"/>
        <v>3.0964380216831362E-2</v>
      </c>
    </row>
    <row r="3531" spans="1:5" x14ac:dyDescent="0.45">
      <c r="A3531" s="2">
        <v>45741</v>
      </c>
      <c r="B3531" s="3">
        <v>78017.19</v>
      </c>
      <c r="C3531" s="3">
        <v>291.14999999999998</v>
      </c>
      <c r="D3531" s="3">
        <f t="shared" si="112"/>
        <v>4.2063679851137627E-4</v>
      </c>
      <c r="E3531" s="3">
        <f t="shared" si="113"/>
        <v>-2.5726795769401472E-3</v>
      </c>
    </row>
    <row r="3532" spans="1:5" x14ac:dyDescent="0.45">
      <c r="A3532" s="2">
        <v>45742</v>
      </c>
      <c r="B3532" s="3">
        <v>77288.5</v>
      </c>
      <c r="C3532" s="3">
        <v>291.35000000000002</v>
      </c>
      <c r="D3532" s="3">
        <f t="shared" si="112"/>
        <v>-9.384013519976581E-3</v>
      </c>
      <c r="E3532" s="3">
        <f t="shared" si="113"/>
        <v>6.8669530595437888E-4</v>
      </c>
    </row>
    <row r="3533" spans="1:5" x14ac:dyDescent="0.45">
      <c r="A3533" s="2">
        <v>45743</v>
      </c>
      <c r="B3533" s="3">
        <v>77606.429999999993</v>
      </c>
      <c r="C3533" s="3">
        <v>294.89999999999998</v>
      </c>
      <c r="D3533" s="3">
        <f t="shared" si="112"/>
        <v>4.1051110772688734E-3</v>
      </c>
      <c r="E3533" s="3">
        <f t="shared" si="113"/>
        <v>1.2111022232147252E-2</v>
      </c>
    </row>
    <row r="3534" spans="1:5" x14ac:dyDescent="0.45">
      <c r="A3534" s="2">
        <v>45744</v>
      </c>
      <c r="B3534" s="3">
        <v>77414.92</v>
      </c>
      <c r="C3534" s="3">
        <v>290.45</v>
      </c>
      <c r="D3534" s="3">
        <f t="shared" si="112"/>
        <v>-2.4707577043421142E-3</v>
      </c>
      <c r="E3534" s="3">
        <f t="shared" si="113"/>
        <v>-1.5204871382689007E-2</v>
      </c>
    </row>
    <row r="3535" spans="1:5" x14ac:dyDescent="0.45">
      <c r="A3535" s="2">
        <v>45748</v>
      </c>
      <c r="B3535" s="3">
        <v>76024.509999999995</v>
      </c>
      <c r="C3535" s="3">
        <v>289.25</v>
      </c>
      <c r="D3535" s="3">
        <f t="shared" si="112"/>
        <v>-1.8123738582420588E-2</v>
      </c>
      <c r="E3535" s="3">
        <f t="shared" si="113"/>
        <v>-4.1400783647554977E-3</v>
      </c>
    </row>
    <row r="3536" spans="1:5" x14ac:dyDescent="0.45">
      <c r="A3536" s="2">
        <v>45749</v>
      </c>
      <c r="B3536" s="3">
        <v>76617.440000000002</v>
      </c>
      <c r="C3536" s="3">
        <v>286.7</v>
      </c>
      <c r="D3536" s="3">
        <f t="shared" si="112"/>
        <v>7.7689387780687453E-3</v>
      </c>
      <c r="E3536" s="3">
        <f t="shared" si="113"/>
        <v>-8.8549931844618245E-3</v>
      </c>
    </row>
    <row r="3537" spans="1:5" x14ac:dyDescent="0.45">
      <c r="A3537" s="2">
        <v>45750</v>
      </c>
      <c r="B3537" s="3">
        <v>76295.360000000001</v>
      </c>
      <c r="C3537" s="3">
        <v>299.14999999999998</v>
      </c>
      <c r="D3537" s="3">
        <f t="shared" si="112"/>
        <v>-4.2126032131148657E-3</v>
      </c>
      <c r="E3537" s="3">
        <f t="shared" si="113"/>
        <v>4.2508746946716545E-2</v>
      </c>
    </row>
    <row r="3538" spans="1:5" x14ac:dyDescent="0.45">
      <c r="A3538" s="2">
        <v>45751</v>
      </c>
      <c r="B3538" s="3">
        <v>75364.69</v>
      </c>
      <c r="C3538" s="3">
        <v>293.8</v>
      </c>
      <c r="D3538" s="3">
        <f t="shared" si="112"/>
        <v>-1.2273260920504306E-2</v>
      </c>
      <c r="E3538" s="3">
        <f t="shared" si="113"/>
        <v>-1.804585609626376E-2</v>
      </c>
    </row>
    <row r="3539" spans="1:5" x14ac:dyDescent="0.45">
      <c r="A3539" s="2">
        <v>45754</v>
      </c>
      <c r="B3539" s="3">
        <v>73137.899999999994</v>
      </c>
      <c r="C3539" s="3">
        <v>289.35000000000002</v>
      </c>
      <c r="D3539" s="3">
        <f t="shared" si="112"/>
        <v>-2.999216268886231E-2</v>
      </c>
      <c r="E3539" s="3">
        <f t="shared" si="113"/>
        <v>-1.5262235719929155E-2</v>
      </c>
    </row>
    <row r="3540" spans="1:5" x14ac:dyDescent="0.45">
      <c r="A3540" s="2">
        <v>45755</v>
      </c>
      <c r="B3540" s="3">
        <v>74227.08</v>
      </c>
      <c r="C3540" s="3">
        <v>288.8</v>
      </c>
      <c r="D3540" s="3">
        <f t="shared" si="112"/>
        <v>1.4782342910552644E-2</v>
      </c>
      <c r="E3540" s="3">
        <f t="shared" si="113"/>
        <v>-1.9026210011766401E-3</v>
      </c>
    </row>
    <row r="3541" spans="1:5" x14ac:dyDescent="0.45">
      <c r="A3541" s="2">
        <v>45756</v>
      </c>
      <c r="B3541" s="3">
        <v>73847.149999999994</v>
      </c>
      <c r="C3541" s="3">
        <v>293.3</v>
      </c>
      <c r="D3541" s="3">
        <f t="shared" si="112"/>
        <v>-5.1316266678289148E-3</v>
      </c>
      <c r="E3541" s="3">
        <f t="shared" si="113"/>
        <v>1.5461568964734232E-2</v>
      </c>
    </row>
    <row r="3542" spans="1:5" x14ac:dyDescent="0.45">
      <c r="A3542" s="2">
        <v>45758</v>
      </c>
      <c r="B3542" s="3">
        <v>75157.259999999995</v>
      </c>
      <c r="C3542" s="3">
        <v>304.10000000000002</v>
      </c>
      <c r="D3542" s="3">
        <f t="shared" si="112"/>
        <v>1.7585301826580635E-2</v>
      </c>
      <c r="E3542" s="3">
        <f t="shared" si="113"/>
        <v>3.6160618699913584E-2</v>
      </c>
    </row>
    <row r="3543" spans="1:5" x14ac:dyDescent="0.45">
      <c r="A3543" s="2">
        <v>45762</v>
      </c>
      <c r="B3543" s="3">
        <v>76734.89</v>
      </c>
      <c r="C3543" s="3">
        <v>304.45</v>
      </c>
      <c r="D3543" s="3">
        <f t="shared" si="112"/>
        <v>2.0773775801835814E-2</v>
      </c>
      <c r="E3543" s="3">
        <f t="shared" si="113"/>
        <v>1.1502753712639788E-3</v>
      </c>
    </row>
    <row r="3544" spans="1:5" x14ac:dyDescent="0.45">
      <c r="A3544" s="2">
        <v>45763</v>
      </c>
      <c r="B3544" s="3">
        <v>77044.289999999994</v>
      </c>
      <c r="C3544" s="3">
        <v>305.85000000000002</v>
      </c>
      <c r="D3544" s="3">
        <f t="shared" si="112"/>
        <v>4.0239571766423074E-3</v>
      </c>
      <c r="E3544" s="3">
        <f t="shared" si="113"/>
        <v>4.5879156339907962E-3</v>
      </c>
    </row>
    <row r="3545" spans="1:5" x14ac:dyDescent="0.45">
      <c r="A3545" s="2">
        <v>45764</v>
      </c>
      <c r="B3545" s="3">
        <v>78553.2</v>
      </c>
      <c r="C3545" s="3">
        <v>308.8</v>
      </c>
      <c r="D3545" s="3">
        <f t="shared" si="112"/>
        <v>1.9395650957286629E-2</v>
      </c>
      <c r="E3545" s="3">
        <f t="shared" si="113"/>
        <v>9.5990324620470885E-3</v>
      </c>
    </row>
    <row r="3546" spans="1:5" x14ac:dyDescent="0.45">
      <c r="A3546" s="2">
        <v>45768</v>
      </c>
      <c r="B3546" s="3">
        <v>79408.5</v>
      </c>
      <c r="C3546" s="3">
        <v>319.95</v>
      </c>
      <c r="D3546" s="3">
        <f t="shared" si="112"/>
        <v>1.0829313165022846E-2</v>
      </c>
      <c r="E3546" s="3">
        <f t="shared" si="113"/>
        <v>3.5470915434848177E-2</v>
      </c>
    </row>
    <row r="3547" spans="1:5" x14ac:dyDescent="0.45">
      <c r="A3547" s="2">
        <v>45769</v>
      </c>
      <c r="B3547" s="3">
        <v>79595.59</v>
      </c>
      <c r="C3547" s="3">
        <v>312.60000000000002</v>
      </c>
      <c r="D3547" s="3">
        <f t="shared" si="112"/>
        <v>2.3532738854759351E-3</v>
      </c>
      <c r="E3547" s="3">
        <f t="shared" si="113"/>
        <v>-2.3240315598092958E-2</v>
      </c>
    </row>
    <row r="3548" spans="1:5" x14ac:dyDescent="0.45">
      <c r="A3548" s="2">
        <v>45770</v>
      </c>
      <c r="B3548" s="3">
        <v>80116.490000000005</v>
      </c>
      <c r="C3548" s="3">
        <v>314.89999999999998</v>
      </c>
      <c r="D3548" s="3">
        <f t="shared" si="112"/>
        <v>6.5230112463528023E-3</v>
      </c>
      <c r="E3548" s="3">
        <f t="shared" si="113"/>
        <v>7.3307101196025994E-3</v>
      </c>
    </row>
    <row r="3549" spans="1:5" x14ac:dyDescent="0.45">
      <c r="A3549" s="2">
        <v>45771</v>
      </c>
      <c r="B3549" s="3">
        <v>79801.429999999993</v>
      </c>
      <c r="C3549" s="3">
        <v>314.3</v>
      </c>
      <c r="D3549" s="3">
        <f t="shared" si="112"/>
        <v>-3.9402764571878591E-3</v>
      </c>
      <c r="E3549" s="3">
        <f t="shared" si="113"/>
        <v>-1.9071843034568997E-3</v>
      </c>
    </row>
    <row r="3550" spans="1:5" x14ac:dyDescent="0.45">
      <c r="A3550" s="2">
        <v>45772</v>
      </c>
      <c r="B3550" s="3">
        <v>79212.53</v>
      </c>
      <c r="C3550" s="3">
        <v>306.25</v>
      </c>
      <c r="D3550" s="3">
        <f t="shared" si="112"/>
        <v>-7.4069307170356868E-3</v>
      </c>
      <c r="E3550" s="3">
        <f t="shared" si="113"/>
        <v>-2.5946181944585162E-2</v>
      </c>
    </row>
    <row r="3551" spans="1:5" x14ac:dyDescent="0.45">
      <c r="A3551" s="2">
        <v>45775</v>
      </c>
      <c r="B3551" s="3">
        <v>80218.37</v>
      </c>
      <c r="C3551" s="3">
        <v>308.64999999999998</v>
      </c>
      <c r="D3551" s="3">
        <f t="shared" si="112"/>
        <v>1.2618047635388815E-2</v>
      </c>
      <c r="E3551" s="3">
        <f t="shared" si="113"/>
        <v>7.8061869809680703E-3</v>
      </c>
    </row>
    <row r="3552" spans="1:5" x14ac:dyDescent="0.45">
      <c r="A3552" s="2">
        <v>45776</v>
      </c>
      <c r="B3552" s="3">
        <v>80288.38</v>
      </c>
      <c r="C3552" s="3">
        <v>303.25</v>
      </c>
      <c r="D3552" s="3">
        <f t="shared" si="112"/>
        <v>8.7236212109341709E-4</v>
      </c>
      <c r="E3552" s="3">
        <f t="shared" si="113"/>
        <v>-1.7650401015745353E-2</v>
      </c>
    </row>
    <row r="3553" spans="1:5" x14ac:dyDescent="0.45">
      <c r="A3553" s="2">
        <v>45777</v>
      </c>
      <c r="B3553" s="3">
        <v>80242.240000000005</v>
      </c>
      <c r="C3553" s="3">
        <v>306.64999999999998</v>
      </c>
      <c r="D3553" s="3">
        <f t="shared" si="112"/>
        <v>-5.7484361887548234E-4</v>
      </c>
      <c r="E3553" s="3">
        <f t="shared" si="113"/>
        <v>1.1149484247833191E-2</v>
      </c>
    </row>
    <row r="3554" spans="1:5" x14ac:dyDescent="0.45">
      <c r="A3554" s="2">
        <v>45779</v>
      </c>
      <c r="B3554" s="3">
        <v>80501.990000000005</v>
      </c>
      <c r="C3554" s="3">
        <v>304.05</v>
      </c>
      <c r="D3554" s="3">
        <f t="shared" si="112"/>
        <v>3.2318451005905664E-3</v>
      </c>
      <c r="E3554" s="3">
        <f t="shared" si="113"/>
        <v>-8.5148705058738366E-3</v>
      </c>
    </row>
    <row r="3555" spans="1:5" x14ac:dyDescent="0.45">
      <c r="A3555" s="2">
        <v>45782</v>
      </c>
      <c r="B3555" s="3">
        <v>80796.84</v>
      </c>
      <c r="C3555" s="3">
        <v>308.55</v>
      </c>
      <c r="D3555" s="3">
        <f t="shared" si="112"/>
        <v>3.6559512355194565E-3</v>
      </c>
      <c r="E3555" s="3">
        <f t="shared" si="113"/>
        <v>1.4691743200957036E-2</v>
      </c>
    </row>
    <row r="3556" spans="1:5" x14ac:dyDescent="0.45">
      <c r="A3556" s="2">
        <v>45783</v>
      </c>
      <c r="B3556" s="3">
        <v>80641.070000000007</v>
      </c>
      <c r="C3556" s="3">
        <v>307.7</v>
      </c>
      <c r="D3556" s="3">
        <f t="shared" si="112"/>
        <v>-1.9297827671506955E-3</v>
      </c>
      <c r="E3556" s="3">
        <f t="shared" si="113"/>
        <v>-2.7586224390797514E-3</v>
      </c>
    </row>
    <row r="3557" spans="1:5" x14ac:dyDescent="0.45">
      <c r="A3557" s="2">
        <v>45784</v>
      </c>
      <c r="B3557" s="3">
        <v>80746.78</v>
      </c>
      <c r="C3557" s="3">
        <v>311.25</v>
      </c>
      <c r="D3557" s="3">
        <f t="shared" si="112"/>
        <v>1.3100120624653755E-3</v>
      </c>
      <c r="E3557" s="3">
        <f t="shared" si="113"/>
        <v>1.147116545092124E-2</v>
      </c>
    </row>
    <row r="3558" spans="1:5" x14ac:dyDescent="0.45">
      <c r="A3558" s="2">
        <v>45785</v>
      </c>
      <c r="B3558" s="3">
        <v>80334.81</v>
      </c>
      <c r="C3558" s="3">
        <v>307.85000000000002</v>
      </c>
      <c r="D3558" s="3">
        <f t="shared" si="112"/>
        <v>-5.1150587503582621E-3</v>
      </c>
      <c r="E3558" s="3">
        <f t="shared" si="113"/>
        <v>-1.0983796421698132E-2</v>
      </c>
    </row>
    <row r="3559" spans="1:5" x14ac:dyDescent="0.45">
      <c r="A3559" s="2">
        <v>45786</v>
      </c>
      <c r="B3559" s="3">
        <v>79454.47</v>
      </c>
      <c r="C3559" s="3">
        <v>299.55</v>
      </c>
      <c r="D3559" s="3">
        <f t="shared" si="112"/>
        <v>-1.1018873196378258E-2</v>
      </c>
      <c r="E3559" s="3">
        <f t="shared" si="113"/>
        <v>-2.7331302827285284E-2</v>
      </c>
    </row>
    <row r="3560" spans="1:5" x14ac:dyDescent="0.45">
      <c r="A3560" s="2">
        <v>45789</v>
      </c>
      <c r="B3560" s="3">
        <v>82429.899999999994</v>
      </c>
      <c r="C3560" s="3">
        <v>309.05</v>
      </c>
      <c r="D3560" s="3">
        <f t="shared" si="112"/>
        <v>3.6764081973884769E-2</v>
      </c>
      <c r="E3560" s="3">
        <f t="shared" si="113"/>
        <v>3.1221727575348513E-2</v>
      </c>
    </row>
    <row r="3561" spans="1:5" x14ac:dyDescent="0.45">
      <c r="A3561" s="2">
        <v>45790</v>
      </c>
      <c r="B3561" s="3">
        <v>81148.22</v>
      </c>
      <c r="C3561" s="3">
        <v>298.55</v>
      </c>
      <c r="D3561" s="3">
        <f t="shared" si="112"/>
        <v>-1.5670876142664651E-2</v>
      </c>
      <c r="E3561" s="3">
        <f t="shared" si="113"/>
        <v>-3.456565311228095E-2</v>
      </c>
    </row>
    <row r="3562" spans="1:5" x14ac:dyDescent="0.45">
      <c r="A3562" s="2">
        <v>45791</v>
      </c>
      <c r="B3562" s="3">
        <v>81330.559999999998</v>
      </c>
      <c r="C3562" s="3">
        <v>296.05</v>
      </c>
      <c r="D3562" s="3">
        <f t="shared" si="112"/>
        <v>2.2444786518905149E-3</v>
      </c>
      <c r="E3562" s="3">
        <f t="shared" si="113"/>
        <v>-8.4090640152163151E-3</v>
      </c>
    </row>
    <row r="3563" spans="1:5" x14ac:dyDescent="0.45">
      <c r="A3563" s="2">
        <v>45792</v>
      </c>
      <c r="B3563" s="3">
        <v>82530.740000000005</v>
      </c>
      <c r="C3563" s="3">
        <v>299.60000000000002</v>
      </c>
      <c r="D3563" s="3">
        <f t="shared" si="112"/>
        <v>1.4648992317767996E-2</v>
      </c>
      <c r="E3563" s="3">
        <f t="shared" si="113"/>
        <v>1.1919892665279408E-2</v>
      </c>
    </row>
    <row r="3564" spans="1:5" x14ac:dyDescent="0.45">
      <c r="A3564" s="2">
        <v>45793</v>
      </c>
      <c r="B3564" s="3">
        <v>82330.59</v>
      </c>
      <c r="C3564" s="3">
        <v>300.3</v>
      </c>
      <c r="D3564" s="3">
        <f t="shared" si="112"/>
        <v>-2.4281024341493689E-3</v>
      </c>
      <c r="E3564" s="3">
        <f t="shared" si="113"/>
        <v>2.3337233462200966E-3</v>
      </c>
    </row>
    <row r="3565" spans="1:5" x14ac:dyDescent="0.45">
      <c r="A3565" s="2">
        <v>45796</v>
      </c>
      <c r="B3565" s="3">
        <v>82059.42</v>
      </c>
      <c r="C3565" s="3">
        <v>304.10000000000002</v>
      </c>
      <c r="D3565" s="3">
        <f t="shared" si="112"/>
        <v>-3.2991085766561697E-3</v>
      </c>
      <c r="E3565" s="3">
        <f t="shared" si="113"/>
        <v>1.2574619694034384E-2</v>
      </c>
    </row>
    <row r="3566" spans="1:5" x14ac:dyDescent="0.45">
      <c r="A3566" s="2">
        <v>45797</v>
      </c>
      <c r="B3566" s="3">
        <v>81186.44</v>
      </c>
      <c r="C3566" s="3">
        <v>298</v>
      </c>
      <c r="D3566" s="3">
        <f t="shared" si="112"/>
        <v>-1.0695380841525699E-2</v>
      </c>
      <c r="E3566" s="3">
        <f t="shared" si="113"/>
        <v>-2.0263108177914543E-2</v>
      </c>
    </row>
    <row r="3567" spans="1:5" x14ac:dyDescent="0.45">
      <c r="A3567" s="2">
        <v>45798</v>
      </c>
      <c r="B3567" s="3">
        <v>81596.63</v>
      </c>
      <c r="C3567" s="3">
        <v>296.14999999999998</v>
      </c>
      <c r="D3567" s="3">
        <f t="shared" si="112"/>
        <v>5.0397239491148452E-3</v>
      </c>
      <c r="E3567" s="3">
        <f t="shared" si="113"/>
        <v>-6.2274037824303023E-3</v>
      </c>
    </row>
    <row r="3568" spans="1:5" x14ac:dyDescent="0.45">
      <c r="A3568" s="2">
        <v>45799</v>
      </c>
      <c r="B3568" s="3">
        <v>80951.990000000005</v>
      </c>
      <c r="C3568" s="3">
        <v>291</v>
      </c>
      <c r="D3568" s="3">
        <f t="shared" si="112"/>
        <v>-7.9316992001674073E-3</v>
      </c>
      <c r="E3568" s="3">
        <f t="shared" si="113"/>
        <v>-1.7542815551481544E-2</v>
      </c>
    </row>
    <row r="3569" spans="1:5" x14ac:dyDescent="0.45">
      <c r="A3569" s="2">
        <v>45800</v>
      </c>
      <c r="B3569" s="3">
        <v>81721.08</v>
      </c>
      <c r="C3569" s="3">
        <v>298.05</v>
      </c>
      <c r="D3569" s="3">
        <f t="shared" si="112"/>
        <v>9.4557228236654099E-3</v>
      </c>
      <c r="E3569" s="3">
        <f t="shared" si="113"/>
        <v>2.3937990494443166E-2</v>
      </c>
    </row>
    <row r="3570" spans="1:5" x14ac:dyDescent="0.45">
      <c r="A3570" s="2">
        <v>45803</v>
      </c>
      <c r="B3570" s="3">
        <v>82176.45</v>
      </c>
      <c r="C3570" s="3">
        <v>296.7</v>
      </c>
      <c r="D3570" s="3">
        <f t="shared" si="112"/>
        <v>5.5567789427261984E-3</v>
      </c>
      <c r="E3570" s="3">
        <f t="shared" si="113"/>
        <v>-4.5397303691594683E-3</v>
      </c>
    </row>
    <row r="3571" spans="1:5" x14ac:dyDescent="0.45">
      <c r="A3571" s="2">
        <v>45804</v>
      </c>
      <c r="B3571" s="3">
        <v>81551.63</v>
      </c>
      <c r="C3571" s="3">
        <v>294.75</v>
      </c>
      <c r="D3571" s="3">
        <f t="shared" si="112"/>
        <v>-7.6324480589944829E-3</v>
      </c>
      <c r="E3571" s="3">
        <f t="shared" si="113"/>
        <v>-6.5939878792957958E-3</v>
      </c>
    </row>
    <row r="3572" spans="1:5" x14ac:dyDescent="0.45">
      <c r="A3572" s="2">
        <v>45805</v>
      </c>
      <c r="B3572" s="3">
        <v>81312.320000000007</v>
      </c>
      <c r="C3572" s="3">
        <v>291.2</v>
      </c>
      <c r="D3572" s="3">
        <f t="shared" si="112"/>
        <v>-2.9387740163643677E-3</v>
      </c>
      <c r="E3572" s="3">
        <f t="shared" si="113"/>
        <v>-1.2117223094949456E-2</v>
      </c>
    </row>
    <row r="3573" spans="1:5" x14ac:dyDescent="0.45">
      <c r="A3573" s="2">
        <v>45806</v>
      </c>
      <c r="B3573" s="3">
        <v>81633.02</v>
      </c>
      <c r="C3573" s="3">
        <v>293.2</v>
      </c>
      <c r="D3573" s="3">
        <f t="shared" si="112"/>
        <v>3.9362943928080039E-3</v>
      </c>
      <c r="E3573" s="3">
        <f t="shared" si="113"/>
        <v>6.8446536899654988E-3</v>
      </c>
    </row>
    <row r="3574" spans="1:5" x14ac:dyDescent="0.45">
      <c r="A3574" s="2">
        <v>45807</v>
      </c>
      <c r="B3574" s="3">
        <v>81451.009999999995</v>
      </c>
      <c r="C3574" s="3">
        <v>289.89999999999998</v>
      </c>
      <c r="D3574" s="3">
        <f t="shared" si="112"/>
        <v>-2.2321017645775187E-3</v>
      </c>
      <c r="E3574" s="3">
        <f t="shared" si="113"/>
        <v>-1.1318934084886642E-2</v>
      </c>
    </row>
    <row r="3575" spans="1:5" x14ac:dyDescent="0.45">
      <c r="A3575" s="2">
        <v>45810</v>
      </c>
      <c r="B3575" s="3">
        <v>81373.75</v>
      </c>
      <c r="C3575" s="3">
        <v>293</v>
      </c>
      <c r="D3575" s="3">
        <f t="shared" si="112"/>
        <v>-9.4899578907183544E-4</v>
      </c>
      <c r="E3575" s="3">
        <f t="shared" si="113"/>
        <v>1.0636573089457509E-2</v>
      </c>
    </row>
    <row r="3576" spans="1:5" x14ac:dyDescent="0.45">
      <c r="A3576" s="2">
        <v>45811</v>
      </c>
      <c r="B3576" s="3">
        <v>80737.509999999995</v>
      </c>
      <c r="C3576" s="3">
        <v>288.25</v>
      </c>
      <c r="D3576" s="3">
        <f t="shared" si="112"/>
        <v>-7.8494642108835073E-3</v>
      </c>
      <c r="E3576" s="3">
        <f t="shared" si="113"/>
        <v>-1.6344449867898861E-2</v>
      </c>
    </row>
    <row r="3577" spans="1:5" x14ac:dyDescent="0.45">
      <c r="A3577" s="2">
        <v>45812</v>
      </c>
      <c r="B3577" s="3">
        <v>80998.25</v>
      </c>
      <c r="C3577" s="3">
        <v>288.60000000000002</v>
      </c>
      <c r="D3577" s="3">
        <f t="shared" si="112"/>
        <v>3.2242742840114039E-3</v>
      </c>
      <c r="E3577" s="3">
        <f t="shared" si="113"/>
        <v>1.2134871906021682E-3</v>
      </c>
    </row>
    <row r="3578" spans="1:5" x14ac:dyDescent="0.45">
      <c r="A3578" s="2">
        <v>45813</v>
      </c>
      <c r="B3578" s="3">
        <v>81442.039999999994</v>
      </c>
      <c r="C3578" s="3">
        <v>294.25</v>
      </c>
      <c r="D3578" s="3">
        <f t="shared" si="112"/>
        <v>5.4640521036252087E-3</v>
      </c>
      <c r="E3578" s="3">
        <f t="shared" si="113"/>
        <v>1.9388099800615597E-2</v>
      </c>
    </row>
    <row r="3579" spans="1:5" x14ac:dyDescent="0.45">
      <c r="A3579" s="2">
        <v>45814</v>
      </c>
      <c r="B3579" s="3">
        <v>82188.990000000005</v>
      </c>
      <c r="C3579" s="3">
        <v>295.85000000000002</v>
      </c>
      <c r="D3579" s="3">
        <f t="shared" si="112"/>
        <v>9.1297498809147174E-3</v>
      </c>
      <c r="E3579" s="3">
        <f t="shared" si="113"/>
        <v>5.4228229823170843E-3</v>
      </c>
    </row>
    <row r="3580" spans="1:5" x14ac:dyDescent="0.45">
      <c r="A3580" s="2">
        <v>45817</v>
      </c>
      <c r="B3580" s="3">
        <v>82445.210000000006</v>
      </c>
      <c r="C3580" s="3">
        <v>300.60000000000002</v>
      </c>
      <c r="D3580" s="3">
        <f t="shared" si="112"/>
        <v>3.1126000170178837E-3</v>
      </c>
      <c r="E3580" s="3">
        <f t="shared" si="113"/>
        <v>1.5927908196171091E-2</v>
      </c>
    </row>
    <row r="3581" spans="1:5" x14ac:dyDescent="0.45">
      <c r="A3581" s="2">
        <v>45818</v>
      </c>
      <c r="B3581" s="3">
        <v>82391.72</v>
      </c>
      <c r="C3581" s="3">
        <v>301.14999999999998</v>
      </c>
      <c r="D3581" s="3">
        <f t="shared" si="112"/>
        <v>-6.4900507280179847E-4</v>
      </c>
      <c r="E3581" s="3">
        <f t="shared" si="113"/>
        <v>1.8280021708558473E-3</v>
      </c>
    </row>
    <row r="3582" spans="1:5" x14ac:dyDescent="0.45">
      <c r="A3582" s="2">
        <v>45819</v>
      </c>
      <c r="B3582" s="3">
        <v>82515.14</v>
      </c>
      <c r="C3582" s="3">
        <v>295.45</v>
      </c>
      <c r="D3582" s="3">
        <f t="shared" si="112"/>
        <v>1.4968452257717914E-3</v>
      </c>
      <c r="E3582" s="3">
        <f t="shared" si="113"/>
        <v>-1.9108861698046473E-2</v>
      </c>
    </row>
    <row r="3583" spans="1:5" x14ac:dyDescent="0.45">
      <c r="A3583" s="2">
        <v>45820</v>
      </c>
      <c r="B3583" s="3">
        <v>81691.98</v>
      </c>
      <c r="C3583" s="3">
        <v>288.8</v>
      </c>
      <c r="D3583" s="3">
        <f t="shared" si="112"/>
        <v>-1.0025958622437882E-2</v>
      </c>
      <c r="E3583" s="3">
        <f t="shared" si="113"/>
        <v>-2.2765210773012318E-2</v>
      </c>
    </row>
    <row r="3584" spans="1:5" x14ac:dyDescent="0.45">
      <c r="A3584" s="2">
        <v>45821</v>
      </c>
      <c r="B3584" s="3">
        <v>81118.600000000006</v>
      </c>
      <c r="C3584" s="3">
        <v>285.7</v>
      </c>
      <c r="D3584" s="3">
        <f t="shared" si="112"/>
        <v>-7.0435517215645229E-3</v>
      </c>
      <c r="E3584" s="3">
        <f t="shared" si="113"/>
        <v>-1.0792097781943812E-2</v>
      </c>
    </row>
    <row r="3585" spans="1:5" x14ac:dyDescent="0.45">
      <c r="A3585" s="2">
        <v>45824</v>
      </c>
      <c r="B3585" s="3">
        <v>81796.149999999994</v>
      </c>
      <c r="C3585" s="3">
        <v>288.64999999999998</v>
      </c>
      <c r="D3585" s="3">
        <f t="shared" si="112"/>
        <v>8.3178951750893151E-3</v>
      </c>
      <c r="E3585" s="3">
        <f t="shared" si="113"/>
        <v>1.02725722702152E-2</v>
      </c>
    </row>
    <row r="3586" spans="1:5" x14ac:dyDescent="0.45">
      <c r="A3586" s="2">
        <v>45825</v>
      </c>
      <c r="B3586" s="3">
        <v>81583.3</v>
      </c>
      <c r="C3586" s="3">
        <v>288.60000000000002</v>
      </c>
      <c r="D3586" s="3">
        <f t="shared" si="112"/>
        <v>-2.6055923241490118E-3</v>
      </c>
      <c r="E3586" s="3">
        <f t="shared" si="113"/>
        <v>-1.7323516717197035E-4</v>
      </c>
    </row>
    <row r="3587" spans="1:5" x14ac:dyDescent="0.45">
      <c r="A3587" s="2">
        <v>45826</v>
      </c>
      <c r="B3587" s="3">
        <v>81444.66</v>
      </c>
      <c r="C3587" s="3">
        <v>287.45</v>
      </c>
      <c r="D3587" s="3">
        <f t="shared" si="112"/>
        <v>-1.700812957741382E-3</v>
      </c>
      <c r="E3587" s="3">
        <f t="shared" si="113"/>
        <v>-3.9927142704706577E-3</v>
      </c>
    </row>
    <row r="3588" spans="1:5" x14ac:dyDescent="0.45">
      <c r="A3588" s="2">
        <v>45827</v>
      </c>
      <c r="B3588" s="3">
        <v>81361.87</v>
      </c>
      <c r="C3588" s="3">
        <v>286.3</v>
      </c>
      <c r="D3588" s="3">
        <f t="shared" si="112"/>
        <v>-1.0170354608778341E-3</v>
      </c>
      <c r="E3588" s="3">
        <f t="shared" si="113"/>
        <v>-4.0087199652304607E-3</v>
      </c>
    </row>
    <row r="3589" spans="1:5" x14ac:dyDescent="0.45">
      <c r="A3589" s="2">
        <v>45828</v>
      </c>
      <c r="B3589" s="3">
        <v>82408.17</v>
      </c>
      <c r="C3589" s="3">
        <v>293.10000000000002</v>
      </c>
      <c r="D3589" s="3">
        <f t="shared" si="112"/>
        <v>1.2777846742154911E-2</v>
      </c>
      <c r="E3589" s="3">
        <f t="shared" si="113"/>
        <v>2.3473635612777488E-2</v>
      </c>
    </row>
    <row r="3590" spans="1:5" x14ac:dyDescent="0.45">
      <c r="A3590" s="2">
        <v>45831</v>
      </c>
      <c r="B3590" s="3">
        <v>81896.789999999994</v>
      </c>
      <c r="C3590" s="3">
        <v>290.3</v>
      </c>
      <c r="D3590" s="3">
        <f t="shared" ref="D3590:D3653" si="114">LN(B3590/B3589)</f>
        <v>-6.2247865340592512E-3</v>
      </c>
      <c r="E3590" s="3">
        <f t="shared" ref="E3590:E3653" si="115">LN(C3590/C3589)</f>
        <v>-9.5989766862625663E-3</v>
      </c>
    </row>
    <row r="3591" spans="1:5" x14ac:dyDescent="0.45">
      <c r="A3591" s="2">
        <v>45832</v>
      </c>
      <c r="B3591" s="3">
        <v>82055.11</v>
      </c>
      <c r="C3591" s="3">
        <v>285.89999999999998</v>
      </c>
      <c r="D3591" s="3">
        <f t="shared" si="114"/>
        <v>1.931298743229152E-3</v>
      </c>
      <c r="E3591" s="3">
        <f t="shared" si="115"/>
        <v>-1.5272771702318168E-2</v>
      </c>
    </row>
    <row r="3592" spans="1:5" x14ac:dyDescent="0.45">
      <c r="A3592" s="2">
        <v>45833</v>
      </c>
      <c r="B3592" s="3">
        <v>82755.509999999995</v>
      </c>
      <c r="C3592" s="3">
        <v>290.45</v>
      </c>
      <c r="D3592" s="3">
        <f t="shared" si="114"/>
        <v>8.4995034481868646E-3</v>
      </c>
      <c r="E3592" s="3">
        <f t="shared" si="115"/>
        <v>1.5789345110275448E-2</v>
      </c>
    </row>
    <row r="3593" spans="1:5" x14ac:dyDescent="0.45">
      <c r="A3593" s="2">
        <v>45834</v>
      </c>
      <c r="B3593" s="3">
        <v>83755.87</v>
      </c>
      <c r="C3593" s="3">
        <v>293.39999999999998</v>
      </c>
      <c r="D3593" s="3">
        <f t="shared" si="114"/>
        <v>1.2015659658121529E-2</v>
      </c>
      <c r="E3593" s="3">
        <f t="shared" si="115"/>
        <v>1.0105421270339837E-2</v>
      </c>
    </row>
    <row r="3594" spans="1:5" x14ac:dyDescent="0.45">
      <c r="A3594" s="2">
        <v>45835</v>
      </c>
      <c r="B3594" s="3">
        <v>84058.9</v>
      </c>
      <c r="C3594" s="3">
        <v>299.60000000000002</v>
      </c>
      <c r="D3594" s="3">
        <f t="shared" si="114"/>
        <v>3.6114857990626678E-3</v>
      </c>
      <c r="E3594" s="3">
        <f t="shared" si="115"/>
        <v>2.0911385934183267E-2</v>
      </c>
    </row>
    <row r="3595" spans="1:5" x14ac:dyDescent="0.45">
      <c r="A3595" s="2">
        <v>45838</v>
      </c>
      <c r="B3595" s="3">
        <v>83606.460000000006</v>
      </c>
      <c r="C3595" s="3">
        <v>299.8</v>
      </c>
      <c r="D3595" s="3">
        <f t="shared" si="114"/>
        <v>-5.396953767773968E-3</v>
      </c>
      <c r="E3595" s="3">
        <f t="shared" si="115"/>
        <v>6.6733402543292411E-4</v>
      </c>
    </row>
    <row r="3596" spans="1:5" x14ac:dyDescent="0.45">
      <c r="A3596" s="2">
        <v>45839</v>
      </c>
      <c r="B3596" s="3">
        <v>83697.289999999994</v>
      </c>
      <c r="C3596" s="3">
        <v>297.64999999999998</v>
      </c>
      <c r="D3596" s="3">
        <f t="shared" si="114"/>
        <v>1.0858095998911679E-3</v>
      </c>
      <c r="E3596" s="3">
        <f t="shared" si="115"/>
        <v>-7.1972860690983059E-3</v>
      </c>
    </row>
    <row r="3597" spans="1:5" x14ac:dyDescent="0.45">
      <c r="A3597" s="2">
        <v>45840</v>
      </c>
      <c r="B3597" s="3">
        <v>83409.69</v>
      </c>
      <c r="C3597" s="3">
        <v>294.85000000000002</v>
      </c>
      <c r="D3597" s="3">
        <f t="shared" si="114"/>
        <v>-3.4421097665683171E-3</v>
      </c>
      <c r="E3597" s="3">
        <f t="shared" si="115"/>
        <v>-9.451547152885785E-3</v>
      </c>
    </row>
    <row r="3598" spans="1:5" x14ac:dyDescent="0.45">
      <c r="A3598" s="2">
        <v>45841</v>
      </c>
      <c r="B3598" s="3">
        <v>83239.47</v>
      </c>
      <c r="C3598" s="3">
        <v>293.7</v>
      </c>
      <c r="D3598" s="3">
        <f t="shared" si="114"/>
        <v>-2.0428552918917158E-3</v>
      </c>
      <c r="E3598" s="3">
        <f t="shared" si="115"/>
        <v>-3.9079142419388502E-3</v>
      </c>
    </row>
    <row r="3599" spans="1:5" x14ac:dyDescent="0.45">
      <c r="A3599" s="2">
        <v>45842</v>
      </c>
      <c r="B3599" s="3">
        <v>83432.89</v>
      </c>
      <c r="C3599" s="3">
        <v>294.10000000000002</v>
      </c>
      <c r="D3599" s="3">
        <f t="shared" si="114"/>
        <v>2.3209617578732696E-3</v>
      </c>
      <c r="E3599" s="3">
        <f t="shared" si="115"/>
        <v>1.361007355374997E-3</v>
      </c>
    </row>
    <row r="3600" spans="1:5" x14ac:dyDescent="0.45">
      <c r="A3600" s="2">
        <v>45845</v>
      </c>
      <c r="B3600" s="3">
        <v>83442.5</v>
      </c>
      <c r="C3600" s="3">
        <v>296</v>
      </c>
      <c r="D3600" s="3">
        <f t="shared" si="114"/>
        <v>1.1517576091502651E-4</v>
      </c>
      <c r="E3600" s="3">
        <f t="shared" si="115"/>
        <v>6.439608764111036E-3</v>
      </c>
    </row>
    <row r="3601" spans="1:5" x14ac:dyDescent="0.45">
      <c r="A3601" s="2">
        <v>45846</v>
      </c>
      <c r="B3601" s="3">
        <v>83712.509999999995</v>
      </c>
      <c r="C3601" s="3">
        <v>297.85000000000002</v>
      </c>
      <c r="D3601" s="3">
        <f t="shared" si="114"/>
        <v>3.2306567998694096E-3</v>
      </c>
      <c r="E3601" s="3">
        <f t="shared" si="115"/>
        <v>6.2305497506361628E-3</v>
      </c>
    </row>
    <row r="3602" spans="1:5" x14ac:dyDescent="0.45">
      <c r="A3602" s="2">
        <v>45847</v>
      </c>
      <c r="B3602" s="3">
        <v>83536.08</v>
      </c>
      <c r="C3602" s="3">
        <v>299.60000000000002</v>
      </c>
      <c r="D3602" s="3">
        <f t="shared" si="114"/>
        <v>-2.109794353952186E-3</v>
      </c>
      <c r="E3602" s="3">
        <f t="shared" si="115"/>
        <v>5.8582475683680701E-3</v>
      </c>
    </row>
    <row r="3603" spans="1:5" x14ac:dyDescent="0.45">
      <c r="A3603" s="2">
        <v>45848</v>
      </c>
      <c r="B3603" s="3">
        <v>83190.28</v>
      </c>
      <c r="C3603" s="3">
        <v>299.14999999999998</v>
      </c>
      <c r="D3603" s="3">
        <f t="shared" si="114"/>
        <v>-4.148120259392798E-3</v>
      </c>
      <c r="E3603" s="3">
        <f t="shared" si="115"/>
        <v>-1.5031318070237937E-3</v>
      </c>
    </row>
    <row r="3604" spans="1:5" x14ac:dyDescent="0.45">
      <c r="A3604" s="2">
        <v>45849</v>
      </c>
      <c r="B3604" s="3">
        <v>82500.47</v>
      </c>
      <c r="C3604" s="3">
        <v>298.60000000000002</v>
      </c>
      <c r="D3604" s="3">
        <f t="shared" si="114"/>
        <v>-8.3265237851848466E-3</v>
      </c>
      <c r="E3604" s="3">
        <f t="shared" si="115"/>
        <v>-1.8402347309506063E-3</v>
      </c>
    </row>
    <row r="3605" spans="1:5" x14ac:dyDescent="0.45">
      <c r="A3605" s="2">
        <v>45852</v>
      </c>
      <c r="B3605" s="3">
        <v>82253.460000000006</v>
      </c>
      <c r="C3605" s="3">
        <v>298.2</v>
      </c>
      <c r="D3605" s="3">
        <f t="shared" si="114"/>
        <v>-2.9985346641082803E-3</v>
      </c>
      <c r="E3605" s="3">
        <f t="shared" si="115"/>
        <v>-1.3404827744520644E-3</v>
      </c>
    </row>
    <row r="3606" spans="1:5" x14ac:dyDescent="0.45">
      <c r="A3606" s="2">
        <v>45853</v>
      </c>
      <c r="B3606" s="3">
        <v>82570.91</v>
      </c>
      <c r="C3606" s="3">
        <v>298.39999999999998</v>
      </c>
      <c r="D3606" s="3">
        <f t="shared" si="114"/>
        <v>3.8519836905301628E-3</v>
      </c>
      <c r="E3606" s="3">
        <f t="shared" si="115"/>
        <v>6.7046599896778368E-4</v>
      </c>
    </row>
    <row r="3607" spans="1:5" x14ac:dyDescent="0.45">
      <c r="A3607" s="2">
        <v>45854</v>
      </c>
      <c r="B3607" s="3">
        <v>82634.48</v>
      </c>
      <c r="C3607" s="3">
        <v>296.89999999999998</v>
      </c>
      <c r="D3607" s="3">
        <f t="shared" si="114"/>
        <v>7.6958751936028597E-4</v>
      </c>
      <c r="E3607" s="3">
        <f t="shared" si="115"/>
        <v>-5.0394865598916427E-3</v>
      </c>
    </row>
    <row r="3608" spans="1:5" x14ac:dyDescent="0.45">
      <c r="A3608" s="2">
        <v>45855</v>
      </c>
      <c r="B3608" s="3">
        <v>82259.240000000005</v>
      </c>
      <c r="C3608" s="3">
        <v>296.64999999999998</v>
      </c>
      <c r="D3608" s="3">
        <f t="shared" si="114"/>
        <v>-4.5513030785865978E-3</v>
      </c>
      <c r="E3608" s="3">
        <f t="shared" si="115"/>
        <v>-8.4238906506181501E-4</v>
      </c>
    </row>
    <row r="3609" spans="1:5" x14ac:dyDescent="0.45">
      <c r="A3609" s="2">
        <v>45856</v>
      </c>
      <c r="B3609" s="3">
        <v>81757.73</v>
      </c>
      <c r="C3609" s="3">
        <v>294.05</v>
      </c>
      <c r="D3609" s="3">
        <f t="shared" si="114"/>
        <v>-6.1153618792050887E-3</v>
      </c>
      <c r="E3609" s="3">
        <f t="shared" si="115"/>
        <v>-8.8031717986871792E-3</v>
      </c>
    </row>
    <row r="3610" spans="1:5" x14ac:dyDescent="0.45">
      <c r="A3610" s="2">
        <v>45859</v>
      </c>
      <c r="B3610" s="3">
        <v>82200.34</v>
      </c>
      <c r="C3610" s="3">
        <v>296.95</v>
      </c>
      <c r="D3610" s="3">
        <f t="shared" si="114"/>
        <v>5.3990764245261651E-3</v>
      </c>
      <c r="E3610" s="3">
        <f t="shared" si="115"/>
        <v>9.8139535559042309E-3</v>
      </c>
    </row>
    <row r="3611" spans="1:5" x14ac:dyDescent="0.45">
      <c r="A3611" s="2">
        <v>45860</v>
      </c>
      <c r="B3611" s="3">
        <v>82186.81</v>
      </c>
      <c r="C3611" s="3">
        <v>297.85000000000002</v>
      </c>
      <c r="D3611" s="3">
        <f t="shared" si="114"/>
        <v>-1.6461140704182662E-4</v>
      </c>
      <c r="E3611" s="3">
        <f t="shared" si="115"/>
        <v>3.0262296128273354E-3</v>
      </c>
    </row>
    <row r="3612" spans="1:5" x14ac:dyDescent="0.45">
      <c r="A3612" s="2">
        <v>45861</v>
      </c>
      <c r="B3612" s="3">
        <v>82726.64</v>
      </c>
      <c r="C3612" s="3">
        <v>299.25</v>
      </c>
      <c r="D3612" s="3">
        <f t="shared" si="114"/>
        <v>6.5468514320486402E-3</v>
      </c>
      <c r="E3612" s="3">
        <f t="shared" si="115"/>
        <v>4.6893403633858997E-3</v>
      </c>
    </row>
    <row r="3613" spans="1:5" x14ac:dyDescent="0.45">
      <c r="A3613" s="2">
        <v>45862</v>
      </c>
      <c r="B3613" s="3">
        <v>82184.17</v>
      </c>
      <c r="C3613" s="3">
        <v>299.25</v>
      </c>
      <c r="D3613" s="3">
        <f t="shared" si="114"/>
        <v>-6.5789738906508266E-3</v>
      </c>
      <c r="E3613" s="3">
        <f t="shared" si="115"/>
        <v>0</v>
      </c>
    </row>
    <row r="3614" spans="1:5" x14ac:dyDescent="0.45">
      <c r="A3614" s="2">
        <v>45863</v>
      </c>
      <c r="B3614" s="3">
        <v>81463.09</v>
      </c>
      <c r="C3614" s="3">
        <v>291.8</v>
      </c>
      <c r="D3614" s="3">
        <f t="shared" si="114"/>
        <v>-8.8126702124193702E-3</v>
      </c>
      <c r="E3614" s="3">
        <f t="shared" si="115"/>
        <v>-2.5210708349397246E-2</v>
      </c>
    </row>
    <row r="3615" spans="1:5" x14ac:dyDescent="0.45">
      <c r="A3615" s="2">
        <v>45866</v>
      </c>
      <c r="B3615" s="3">
        <v>80891.02</v>
      </c>
      <c r="C3615" s="3">
        <v>291.95</v>
      </c>
      <c r="D3615" s="3">
        <f t="shared" si="114"/>
        <v>-7.0472175612989168E-3</v>
      </c>
      <c r="E3615" s="3">
        <f t="shared" si="115"/>
        <v>5.13918640861369E-4</v>
      </c>
    </row>
    <row r="3616" spans="1:5" x14ac:dyDescent="0.45">
      <c r="A3616" s="2">
        <v>45867</v>
      </c>
      <c r="B3616" s="3">
        <v>81337.95</v>
      </c>
      <c r="C3616" s="3">
        <v>293.14999999999998</v>
      </c>
      <c r="D3616" s="3">
        <f t="shared" si="114"/>
        <v>5.509880641996953E-3</v>
      </c>
      <c r="E3616" s="3">
        <f t="shared" si="115"/>
        <v>4.101868680677378E-3</v>
      </c>
    </row>
    <row r="3617" spans="1:5" x14ac:dyDescent="0.45">
      <c r="A3617" s="2">
        <v>45868</v>
      </c>
      <c r="B3617" s="3">
        <v>81481.86</v>
      </c>
      <c r="C3617" s="3">
        <v>289.10000000000002</v>
      </c>
      <c r="D3617" s="3">
        <f t="shared" si="114"/>
        <v>1.7677214765775379E-3</v>
      </c>
      <c r="E3617" s="3">
        <f t="shared" si="115"/>
        <v>-1.3911774387923606E-2</v>
      </c>
    </row>
    <row r="3618" spans="1:5" x14ac:dyDescent="0.45">
      <c r="A3618" s="2">
        <v>45869</v>
      </c>
      <c r="B3618" s="3">
        <v>81185.58</v>
      </c>
      <c r="C3618" s="3">
        <v>290.95</v>
      </c>
      <c r="D3618" s="3">
        <f t="shared" si="114"/>
        <v>-3.6427735953952745E-3</v>
      </c>
      <c r="E3618" s="3">
        <f t="shared" si="115"/>
        <v>6.3787820803784482E-3</v>
      </c>
    </row>
    <row r="3619" spans="1:5" x14ac:dyDescent="0.45">
      <c r="A3619" s="2">
        <v>45870</v>
      </c>
      <c r="B3619" s="3">
        <v>80599.91</v>
      </c>
      <c r="C3619" s="3">
        <v>291.2</v>
      </c>
      <c r="D3619" s="3">
        <f t="shared" si="114"/>
        <v>-7.2401123037891526E-3</v>
      </c>
      <c r="E3619" s="3">
        <f t="shared" si="115"/>
        <v>8.5888521985189948E-4</v>
      </c>
    </row>
    <row r="3620" spans="1:5" x14ac:dyDescent="0.45">
      <c r="A3620" s="2">
        <v>45873</v>
      </c>
      <c r="B3620" s="3">
        <v>81018.720000000001</v>
      </c>
      <c r="C3620" s="3">
        <v>288</v>
      </c>
      <c r="D3620" s="3">
        <f t="shared" si="114"/>
        <v>5.1827061948420319E-3</v>
      </c>
      <c r="E3620" s="3">
        <f t="shared" si="115"/>
        <v>-1.1049836186584935E-2</v>
      </c>
    </row>
    <row r="3621" spans="1:5" x14ac:dyDescent="0.45">
      <c r="A3621" s="2">
        <v>45874</v>
      </c>
      <c r="B3621" s="3">
        <v>80710.25</v>
      </c>
      <c r="C3621" s="3">
        <v>285.95</v>
      </c>
      <c r="D3621" s="3">
        <f t="shared" si="114"/>
        <v>-3.8146582404051362E-3</v>
      </c>
      <c r="E3621" s="3">
        <f t="shared" si="115"/>
        <v>-7.1435097746207375E-3</v>
      </c>
    </row>
    <row r="3622" spans="1:5" x14ac:dyDescent="0.45">
      <c r="A3622" s="2">
        <v>45875</v>
      </c>
      <c r="B3622" s="3">
        <v>80543.990000000005</v>
      </c>
      <c r="C3622" s="3">
        <v>284.8</v>
      </c>
      <c r="D3622" s="3">
        <f t="shared" si="114"/>
        <v>-2.0620860439292286E-3</v>
      </c>
      <c r="E3622" s="3">
        <f t="shared" si="115"/>
        <v>-4.0297908235043915E-3</v>
      </c>
    </row>
    <row r="3623" spans="1:5" x14ac:dyDescent="0.45">
      <c r="A3623" s="2">
        <v>45876</v>
      </c>
      <c r="B3623" s="3">
        <v>80623.259999999995</v>
      </c>
      <c r="C3623" s="3">
        <v>285.64999999999998</v>
      </c>
      <c r="D3623" s="3">
        <f t="shared" si="114"/>
        <v>9.8369869054918172E-4</v>
      </c>
      <c r="E3623" s="3">
        <f t="shared" si="115"/>
        <v>2.98010563265067E-3</v>
      </c>
    </row>
    <row r="3624" spans="1:5" x14ac:dyDescent="0.45">
      <c r="A3624" s="2">
        <v>45877</v>
      </c>
      <c r="B3624" s="3">
        <v>79857.789999999994</v>
      </c>
      <c r="C3624" s="3">
        <v>284.89999999999998</v>
      </c>
      <c r="D3624" s="3">
        <f t="shared" si="114"/>
        <v>-9.5397656640470712E-3</v>
      </c>
      <c r="E3624" s="3">
        <f t="shared" si="115"/>
        <v>-2.6290436666089696E-3</v>
      </c>
    </row>
    <row r="3625" spans="1:5" x14ac:dyDescent="0.45">
      <c r="A3625" s="2">
        <v>45880</v>
      </c>
      <c r="B3625" s="3">
        <v>80604.08</v>
      </c>
      <c r="C3625" s="3">
        <v>284.89999999999998</v>
      </c>
      <c r="D3625" s="3">
        <f t="shared" si="114"/>
        <v>9.3018407551517628E-3</v>
      </c>
      <c r="E3625" s="3">
        <f t="shared" si="115"/>
        <v>0</v>
      </c>
    </row>
    <row r="3626" spans="1:5" x14ac:dyDescent="0.45">
      <c r="A3626" s="2">
        <v>45881</v>
      </c>
      <c r="B3626" s="3">
        <v>80235.59</v>
      </c>
      <c r="C3626" s="3">
        <v>284.64999999999998</v>
      </c>
      <c r="D3626" s="3">
        <f t="shared" si="114"/>
        <v>-4.5820865551343968E-3</v>
      </c>
      <c r="E3626" s="3">
        <f t="shared" si="115"/>
        <v>-8.7788610677166858E-4</v>
      </c>
    </row>
    <row r="3627" spans="1:5" x14ac:dyDescent="0.45">
      <c r="A3627" s="2">
        <v>45882</v>
      </c>
      <c r="B3627" s="3">
        <v>80539.91</v>
      </c>
      <c r="C3627" s="3">
        <v>288.45</v>
      </c>
      <c r="D3627" s="3">
        <f t="shared" si="114"/>
        <v>3.7856559418433687E-3</v>
      </c>
      <c r="E3627" s="3">
        <f t="shared" si="115"/>
        <v>1.3261405305807513E-2</v>
      </c>
    </row>
    <row r="3628" spans="1:5" x14ac:dyDescent="0.45">
      <c r="A3628" s="2">
        <v>45883</v>
      </c>
      <c r="B3628" s="3">
        <v>80597.66</v>
      </c>
      <c r="C3628" s="3">
        <v>288.64999999999998</v>
      </c>
      <c r="D3628" s="3">
        <f t="shared" si="114"/>
        <v>7.1677886755436987E-4</v>
      </c>
      <c r="E3628" s="3">
        <f t="shared" si="115"/>
        <v>6.9312080404406503E-4</v>
      </c>
    </row>
    <row r="3629" spans="1:5" x14ac:dyDescent="0.45">
      <c r="A3629" s="2">
        <v>45887</v>
      </c>
      <c r="B3629" s="3">
        <v>81273.75</v>
      </c>
      <c r="C3629" s="3">
        <v>290.55</v>
      </c>
      <c r="D3629" s="3">
        <f t="shared" si="114"/>
        <v>8.3534693555106579E-3</v>
      </c>
      <c r="E3629" s="3">
        <f t="shared" si="115"/>
        <v>6.560797014172024E-3</v>
      </c>
    </row>
    <row r="3630" spans="1:5" x14ac:dyDescent="0.45">
      <c r="A3630" s="2">
        <v>45888</v>
      </c>
      <c r="B3630" s="3">
        <v>81644.39</v>
      </c>
      <c r="C3630" s="3">
        <v>288</v>
      </c>
      <c r="D3630" s="3">
        <f t="shared" si="114"/>
        <v>4.5500229678224272E-3</v>
      </c>
      <c r="E3630" s="3">
        <f t="shared" si="115"/>
        <v>-8.8151983851687092E-3</v>
      </c>
    </row>
    <row r="3631" spans="1:5" x14ac:dyDescent="0.45">
      <c r="A3631" s="2">
        <v>45889</v>
      </c>
      <c r="B3631" s="3">
        <v>81857.84</v>
      </c>
      <c r="C3631" s="3">
        <v>288.35000000000002</v>
      </c>
      <c r="D3631" s="3">
        <f t="shared" si="114"/>
        <v>2.6109750461601536E-3</v>
      </c>
      <c r="E3631" s="3">
        <f t="shared" si="115"/>
        <v>1.2145399254757789E-3</v>
      </c>
    </row>
    <row r="3632" spans="1:5" x14ac:dyDescent="0.45">
      <c r="A3632" s="2">
        <v>45890</v>
      </c>
      <c r="B3632" s="3">
        <v>82000.710000000006</v>
      </c>
      <c r="C3632" s="3">
        <v>284</v>
      </c>
      <c r="D3632" s="3">
        <f t="shared" si="114"/>
        <v>1.7438215607865771E-3</v>
      </c>
      <c r="E3632" s="3">
        <f t="shared" si="115"/>
        <v>-1.5200781900215628E-2</v>
      </c>
    </row>
    <row r="3633" spans="1:5" x14ac:dyDescent="0.45">
      <c r="A3633" s="2">
        <v>45891</v>
      </c>
      <c r="B3633" s="3">
        <v>81306.850000000006</v>
      </c>
      <c r="C3633" s="3">
        <v>283.35000000000002</v>
      </c>
      <c r="D3633" s="3">
        <f t="shared" si="114"/>
        <v>-8.4976369163543997E-3</v>
      </c>
      <c r="E3633" s="3">
        <f t="shared" si="115"/>
        <v>-2.2913555455777034E-3</v>
      </c>
    </row>
    <row r="3634" spans="1:5" x14ac:dyDescent="0.45">
      <c r="A3634" s="2">
        <v>45894</v>
      </c>
      <c r="B3634" s="3">
        <v>81635.91</v>
      </c>
      <c r="C3634" s="3">
        <v>284.14999999999998</v>
      </c>
      <c r="D3634" s="3">
        <f t="shared" si="114"/>
        <v>4.0389698485176831E-3</v>
      </c>
      <c r="E3634" s="3">
        <f t="shared" si="115"/>
        <v>2.8193851275021462E-3</v>
      </c>
    </row>
    <row r="3635" spans="1:5" x14ac:dyDescent="0.45">
      <c r="A3635" s="2">
        <v>45895</v>
      </c>
      <c r="B3635" s="3">
        <v>80786.539999999994</v>
      </c>
      <c r="C3635" s="3">
        <v>279.8</v>
      </c>
      <c r="D3635" s="3">
        <f t="shared" si="114"/>
        <v>-1.0458871203565267E-2</v>
      </c>
      <c r="E3635" s="3">
        <f t="shared" si="115"/>
        <v>-1.5427205511749573E-2</v>
      </c>
    </row>
    <row r="3636" spans="1:5" x14ac:dyDescent="0.45">
      <c r="A3636" s="2">
        <v>45897</v>
      </c>
      <c r="B3636" s="3">
        <v>80080.570000000007</v>
      </c>
      <c r="C3636" s="3">
        <v>274.5</v>
      </c>
      <c r="D3636" s="3">
        <f t="shared" si="114"/>
        <v>-8.7771146282006121E-3</v>
      </c>
      <c r="E3636" s="3">
        <f t="shared" si="115"/>
        <v>-1.9123801281795513E-2</v>
      </c>
    </row>
    <row r="3637" spans="1:5" x14ac:dyDescent="0.45">
      <c r="A3637" s="2">
        <v>45898</v>
      </c>
      <c r="B3637" s="3">
        <v>79809.649999999994</v>
      </c>
      <c r="C3637" s="3">
        <v>275.35000000000002</v>
      </c>
      <c r="D3637" s="3">
        <f t="shared" si="114"/>
        <v>-3.3888284008110831E-3</v>
      </c>
      <c r="E3637" s="3">
        <f t="shared" si="115"/>
        <v>3.0917547589051882E-3</v>
      </c>
    </row>
    <row r="3638" spans="1:5" x14ac:dyDescent="0.45">
      <c r="A3638" s="2">
        <v>45901</v>
      </c>
      <c r="B3638" s="3">
        <v>80364.490000000005</v>
      </c>
      <c r="C3638" s="3">
        <v>279.85000000000002</v>
      </c>
      <c r="D3638" s="3">
        <f t="shared" si="114"/>
        <v>6.9279874918637407E-3</v>
      </c>
      <c r="E3638" s="3">
        <f t="shared" si="115"/>
        <v>1.6210729628878134E-2</v>
      </c>
    </row>
    <row r="3639" spans="1:5" x14ac:dyDescent="0.45">
      <c r="A3639" s="2">
        <v>45902</v>
      </c>
      <c r="B3639" s="3">
        <v>80157.88</v>
      </c>
      <c r="C3639" s="3">
        <v>286.64999999999998</v>
      </c>
      <c r="D3639" s="3">
        <f t="shared" si="114"/>
        <v>-2.5742220737683744E-3</v>
      </c>
      <c r="E3639" s="3">
        <f t="shared" si="115"/>
        <v>2.4008214017022904E-2</v>
      </c>
    </row>
    <row r="3640" spans="1:5" x14ac:dyDescent="0.45">
      <c r="A3640" s="2">
        <v>45903</v>
      </c>
      <c r="B3640" s="3">
        <v>80567.710000000006</v>
      </c>
      <c r="C3640" s="3">
        <v>286</v>
      </c>
      <c r="D3640" s="3">
        <f t="shared" si="114"/>
        <v>5.0997590143822026E-3</v>
      </c>
      <c r="E3640" s="3">
        <f t="shared" si="115"/>
        <v>-2.2701485345390745E-3</v>
      </c>
    </row>
    <row r="3641" spans="1:5" x14ac:dyDescent="0.45">
      <c r="A3641" s="2">
        <v>45904</v>
      </c>
      <c r="B3641" s="3">
        <v>80718.009999999995</v>
      </c>
      <c r="C3641" s="3">
        <v>282</v>
      </c>
      <c r="D3641" s="3">
        <f t="shared" si="114"/>
        <v>1.8637737241397265E-3</v>
      </c>
      <c r="E3641" s="3">
        <f t="shared" si="115"/>
        <v>-1.4084739881738972E-2</v>
      </c>
    </row>
    <row r="3642" spans="1:5" x14ac:dyDescent="0.45">
      <c r="A3642" s="2">
        <v>45905</v>
      </c>
      <c r="B3642" s="3">
        <v>80710.759999999995</v>
      </c>
      <c r="C3642" s="3">
        <v>285.39999999999998</v>
      </c>
      <c r="D3642" s="3">
        <f t="shared" si="114"/>
        <v>-8.9822898419889517E-5</v>
      </c>
      <c r="E3642" s="3">
        <f t="shared" si="115"/>
        <v>1.1984634104622418E-2</v>
      </c>
    </row>
    <row r="3643" spans="1:5" x14ac:dyDescent="0.45">
      <c r="A3643" s="2">
        <v>45908</v>
      </c>
      <c r="B3643" s="3">
        <v>80787.3</v>
      </c>
      <c r="C3643" s="3">
        <v>282.8</v>
      </c>
      <c r="D3643" s="3">
        <f t="shared" si="114"/>
        <v>9.4787523429988769E-4</v>
      </c>
      <c r="E3643" s="3">
        <f t="shared" si="115"/>
        <v>-9.1517710203182154E-3</v>
      </c>
    </row>
    <row r="3644" spans="1:5" x14ac:dyDescent="0.45">
      <c r="A3644" s="2">
        <v>45909</v>
      </c>
      <c r="B3644" s="3">
        <v>81101.320000000007</v>
      </c>
      <c r="C3644" s="3">
        <v>283.85000000000002</v>
      </c>
      <c r="D3644" s="3">
        <f t="shared" si="114"/>
        <v>3.879462235693484E-3</v>
      </c>
      <c r="E3644" s="3">
        <f t="shared" si="115"/>
        <v>3.705995594317656E-3</v>
      </c>
    </row>
    <row r="3645" spans="1:5" x14ac:dyDescent="0.45">
      <c r="A3645" s="2">
        <v>45910</v>
      </c>
      <c r="B3645" s="3">
        <v>81425.149999999994</v>
      </c>
      <c r="C3645" s="3">
        <v>282.89999999999998</v>
      </c>
      <c r="D3645" s="3">
        <f t="shared" si="114"/>
        <v>3.9849561555301656E-3</v>
      </c>
      <c r="E3645" s="3">
        <f t="shared" si="115"/>
        <v>-3.3524513092138791E-3</v>
      </c>
    </row>
    <row r="3646" spans="1:5" x14ac:dyDescent="0.45">
      <c r="A3646" s="2">
        <v>45911</v>
      </c>
      <c r="B3646" s="3">
        <v>81548.73</v>
      </c>
      <c r="C3646" s="3">
        <v>286.8</v>
      </c>
      <c r="D3646" s="3">
        <f t="shared" si="114"/>
        <v>1.5165623311634705E-3</v>
      </c>
      <c r="E3646" s="3">
        <f t="shared" si="115"/>
        <v>1.3691630417943889E-2</v>
      </c>
    </row>
    <row r="3647" spans="1:5" x14ac:dyDescent="0.45">
      <c r="A3647" s="2">
        <v>45912</v>
      </c>
      <c r="B3647" s="3">
        <v>81904.7</v>
      </c>
      <c r="C3647" s="3">
        <v>287.45</v>
      </c>
      <c r="D3647" s="3">
        <f t="shared" si="114"/>
        <v>4.3556205920120611E-3</v>
      </c>
      <c r="E3647" s="3">
        <f t="shared" si="115"/>
        <v>2.2638233438345271E-3</v>
      </c>
    </row>
    <row r="3648" spans="1:5" x14ac:dyDescent="0.45">
      <c r="A3648" s="2">
        <v>45915</v>
      </c>
      <c r="B3648" s="3">
        <v>81785.740000000005</v>
      </c>
      <c r="C3648" s="3">
        <v>286.39999999999998</v>
      </c>
      <c r="D3648" s="3">
        <f t="shared" si="114"/>
        <v>-1.4534754863242108E-3</v>
      </c>
      <c r="E3648" s="3">
        <f t="shared" si="115"/>
        <v>-3.6594969828093829E-3</v>
      </c>
    </row>
    <row r="3649" spans="1:5" x14ac:dyDescent="0.45">
      <c r="A3649" s="2">
        <v>45916</v>
      </c>
      <c r="B3649" s="3">
        <v>82380.69</v>
      </c>
      <c r="C3649" s="3">
        <v>288.35000000000002</v>
      </c>
      <c r="D3649" s="3">
        <f t="shared" si="114"/>
        <v>7.2481640087189237E-3</v>
      </c>
      <c r="E3649" s="3">
        <f t="shared" si="115"/>
        <v>6.7855849749313057E-3</v>
      </c>
    </row>
    <row r="3650" spans="1:5" x14ac:dyDescent="0.45">
      <c r="A3650" s="2">
        <v>45917</v>
      </c>
      <c r="B3650" s="3">
        <v>82693.710000000006</v>
      </c>
      <c r="C3650" s="3">
        <v>287.14999999999998</v>
      </c>
      <c r="D3650" s="3">
        <f t="shared" si="114"/>
        <v>3.7924763037424682E-3</v>
      </c>
      <c r="E3650" s="3">
        <f t="shared" si="115"/>
        <v>-4.1702927511162759E-3</v>
      </c>
    </row>
    <row r="3651" spans="1:5" x14ac:dyDescent="0.45">
      <c r="A3651" s="2">
        <v>45918</v>
      </c>
      <c r="B3651" s="3">
        <v>83013.960000000006</v>
      </c>
      <c r="C3651" s="3">
        <v>289.10000000000002</v>
      </c>
      <c r="D3651" s="3">
        <f t="shared" si="114"/>
        <v>3.8652453288902824E-3</v>
      </c>
      <c r="E3651" s="3">
        <f t="shared" si="115"/>
        <v>6.7679217119951023E-3</v>
      </c>
    </row>
    <row r="3652" spans="1:5" x14ac:dyDescent="0.45">
      <c r="A3652" s="2">
        <v>45919</v>
      </c>
      <c r="B3652" s="3">
        <v>82626.23</v>
      </c>
      <c r="C3652" s="3">
        <v>286.3</v>
      </c>
      <c r="D3652" s="3">
        <f t="shared" si="114"/>
        <v>-4.681601828264853E-3</v>
      </c>
      <c r="E3652" s="3">
        <f t="shared" si="115"/>
        <v>-9.7324369182310005E-3</v>
      </c>
    </row>
    <row r="3653" spans="1:5" x14ac:dyDescent="0.45">
      <c r="A3653" s="2">
        <v>45922</v>
      </c>
      <c r="B3653" s="3">
        <v>82159.97</v>
      </c>
      <c r="C3653" s="3">
        <v>286.5</v>
      </c>
      <c r="D3653" s="3">
        <f t="shared" si="114"/>
        <v>-5.6589841175509392E-3</v>
      </c>
      <c r="E3653" s="3">
        <f t="shared" si="115"/>
        <v>6.9832405072478034E-4</v>
      </c>
    </row>
    <row r="3654" spans="1:5" x14ac:dyDescent="0.45">
      <c r="A3654" s="2">
        <v>45923</v>
      </c>
      <c r="B3654" s="3">
        <v>82102.100000000006</v>
      </c>
      <c r="C3654" s="3">
        <v>288.60000000000002</v>
      </c>
      <c r="D3654" s="3">
        <f t="shared" ref="D3654:D3717" si="116">LN(B3654/B3653)</f>
        <v>-7.0460578506305132E-4</v>
      </c>
      <c r="E3654" s="3">
        <f t="shared" ref="E3654:E3717" si="117">LN(C3654/C3653)</f>
        <v>7.3031101849763492E-3</v>
      </c>
    </row>
    <row r="3655" spans="1:5" x14ac:dyDescent="0.45">
      <c r="A3655" s="2">
        <v>45924</v>
      </c>
      <c r="B3655" s="3">
        <v>81715.63</v>
      </c>
      <c r="C3655" s="3">
        <v>293.3</v>
      </c>
      <c r="D3655" s="3">
        <f t="shared" si="116"/>
        <v>-4.7183014558664325E-3</v>
      </c>
      <c r="E3655" s="3">
        <f t="shared" si="117"/>
        <v>1.6154329643634793E-2</v>
      </c>
    </row>
    <row r="3656" spans="1:5" x14ac:dyDescent="0.45">
      <c r="A3656" s="2">
        <v>45925</v>
      </c>
      <c r="B3656" s="3">
        <v>81159.679999999993</v>
      </c>
      <c r="C3656" s="3">
        <v>284.35000000000002</v>
      </c>
      <c r="D3656" s="3">
        <f t="shared" si="116"/>
        <v>-6.8267211172575379E-3</v>
      </c>
      <c r="E3656" s="3">
        <f t="shared" si="117"/>
        <v>-3.0990102230596644E-2</v>
      </c>
    </row>
    <row r="3657" spans="1:5" x14ac:dyDescent="0.45">
      <c r="A3657" s="2">
        <v>45926</v>
      </c>
      <c r="B3657" s="3">
        <v>80426.460000000006</v>
      </c>
      <c r="C3657" s="3">
        <v>282.10000000000002</v>
      </c>
      <c r="D3657" s="3">
        <f t="shared" si="116"/>
        <v>-9.0753456013282496E-3</v>
      </c>
      <c r="E3657" s="3">
        <f t="shared" si="117"/>
        <v>-7.9442557448580736E-3</v>
      </c>
    </row>
    <row r="3658" spans="1:5" x14ac:dyDescent="0.45">
      <c r="A3658" s="2">
        <v>45929</v>
      </c>
      <c r="B3658" s="3">
        <v>80364.94</v>
      </c>
      <c r="C3658" s="3">
        <v>280.60000000000002</v>
      </c>
      <c r="D3658" s="3">
        <f t="shared" si="116"/>
        <v>-7.6521509237366294E-4</v>
      </c>
      <c r="E3658" s="3">
        <f t="shared" si="117"/>
        <v>-5.3314503395900407E-3</v>
      </c>
    </row>
    <row r="3659" spans="1:5" x14ac:dyDescent="0.45">
      <c r="A3659" s="2">
        <v>45930</v>
      </c>
      <c r="B3659" s="3">
        <v>80267.62</v>
      </c>
      <c r="C3659" s="3">
        <v>280.10000000000002</v>
      </c>
      <c r="D3659" s="3">
        <f t="shared" si="116"/>
        <v>-1.2117096547230334E-3</v>
      </c>
      <c r="E3659" s="3">
        <f t="shared" si="117"/>
        <v>-1.7834854022977509E-3</v>
      </c>
    </row>
    <row r="3660" spans="1:5" x14ac:dyDescent="0.45">
      <c r="A3660" s="2">
        <v>45931</v>
      </c>
      <c r="B3660" s="3">
        <v>80983.31</v>
      </c>
      <c r="C3660" s="3">
        <v>280.75</v>
      </c>
      <c r="D3660" s="3">
        <f t="shared" si="116"/>
        <v>8.8767822861958393E-3</v>
      </c>
      <c r="E3660" s="3">
        <f t="shared" si="117"/>
        <v>2.3179113524896219E-3</v>
      </c>
    </row>
    <row r="3661" spans="1:5" x14ac:dyDescent="0.45">
      <c r="A3661" s="2">
        <v>45933</v>
      </c>
      <c r="B3661" s="3">
        <v>81207.17</v>
      </c>
      <c r="C3661" s="3">
        <v>289.60000000000002</v>
      </c>
      <c r="D3661" s="3">
        <f t="shared" si="116"/>
        <v>2.7604597033519807E-3</v>
      </c>
      <c r="E3661" s="3">
        <f t="shared" si="117"/>
        <v>3.1036066893008918E-2</v>
      </c>
    </row>
    <row r="3662" spans="1:5" x14ac:dyDescent="0.45">
      <c r="A3662" s="2">
        <v>45936</v>
      </c>
      <c r="B3662" s="3">
        <v>81790.12</v>
      </c>
      <c r="C3662" s="3">
        <v>286.8</v>
      </c>
      <c r="D3662" s="3">
        <f t="shared" si="116"/>
        <v>7.1529101558482841E-3</v>
      </c>
      <c r="E3662" s="3">
        <f t="shared" si="117"/>
        <v>-9.7155517860960106E-3</v>
      </c>
    </row>
    <row r="3663" spans="1:5" x14ac:dyDescent="0.45">
      <c r="A3663" s="2">
        <v>45937</v>
      </c>
      <c r="B3663" s="3">
        <v>81926.75</v>
      </c>
      <c r="C3663" s="3">
        <v>289.2</v>
      </c>
      <c r="D3663" s="3">
        <f t="shared" si="116"/>
        <v>1.6691014398185714E-3</v>
      </c>
      <c r="E3663" s="3">
        <f t="shared" si="117"/>
        <v>8.3333815591442404E-3</v>
      </c>
    </row>
    <row r="3664" spans="1:5" x14ac:dyDescent="0.45">
      <c r="A3664" s="2">
        <v>45938</v>
      </c>
      <c r="B3664" s="3">
        <v>81773.66</v>
      </c>
      <c r="C3664" s="3">
        <v>285.5</v>
      </c>
      <c r="D3664" s="3">
        <f t="shared" si="116"/>
        <v>-1.8703684936314496E-3</v>
      </c>
      <c r="E3664" s="3">
        <f t="shared" si="117"/>
        <v>-1.2876461188544668E-2</v>
      </c>
    </row>
    <row r="3665" spans="1:5" x14ac:dyDescent="0.45">
      <c r="A3665" s="2">
        <v>45939</v>
      </c>
      <c r="B3665" s="3">
        <v>82172.100000000006</v>
      </c>
      <c r="C3665" s="3">
        <v>286.14999999999998</v>
      </c>
      <c r="D3665" s="3">
        <f t="shared" si="116"/>
        <v>4.8606415250531665E-3</v>
      </c>
      <c r="E3665" s="3">
        <f t="shared" si="117"/>
        <v>2.2741197590464002E-3</v>
      </c>
    </row>
    <row r="3666" spans="1:5" x14ac:dyDescent="0.45">
      <c r="A3666" s="2">
        <v>45940</v>
      </c>
      <c r="B3666" s="3">
        <v>82500.820000000007</v>
      </c>
      <c r="C3666" s="3">
        <v>289.14999999999998</v>
      </c>
      <c r="D3666" s="3">
        <f t="shared" si="116"/>
        <v>3.9924042961068202E-3</v>
      </c>
      <c r="E3666" s="3">
        <f t="shared" si="117"/>
        <v>1.0429435749115937E-2</v>
      </c>
    </row>
    <row r="3667" spans="1:5" x14ac:dyDescent="0.45">
      <c r="A3667" s="2">
        <v>45943</v>
      </c>
      <c r="B3667" s="3">
        <v>82327.05</v>
      </c>
      <c r="C3667" s="3">
        <v>286.39999999999998</v>
      </c>
      <c r="D3667" s="3">
        <f t="shared" si="116"/>
        <v>-2.1085034269835499E-3</v>
      </c>
      <c r="E3667" s="3">
        <f t="shared" si="117"/>
        <v>-9.5561495177367475E-3</v>
      </c>
    </row>
    <row r="3668" spans="1:5" x14ac:dyDescent="0.45">
      <c r="A3668" s="2">
        <v>45944</v>
      </c>
      <c r="B3668" s="3">
        <v>82029.98</v>
      </c>
      <c r="C3668" s="3">
        <v>287.35000000000002</v>
      </c>
      <c r="D3668" s="3">
        <f t="shared" si="116"/>
        <v>-3.6149390568061346E-3</v>
      </c>
      <c r="E3668" s="3">
        <f t="shared" si="117"/>
        <v>3.3115498672601786E-3</v>
      </c>
    </row>
    <row r="3669" spans="1:5" x14ac:dyDescent="0.45">
      <c r="A3669" s="2">
        <v>45945</v>
      </c>
      <c r="B3669" s="3">
        <v>82605.429999999993</v>
      </c>
      <c r="C3669" s="3">
        <v>291.45</v>
      </c>
      <c r="D3669" s="3">
        <f t="shared" si="116"/>
        <v>6.9906266636516109E-3</v>
      </c>
      <c r="E3669" s="3">
        <f t="shared" si="117"/>
        <v>1.4167479537808225E-2</v>
      </c>
    </row>
    <row r="3670" spans="1:5" x14ac:dyDescent="0.45">
      <c r="A3670" s="2">
        <v>45946</v>
      </c>
      <c r="B3670" s="3">
        <v>83467.66</v>
      </c>
      <c r="C3670" s="3">
        <v>291.8</v>
      </c>
      <c r="D3670" s="3">
        <f t="shared" si="116"/>
        <v>1.0383834580443209E-2</v>
      </c>
      <c r="E3670" s="3">
        <f t="shared" si="117"/>
        <v>1.2001715971265232E-3</v>
      </c>
    </row>
    <row r="3671" spans="1:5" x14ac:dyDescent="0.45">
      <c r="A3671" s="2">
        <v>45947</v>
      </c>
      <c r="B3671" s="3">
        <v>83952.19</v>
      </c>
      <c r="C3671" s="3">
        <v>289.64999999999998</v>
      </c>
      <c r="D3671" s="3">
        <f t="shared" si="116"/>
        <v>5.7882186943284744E-3</v>
      </c>
      <c r="E3671" s="3">
        <f t="shared" si="117"/>
        <v>-7.3953385460522776E-3</v>
      </c>
    </row>
    <row r="3672" spans="1:5" x14ac:dyDescent="0.45">
      <c r="A3672" s="2">
        <v>45950</v>
      </c>
      <c r="B3672" s="3">
        <v>84363.37</v>
      </c>
      <c r="C3672" s="3">
        <v>287.7</v>
      </c>
      <c r="D3672" s="3">
        <f t="shared" si="116"/>
        <v>4.8858325154465254E-3</v>
      </c>
      <c r="E3672" s="3">
        <f t="shared" si="117"/>
        <v>-6.7550269851308397E-3</v>
      </c>
    </row>
    <row r="3673" spans="1:5" x14ac:dyDescent="0.45">
      <c r="A3673" s="2">
        <v>45951</v>
      </c>
      <c r="B3673" s="3">
        <v>84426.34</v>
      </c>
      <c r="C3673" s="3">
        <v>288.75</v>
      </c>
      <c r="D3673" s="3">
        <f t="shared" si="116"/>
        <v>7.4613556621878842E-4</v>
      </c>
      <c r="E3673" s="3">
        <f t="shared" si="117"/>
        <v>3.6429912785010087E-3</v>
      </c>
    </row>
    <row r="3674" spans="1:5" x14ac:dyDescent="0.45">
      <c r="A3674" s="2">
        <v>45953</v>
      </c>
      <c r="B3674" s="3">
        <v>84556.4</v>
      </c>
      <c r="C3674" s="3">
        <v>289.64999999999998</v>
      </c>
      <c r="D3674" s="3">
        <f t="shared" si="116"/>
        <v>1.5393291135152578E-3</v>
      </c>
      <c r="E3674" s="3">
        <f t="shared" si="117"/>
        <v>3.1120357066298002E-3</v>
      </c>
    </row>
    <row r="3675" spans="1:5" x14ac:dyDescent="0.45">
      <c r="A3675" s="2">
        <v>45954</v>
      </c>
      <c r="B3675" s="3">
        <v>84211.88</v>
      </c>
      <c r="C3675" s="3">
        <v>288.55</v>
      </c>
      <c r="D3675" s="3">
        <f t="shared" si="116"/>
        <v>-4.0827634027628332E-3</v>
      </c>
      <c r="E3675" s="3">
        <f t="shared" si="117"/>
        <v>-3.8049163856576445E-3</v>
      </c>
    </row>
    <row r="3676" spans="1:5" x14ac:dyDescent="0.45">
      <c r="A3676" s="2">
        <v>45957</v>
      </c>
      <c r="B3676" s="3">
        <v>84778.84</v>
      </c>
      <c r="C3676" s="3">
        <v>291.10000000000002</v>
      </c>
      <c r="D3676" s="3">
        <f t="shared" si="116"/>
        <v>6.709979426373169E-3</v>
      </c>
      <c r="E3676" s="3">
        <f t="shared" si="117"/>
        <v>8.798469594602093E-3</v>
      </c>
    </row>
    <row r="3677" spans="1:5" x14ac:dyDescent="0.45">
      <c r="A3677" s="2">
        <v>45958</v>
      </c>
      <c r="B3677" s="3">
        <v>84628.160000000003</v>
      </c>
      <c r="C3677" s="3">
        <v>288.39999999999998</v>
      </c>
      <c r="D3677" s="3">
        <f t="shared" si="116"/>
        <v>-1.7789116121045042E-3</v>
      </c>
      <c r="E3677" s="3">
        <f t="shared" si="117"/>
        <v>-9.3184453407836789E-3</v>
      </c>
    </row>
    <row r="3678" spans="1:5" x14ac:dyDescent="0.45">
      <c r="A3678" s="2">
        <v>45959</v>
      </c>
      <c r="B3678" s="3">
        <v>84997.13</v>
      </c>
      <c r="C3678" s="3">
        <v>295.85000000000002</v>
      </c>
      <c r="D3678" s="3">
        <f t="shared" si="116"/>
        <v>4.3504194678941725E-3</v>
      </c>
      <c r="E3678" s="3">
        <f t="shared" si="117"/>
        <v>2.5504163711909326E-2</v>
      </c>
    </row>
    <row r="3679" spans="1:5" x14ac:dyDescent="0.45">
      <c r="A3679" s="2">
        <v>45960</v>
      </c>
      <c r="B3679" s="3">
        <v>84404.46</v>
      </c>
      <c r="C3679" s="3">
        <v>291.55</v>
      </c>
      <c r="D3679" s="3">
        <f t="shared" si="116"/>
        <v>-6.9972474067602954E-3</v>
      </c>
      <c r="E3679" s="3">
        <f t="shared" si="117"/>
        <v>-1.4641051454538059E-2</v>
      </c>
    </row>
    <row r="3680" spans="1:5" x14ac:dyDescent="0.45">
      <c r="A3680" s="2">
        <v>45961</v>
      </c>
      <c r="B3680" s="3">
        <v>83938.71</v>
      </c>
      <c r="C3680" s="3">
        <v>288.14999999999998</v>
      </c>
      <c r="D3680" s="3">
        <f t="shared" si="116"/>
        <v>-5.5333541403649166E-3</v>
      </c>
      <c r="E3680" s="3">
        <f t="shared" si="117"/>
        <v>-1.1730339785489829E-2</v>
      </c>
    </row>
    <row r="3681" spans="1:5" x14ac:dyDescent="0.45">
      <c r="A3681" s="2">
        <v>45964</v>
      </c>
      <c r="B3681" s="3">
        <v>83978.49</v>
      </c>
      <c r="C3681" s="3">
        <v>288</v>
      </c>
      <c r="D3681" s="3">
        <f t="shared" si="116"/>
        <v>4.7380495558743983E-4</v>
      </c>
      <c r="E3681" s="3">
        <f t="shared" si="117"/>
        <v>-5.2069774672931974E-4</v>
      </c>
    </row>
    <row r="3682" spans="1:5" x14ac:dyDescent="0.45">
      <c r="A3682" s="2">
        <v>45965</v>
      </c>
      <c r="B3682" s="3">
        <v>83459.149999999994</v>
      </c>
      <c r="C3682" s="3">
        <v>279</v>
      </c>
      <c r="D3682" s="3">
        <f t="shared" si="116"/>
        <v>-6.2034040308422394E-3</v>
      </c>
      <c r="E3682" s="3">
        <f t="shared" si="117"/>
        <v>-3.1748698314580298E-2</v>
      </c>
    </row>
    <row r="3683" spans="1:5" x14ac:dyDescent="0.45">
      <c r="A3683" s="2">
        <v>45967</v>
      </c>
      <c r="B3683" s="3">
        <v>83311.009999999995</v>
      </c>
      <c r="C3683" s="3">
        <v>270.2</v>
      </c>
      <c r="D3683" s="3">
        <f t="shared" si="116"/>
        <v>-1.7765772841330171E-3</v>
      </c>
      <c r="E3683" s="3">
        <f t="shared" si="117"/>
        <v>-3.204935629526718E-2</v>
      </c>
    </row>
    <row r="3684" spans="1:5" x14ac:dyDescent="0.45">
      <c r="A3684" s="2">
        <v>45968</v>
      </c>
      <c r="B3684" s="3">
        <v>83216.28</v>
      </c>
      <c r="C3684" s="3">
        <v>272</v>
      </c>
      <c r="D3684" s="3">
        <f t="shared" si="116"/>
        <v>-1.1377115452741084E-3</v>
      </c>
      <c r="E3684" s="3">
        <f t="shared" si="117"/>
        <v>6.6396407698987962E-3</v>
      </c>
    </row>
    <row r="3685" spans="1:5" x14ac:dyDescent="0.45">
      <c r="A3685" s="2">
        <v>45971</v>
      </c>
      <c r="B3685" s="3">
        <v>83535.350000000006</v>
      </c>
      <c r="C3685" s="3">
        <v>268.3</v>
      </c>
      <c r="D3685" s="3">
        <f t="shared" si="116"/>
        <v>3.8268937988953956E-3</v>
      </c>
      <c r="E3685" s="3">
        <f t="shared" si="117"/>
        <v>-1.3696308864418813E-2</v>
      </c>
    </row>
    <row r="3686" spans="1:5" x14ac:dyDescent="0.45">
      <c r="A3686" s="2">
        <v>45972</v>
      </c>
      <c r="B3686" s="3">
        <v>83871.320000000007</v>
      </c>
      <c r="C3686" s="3">
        <v>267.7</v>
      </c>
      <c r="D3686" s="3">
        <f t="shared" si="116"/>
        <v>4.0138239541054836E-3</v>
      </c>
      <c r="E3686" s="3">
        <f t="shared" si="117"/>
        <v>-2.2388069052717654E-3</v>
      </c>
    </row>
    <row r="3687" spans="1:5" x14ac:dyDescent="0.45">
      <c r="A3687" s="2">
        <v>45973</v>
      </c>
      <c r="B3687" s="3">
        <v>84466.51</v>
      </c>
      <c r="C3687" s="3">
        <v>267</v>
      </c>
      <c r="D3687" s="3">
        <f t="shared" si="116"/>
        <v>7.0714049265424477E-3</v>
      </c>
      <c r="E3687" s="3">
        <f t="shared" si="117"/>
        <v>-2.618292126057228E-3</v>
      </c>
    </row>
    <row r="3688" spans="1:5" x14ac:dyDescent="0.45">
      <c r="A3688" s="2">
        <v>45974</v>
      </c>
      <c r="B3688" s="3">
        <v>84478.67</v>
      </c>
      <c r="C3688" s="3">
        <v>269.95</v>
      </c>
      <c r="D3688" s="3">
        <f t="shared" si="116"/>
        <v>1.4395202066147319E-4</v>
      </c>
      <c r="E3688" s="3">
        <f t="shared" si="117"/>
        <v>1.0988098264046495E-2</v>
      </c>
    </row>
    <row r="3689" spans="1:5" x14ac:dyDescent="0.45">
      <c r="A3689" s="2">
        <v>45975</v>
      </c>
      <c r="B3689" s="3">
        <v>84562.78</v>
      </c>
      <c r="C3689" s="3">
        <v>271.3</v>
      </c>
      <c r="D3689" s="3">
        <f t="shared" si="116"/>
        <v>9.9514062309826704E-4</v>
      </c>
      <c r="E3689" s="3">
        <f t="shared" si="117"/>
        <v>4.9884630005901523E-3</v>
      </c>
    </row>
    <row r="3690" spans="1:5" x14ac:dyDescent="0.45">
      <c r="A3690" s="2">
        <v>45978</v>
      </c>
      <c r="B3690" s="3">
        <v>84950.95</v>
      </c>
      <c r="C3690" s="3">
        <v>273.55</v>
      </c>
      <c r="D3690" s="3">
        <f t="shared" si="116"/>
        <v>4.5798140183542606E-3</v>
      </c>
      <c r="E3690" s="3">
        <f t="shared" si="117"/>
        <v>8.2592008449487737E-3</v>
      </c>
    </row>
    <row r="3691" spans="1:5" x14ac:dyDescent="0.45">
      <c r="A3691" s="2">
        <v>45979</v>
      </c>
      <c r="B3691" s="3">
        <v>84673.02</v>
      </c>
      <c r="C3691" s="3">
        <v>274.2</v>
      </c>
      <c r="D3691" s="3">
        <f t="shared" si="116"/>
        <v>-3.2770161990704075E-3</v>
      </c>
      <c r="E3691" s="3">
        <f t="shared" si="117"/>
        <v>2.3733466183788977E-3</v>
      </c>
    </row>
    <row r="3692" spans="1:5" x14ac:dyDescent="0.45">
      <c r="A3692" s="2">
        <v>45980</v>
      </c>
      <c r="B3692" s="3">
        <v>85186.47</v>
      </c>
      <c r="C3692" s="3">
        <v>275.25</v>
      </c>
      <c r="D3692" s="3">
        <f t="shared" si="116"/>
        <v>6.0456035026732564E-3</v>
      </c>
      <c r="E3692" s="3">
        <f t="shared" si="117"/>
        <v>3.8220084745752706E-3</v>
      </c>
    </row>
    <row r="3693" spans="1:5" x14ac:dyDescent="0.45">
      <c r="A3693" s="2">
        <v>45981</v>
      </c>
      <c r="B3693" s="3">
        <v>85632.68</v>
      </c>
      <c r="C3693" s="3">
        <v>277.3</v>
      </c>
      <c r="D3693" s="3">
        <f t="shared" si="116"/>
        <v>5.2243675829646459E-3</v>
      </c>
      <c r="E3693" s="3">
        <f t="shared" si="117"/>
        <v>7.4201770189430078E-3</v>
      </c>
    </row>
    <row r="3694" spans="1:5" x14ac:dyDescent="0.45">
      <c r="A3694" s="2">
        <v>45982</v>
      </c>
      <c r="B3694" s="3">
        <v>85231.92</v>
      </c>
      <c r="C3694" s="3">
        <v>277.64999999999998</v>
      </c>
      <c r="D3694" s="3">
        <f t="shared" si="116"/>
        <v>-4.6909744312330325E-3</v>
      </c>
      <c r="E3694" s="3">
        <f t="shared" si="117"/>
        <v>1.261375065883738E-3</v>
      </c>
    </row>
    <row r="3695" spans="1:5" x14ac:dyDescent="0.45">
      <c r="A3695" s="2">
        <v>45985</v>
      </c>
      <c r="B3695" s="3">
        <v>84900.71</v>
      </c>
      <c r="C3695" s="3">
        <v>276.39999999999998</v>
      </c>
      <c r="D3695" s="3">
        <f t="shared" si="116"/>
        <v>-3.8935554975232821E-3</v>
      </c>
      <c r="E3695" s="3">
        <f t="shared" si="117"/>
        <v>-4.5122357941013739E-3</v>
      </c>
    </row>
    <row r="3696" spans="1:5" x14ac:dyDescent="0.45">
      <c r="A3696" s="2">
        <v>45986</v>
      </c>
      <c r="B3696" s="3">
        <v>84587.01</v>
      </c>
      <c r="C3696" s="3">
        <v>273.64999999999998</v>
      </c>
      <c r="D3696" s="3">
        <f t="shared" si="116"/>
        <v>-3.7017473385971399E-3</v>
      </c>
      <c r="E3696" s="3">
        <f t="shared" si="117"/>
        <v>-9.9991743035876979E-3</v>
      </c>
    </row>
    <row r="3697" spans="1:5" x14ac:dyDescent="0.45">
      <c r="A3697" s="2">
        <v>45987</v>
      </c>
      <c r="B3697" s="3">
        <v>85609.51</v>
      </c>
      <c r="C3697" s="3">
        <v>275.05</v>
      </c>
      <c r="D3697" s="3">
        <f t="shared" si="116"/>
        <v>1.2015666384119659E-2</v>
      </c>
      <c r="E3697" s="3">
        <f t="shared" si="117"/>
        <v>5.1029817315401318E-3</v>
      </c>
    </row>
    <row r="3698" spans="1:5" x14ac:dyDescent="0.45">
      <c r="A3698" s="2">
        <v>45988</v>
      </c>
      <c r="B3698" s="3">
        <v>85720.38</v>
      </c>
      <c r="C3698" s="3">
        <v>273.7</v>
      </c>
      <c r="D3698" s="3">
        <f t="shared" si="116"/>
        <v>1.2942285257507183E-3</v>
      </c>
      <c r="E3698" s="3">
        <f t="shared" si="117"/>
        <v>-4.920283274833734E-3</v>
      </c>
    </row>
    <row r="3699" spans="1:5" x14ac:dyDescent="0.45">
      <c r="A3699" s="2">
        <v>45989</v>
      </c>
      <c r="B3699" s="3">
        <v>85706.67</v>
      </c>
      <c r="C3699" s="3">
        <v>269.89999999999998</v>
      </c>
      <c r="D3699" s="3">
        <f t="shared" si="116"/>
        <v>-1.5995141990995734E-4</v>
      </c>
      <c r="E3699" s="3">
        <f t="shared" si="117"/>
        <v>-1.3981096022674454E-2</v>
      </c>
    </row>
    <row r="3700" spans="1:5" x14ac:dyDescent="0.45">
      <c r="A3700" s="2">
        <v>45992</v>
      </c>
      <c r="B3700" s="3">
        <v>85641.9</v>
      </c>
      <c r="C3700" s="3">
        <v>269.64999999999998</v>
      </c>
      <c r="D3700" s="3">
        <f t="shared" si="116"/>
        <v>-7.5600284361744313E-4</v>
      </c>
      <c r="E3700" s="3">
        <f t="shared" si="117"/>
        <v>-9.2669824072290764E-4</v>
      </c>
    </row>
    <row r="3701" spans="1:5" x14ac:dyDescent="0.45">
      <c r="A3701" s="2">
        <v>45993</v>
      </c>
      <c r="B3701" s="3">
        <v>85138.27</v>
      </c>
      <c r="C3701" s="3">
        <v>267.45</v>
      </c>
      <c r="D3701" s="3">
        <f t="shared" si="116"/>
        <v>-5.8980086500652808E-3</v>
      </c>
      <c r="E3701" s="3">
        <f t="shared" si="117"/>
        <v>-8.1921888059768577E-3</v>
      </c>
    </row>
    <row r="3702" spans="1:5" x14ac:dyDescent="0.45">
      <c r="A3702" s="2">
        <v>45994</v>
      </c>
      <c r="B3702" s="3">
        <v>85106.81</v>
      </c>
      <c r="C3702" s="3">
        <v>268.3</v>
      </c>
      <c r="D3702" s="3">
        <f t="shared" si="116"/>
        <v>-3.6958484037377014E-4</v>
      </c>
      <c r="E3702" s="3">
        <f t="shared" si="117"/>
        <v>3.1731244543194764E-3</v>
      </c>
    </row>
    <row r="3703" spans="1:5" x14ac:dyDescent="0.45">
      <c r="A3703" s="2">
        <v>45995</v>
      </c>
      <c r="B3703" s="3">
        <v>85265.32</v>
      </c>
      <c r="C3703" s="3">
        <v>269.14999999999998</v>
      </c>
      <c r="D3703" s="3">
        <f t="shared" si="116"/>
        <v>1.8607508837900758E-3</v>
      </c>
      <c r="E3703" s="3">
        <f t="shared" si="117"/>
        <v>3.1630875753877537E-3</v>
      </c>
    </row>
    <row r="3704" spans="1:5" x14ac:dyDescent="0.45">
      <c r="A3704" s="2">
        <v>45996</v>
      </c>
      <c r="B3704" s="3">
        <v>85712.37</v>
      </c>
      <c r="C3704" s="3">
        <v>269.75</v>
      </c>
      <c r="D3704" s="3">
        <f t="shared" si="116"/>
        <v>5.2293491478964671E-3</v>
      </c>
      <c r="E3704" s="3">
        <f t="shared" si="117"/>
        <v>2.2267591312777799E-3</v>
      </c>
    </row>
    <row r="3705" spans="1:5" x14ac:dyDescent="0.45">
      <c r="A3705" s="2">
        <v>45999</v>
      </c>
      <c r="B3705" s="3">
        <v>85102.69</v>
      </c>
      <c r="C3705" s="3">
        <v>265.2</v>
      </c>
      <c r="D3705" s="3">
        <f t="shared" si="116"/>
        <v>-7.1385109605806556E-3</v>
      </c>
      <c r="E3705" s="3">
        <f t="shared" si="117"/>
        <v>-1.7011345826536677E-2</v>
      </c>
    </row>
    <row r="3706" spans="1:5" x14ac:dyDescent="0.45">
      <c r="A3706" s="2">
        <v>46000</v>
      </c>
      <c r="B3706" s="3">
        <v>84666.28</v>
      </c>
      <c r="C3706" s="3">
        <v>264.55</v>
      </c>
      <c r="D3706" s="3">
        <f t="shared" si="116"/>
        <v>-5.1412335396227929E-3</v>
      </c>
      <c r="E3706" s="3">
        <f t="shared" si="117"/>
        <v>-2.4539889615665914E-3</v>
      </c>
    </row>
    <row r="3707" spans="1:5" x14ac:dyDescent="0.45">
      <c r="A3707" s="2">
        <v>46001</v>
      </c>
      <c r="B3707" s="3">
        <v>84391.27</v>
      </c>
      <c r="C3707" s="3">
        <v>265.35000000000002</v>
      </c>
      <c r="D3707" s="3">
        <f t="shared" si="116"/>
        <v>-3.2534511777843568E-3</v>
      </c>
      <c r="E3707" s="3">
        <f t="shared" si="117"/>
        <v>3.0194399237631828E-3</v>
      </c>
    </row>
    <row r="3708" spans="1:5" x14ac:dyDescent="0.45">
      <c r="A3708" s="2">
        <v>46002</v>
      </c>
      <c r="B3708" s="3">
        <v>84818.13</v>
      </c>
      <c r="C3708" s="3">
        <v>264.7</v>
      </c>
      <c r="D3708" s="3">
        <f t="shared" si="116"/>
        <v>5.0453568832305885E-3</v>
      </c>
      <c r="E3708" s="3">
        <f t="shared" si="117"/>
        <v>-2.4526000408485724E-3</v>
      </c>
    </row>
    <row r="3709" spans="1:5" x14ac:dyDescent="0.45">
      <c r="A3709" s="2">
        <v>46003</v>
      </c>
      <c r="B3709" s="3">
        <v>85267.66</v>
      </c>
      <c r="C3709" s="3">
        <v>263.60000000000002</v>
      </c>
      <c r="D3709" s="3">
        <f t="shared" si="116"/>
        <v>5.285933018813074E-3</v>
      </c>
      <c r="E3709" s="3">
        <f t="shared" si="117"/>
        <v>-4.164306604703287E-3</v>
      </c>
    </row>
    <row r="3710" spans="1:5" x14ac:dyDescent="0.45">
      <c r="A3710" s="2">
        <v>46006</v>
      </c>
      <c r="B3710" s="3">
        <v>85213.36</v>
      </c>
      <c r="C3710" s="3">
        <v>262.3</v>
      </c>
      <c r="D3710" s="3">
        <f t="shared" si="116"/>
        <v>-6.3702108112948983E-4</v>
      </c>
      <c r="E3710" s="3">
        <f t="shared" si="117"/>
        <v>-4.9439157555242162E-3</v>
      </c>
    </row>
    <row r="3711" spans="1:5" x14ac:dyDescent="0.45">
      <c r="A3711" s="2">
        <v>46007</v>
      </c>
      <c r="B3711" s="3">
        <v>84679.86</v>
      </c>
      <c r="C3711" s="3">
        <v>260.45</v>
      </c>
      <c r="D3711" s="3">
        <f t="shared" si="116"/>
        <v>-6.2804360716442317E-3</v>
      </c>
      <c r="E3711" s="3">
        <f t="shared" si="117"/>
        <v>-7.0779826816275591E-3</v>
      </c>
    </row>
    <row r="3712" spans="1:5" x14ac:dyDescent="0.45">
      <c r="A3712" s="2">
        <v>46008</v>
      </c>
      <c r="B3712" s="3">
        <v>84559.65</v>
      </c>
      <c r="C3712" s="3">
        <v>261</v>
      </c>
      <c r="D3712" s="3">
        <f t="shared" si="116"/>
        <v>-1.4205905017817002E-3</v>
      </c>
      <c r="E3712" s="3">
        <f t="shared" si="117"/>
        <v>2.1095031314929142E-3</v>
      </c>
    </row>
    <row r="3713" spans="1:5" x14ac:dyDescent="0.45">
      <c r="A3713" s="2">
        <v>46009</v>
      </c>
      <c r="B3713" s="3">
        <v>84481.81</v>
      </c>
      <c r="C3713" s="3">
        <v>257.89999999999998</v>
      </c>
      <c r="D3713" s="3">
        <f t="shared" si="116"/>
        <v>-9.2095756273930169E-4</v>
      </c>
      <c r="E3713" s="3">
        <f t="shared" si="117"/>
        <v>-1.194849443539444E-2</v>
      </c>
    </row>
    <row r="3714" spans="1:5" x14ac:dyDescent="0.45">
      <c r="A3714" s="2">
        <v>46010</v>
      </c>
      <c r="B3714" s="3">
        <v>84929.36</v>
      </c>
      <c r="C3714" s="3">
        <v>263.55</v>
      </c>
      <c r="D3714" s="3">
        <f t="shared" si="116"/>
        <v>5.2836072281283999E-3</v>
      </c>
      <c r="E3714" s="3">
        <f t="shared" si="117"/>
        <v>2.1671190413916974E-2</v>
      </c>
    </row>
    <row r="3715" spans="1:5" x14ac:dyDescent="0.45">
      <c r="A3715" s="2">
        <v>46013</v>
      </c>
      <c r="B3715" s="3">
        <v>85567.48</v>
      </c>
      <c r="C3715" s="3">
        <v>265</v>
      </c>
      <c r="D3715" s="3">
        <f t="shared" si="116"/>
        <v>7.4854522769099109E-3</v>
      </c>
      <c r="E3715" s="3">
        <f t="shared" si="117"/>
        <v>5.4867226850062196E-3</v>
      </c>
    </row>
    <row r="3716" spans="1:5" x14ac:dyDescent="0.45">
      <c r="A3716" s="2">
        <v>46014</v>
      </c>
      <c r="B3716" s="3">
        <v>85524.84</v>
      </c>
      <c r="C3716" s="3">
        <v>266.95</v>
      </c>
      <c r="D3716" s="3">
        <f t="shared" si="116"/>
        <v>-4.9844435896145498E-4</v>
      </c>
      <c r="E3716" s="3">
        <f t="shared" si="117"/>
        <v>7.3315489599730544E-3</v>
      </c>
    </row>
    <row r="3717" spans="1:5" x14ac:dyDescent="0.45">
      <c r="A3717" s="2">
        <v>46015</v>
      </c>
      <c r="B3717" s="3">
        <v>85408.7</v>
      </c>
      <c r="C3717" s="3">
        <v>268.14999999999998</v>
      </c>
      <c r="D3717" s="3">
        <f t="shared" si="116"/>
        <v>-1.358890921838481E-3</v>
      </c>
      <c r="E3717" s="3">
        <f t="shared" si="117"/>
        <v>4.4851504827389532E-3</v>
      </c>
    </row>
    <row r="3718" spans="1:5" x14ac:dyDescent="0.45">
      <c r="A3718" s="2">
        <v>46017</v>
      </c>
      <c r="B3718" s="3">
        <v>85041.45</v>
      </c>
      <c r="C3718" s="3">
        <v>265.5</v>
      </c>
      <c r="D3718" s="3">
        <f t="shared" ref="D3718:D3721" si="118">LN(B3718/B3717)</f>
        <v>-4.309184454114651E-3</v>
      </c>
      <c r="E3718" s="3">
        <f t="shared" ref="E3718:E3721" si="119">LN(C3718/C3717)</f>
        <v>-9.9316847469405924E-3</v>
      </c>
    </row>
    <row r="3719" spans="1:5" x14ac:dyDescent="0.45">
      <c r="A3719" s="2">
        <v>46020</v>
      </c>
      <c r="B3719" s="3">
        <v>84695.54</v>
      </c>
      <c r="C3719" s="3">
        <v>260.60000000000002</v>
      </c>
      <c r="D3719" s="3">
        <f t="shared" si="118"/>
        <v>-4.075840850817582E-3</v>
      </c>
      <c r="E3719" s="3">
        <f t="shared" si="119"/>
        <v>-1.862817599124866E-2</v>
      </c>
    </row>
    <row r="3720" spans="1:5" x14ac:dyDescent="0.45">
      <c r="A3720" s="2">
        <v>46021</v>
      </c>
      <c r="B3720" s="3">
        <v>84675.08</v>
      </c>
      <c r="C3720" s="3">
        <v>260.3</v>
      </c>
      <c r="D3720" s="3">
        <f t="shared" si="118"/>
        <v>-2.4160034484748994E-4</v>
      </c>
      <c r="E3720" s="3">
        <f t="shared" si="119"/>
        <v>-1.1518526902250907E-3</v>
      </c>
    </row>
    <row r="3721" spans="1:5" x14ac:dyDescent="0.45">
      <c r="A3721" s="2">
        <v>46022</v>
      </c>
      <c r="B3721" s="3">
        <v>85220.6</v>
      </c>
      <c r="C3721" s="3">
        <v>264.55</v>
      </c>
      <c r="D3721" s="3">
        <f t="shared" si="118"/>
        <v>6.4218451554912351E-3</v>
      </c>
      <c r="E3721" s="3">
        <f t="shared" si="119"/>
        <v>1.619545734962104E-2</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85A3B-9443-4E56-95A6-BAA16A4DCC54}">
  <dimension ref="A1:H92"/>
  <sheetViews>
    <sheetView zoomScaleNormal="100" workbookViewId="0">
      <selection activeCell="J9" sqref="J9"/>
    </sheetView>
  </sheetViews>
  <sheetFormatPr defaultRowHeight="14.25" x14ac:dyDescent="0.45"/>
  <cols>
    <col min="1" max="1" width="15.796875" customWidth="1"/>
    <col min="2" max="2" width="13.06640625" customWidth="1"/>
    <col min="3" max="3" width="13.73046875" customWidth="1"/>
    <col min="4" max="4" width="14.3984375" customWidth="1"/>
    <col min="5" max="5" width="11.796875" customWidth="1"/>
    <col min="6" max="6" width="12.73046875" customWidth="1"/>
    <col min="7" max="7" width="13.6640625" customWidth="1"/>
    <col min="8" max="8" width="13.06640625" customWidth="1"/>
    <col min="9" max="9" width="12.06640625" customWidth="1"/>
    <col min="10" max="10" width="14.46484375" customWidth="1"/>
    <col min="11" max="11" width="12.796875" customWidth="1"/>
  </cols>
  <sheetData>
    <row r="1" spans="1:8" ht="25.5" x14ac:dyDescent="0.75">
      <c r="A1" s="277" t="s">
        <v>31</v>
      </c>
      <c r="B1" s="277"/>
      <c r="C1" s="277"/>
    </row>
    <row r="3" spans="1:8" x14ac:dyDescent="0.45">
      <c r="A3" s="204" t="s">
        <v>25</v>
      </c>
      <c r="B3" s="204">
        <v>2019</v>
      </c>
      <c r="C3" s="204">
        <v>2020</v>
      </c>
      <c r="D3" s="204">
        <v>2021</v>
      </c>
      <c r="E3" s="204">
        <v>2022</v>
      </c>
      <c r="F3" s="204">
        <v>2023</v>
      </c>
      <c r="G3" s="204">
        <v>2024</v>
      </c>
      <c r="H3" s="204">
        <v>2025</v>
      </c>
    </row>
    <row r="4" spans="1:8" x14ac:dyDescent="0.45">
      <c r="A4" s="17" t="s">
        <v>32</v>
      </c>
      <c r="B4" s="18"/>
      <c r="C4" s="18"/>
      <c r="D4" s="18"/>
      <c r="E4" s="18"/>
      <c r="F4" s="18"/>
      <c r="G4" s="18"/>
      <c r="H4" s="18"/>
    </row>
    <row r="5" spans="1:8" x14ac:dyDescent="0.45">
      <c r="A5" s="268" t="s">
        <v>33</v>
      </c>
      <c r="B5" s="270">
        <v>34119.120000000003</v>
      </c>
      <c r="C5" s="270">
        <v>36185.54</v>
      </c>
      <c r="D5" s="270">
        <v>37665.65</v>
      </c>
      <c r="E5" s="270">
        <v>39933.39</v>
      </c>
      <c r="F5" s="270">
        <v>43343.05</v>
      </c>
      <c r="G5" s="270">
        <v>42391.16</v>
      </c>
      <c r="H5" s="270">
        <v>41431.49</v>
      </c>
    </row>
    <row r="6" spans="1:8" ht="26.65" x14ac:dyDescent="0.45">
      <c r="A6" s="17" t="s">
        <v>34</v>
      </c>
      <c r="B6" s="3">
        <v>0</v>
      </c>
      <c r="C6" s="3">
        <v>0</v>
      </c>
      <c r="D6" s="3">
        <v>0</v>
      </c>
      <c r="E6" s="3">
        <v>0</v>
      </c>
      <c r="F6" s="3">
        <v>0</v>
      </c>
      <c r="G6" s="3">
        <v>0</v>
      </c>
      <c r="H6" s="3">
        <v>0</v>
      </c>
    </row>
    <row r="7" spans="1:8" ht="26.65" x14ac:dyDescent="0.45">
      <c r="A7" s="17" t="s">
        <v>35</v>
      </c>
      <c r="B7" s="55">
        <v>33891.17</v>
      </c>
      <c r="C7" s="55">
        <v>35242.129999999997</v>
      </c>
      <c r="D7" s="55">
        <v>37329.65</v>
      </c>
      <c r="E7" s="55">
        <v>39146.120000000003</v>
      </c>
      <c r="F7" s="55">
        <v>41857.57</v>
      </c>
      <c r="G7" s="55">
        <v>41081.089999999997</v>
      </c>
      <c r="H7" s="55">
        <v>40232.53</v>
      </c>
    </row>
    <row r="8" spans="1:8" ht="26.65" x14ac:dyDescent="0.45">
      <c r="A8" s="17" t="s">
        <v>36</v>
      </c>
      <c r="B8" s="17">
        <v>227.95</v>
      </c>
      <c r="C8" s="17">
        <v>943.41</v>
      </c>
      <c r="D8" s="17">
        <v>336</v>
      </c>
      <c r="E8" s="17">
        <v>787.27</v>
      </c>
      <c r="F8" s="17">
        <v>1485.48</v>
      </c>
      <c r="G8" s="17">
        <v>1310.07</v>
      </c>
      <c r="H8" s="17">
        <v>1198.96</v>
      </c>
    </row>
    <row r="9" spans="1:8" x14ac:dyDescent="0.45">
      <c r="A9" s="17" t="s">
        <v>37</v>
      </c>
      <c r="B9" s="17">
        <v>0</v>
      </c>
      <c r="C9" s="17">
        <v>0</v>
      </c>
      <c r="D9" s="17">
        <v>0</v>
      </c>
      <c r="E9" s="17">
        <v>0</v>
      </c>
      <c r="F9" s="17">
        <v>0</v>
      </c>
      <c r="G9" s="17">
        <v>0</v>
      </c>
      <c r="H9" s="17">
        <v>0</v>
      </c>
    </row>
    <row r="10" spans="1:8" x14ac:dyDescent="0.45">
      <c r="A10" s="17" t="s">
        <v>38</v>
      </c>
      <c r="B10" s="17">
        <v>0</v>
      </c>
      <c r="C10" s="17">
        <v>0</v>
      </c>
      <c r="D10" s="17">
        <v>0</v>
      </c>
      <c r="E10" s="17">
        <v>0</v>
      </c>
      <c r="F10" s="17">
        <v>0</v>
      </c>
      <c r="G10" s="17">
        <v>0</v>
      </c>
      <c r="H10" s="17">
        <v>0</v>
      </c>
    </row>
    <row r="11" spans="1:8" ht="26.65" x14ac:dyDescent="0.45">
      <c r="A11" s="17" t="s">
        <v>39</v>
      </c>
      <c r="B11" s="19">
        <v>34119.120000000003</v>
      </c>
      <c r="C11" s="19">
        <v>36185.54</v>
      </c>
      <c r="D11" s="19">
        <v>37665.65</v>
      </c>
      <c r="E11" s="19">
        <v>39933.39</v>
      </c>
      <c r="F11" s="19">
        <v>43343.05</v>
      </c>
      <c r="G11" s="19">
        <v>42391.16</v>
      </c>
      <c r="H11" s="19">
        <v>41431.49</v>
      </c>
    </row>
    <row r="12" spans="1:8" x14ac:dyDescent="0.45">
      <c r="A12" s="17" t="s">
        <v>40</v>
      </c>
      <c r="B12" s="19">
        <v>2282.94</v>
      </c>
      <c r="C12" s="19">
        <v>4227.68</v>
      </c>
      <c r="D12" s="19">
        <v>3366.82</v>
      </c>
      <c r="E12" s="19">
        <v>6391.37</v>
      </c>
      <c r="F12" s="19">
        <v>3867.59</v>
      </c>
      <c r="G12" s="19">
        <v>3549.01</v>
      </c>
      <c r="H12" s="19">
        <v>5208.54</v>
      </c>
    </row>
    <row r="13" spans="1:8" x14ac:dyDescent="0.45">
      <c r="A13" s="17" t="s">
        <v>41</v>
      </c>
      <c r="B13" s="17">
        <v>149.78</v>
      </c>
      <c r="C13" s="17">
        <v>303.02</v>
      </c>
      <c r="D13" s="17">
        <v>662.78</v>
      </c>
      <c r="E13" s="17">
        <v>664.38</v>
      </c>
      <c r="F13" s="17">
        <v>671.71</v>
      </c>
      <c r="G13" s="17">
        <v>1038.17</v>
      </c>
      <c r="H13" s="17">
        <v>1377.87</v>
      </c>
    </row>
    <row r="14" spans="1:8" x14ac:dyDescent="0.45">
      <c r="A14" s="17" t="s">
        <v>42</v>
      </c>
      <c r="B14" s="17">
        <v>881.73</v>
      </c>
      <c r="C14" s="17">
        <v>1105.4000000000001</v>
      </c>
      <c r="D14" s="17">
        <v>1139.75</v>
      </c>
      <c r="E14" s="17">
        <v>1089.5999999999999</v>
      </c>
      <c r="F14" s="17">
        <v>1361.44</v>
      </c>
      <c r="G14" s="17">
        <v>1814.71</v>
      </c>
      <c r="H14" s="17">
        <v>2551.62</v>
      </c>
    </row>
    <row r="15" spans="1:8" ht="26.65" x14ac:dyDescent="0.45">
      <c r="A15" s="17" t="s">
        <v>43</v>
      </c>
      <c r="B15" s="17">
        <v>0</v>
      </c>
      <c r="C15" s="17">
        <v>0</v>
      </c>
      <c r="D15" s="17">
        <v>0</v>
      </c>
      <c r="E15" s="17">
        <v>0</v>
      </c>
      <c r="F15" s="17">
        <v>0</v>
      </c>
      <c r="G15" s="17">
        <v>0</v>
      </c>
      <c r="H15" s="17">
        <v>0</v>
      </c>
    </row>
    <row r="16" spans="1:8" ht="26.65" x14ac:dyDescent="0.45">
      <c r="A16" s="17" t="s">
        <v>44</v>
      </c>
      <c r="B16" s="17">
        <v>1.26</v>
      </c>
      <c r="C16" s="17">
        <v>1.1399999999999999</v>
      </c>
      <c r="D16" s="17">
        <v>12.6</v>
      </c>
      <c r="E16" s="17">
        <v>0.02</v>
      </c>
      <c r="F16" s="17">
        <v>5.98</v>
      </c>
      <c r="G16" s="17">
        <v>0.36</v>
      </c>
      <c r="H16" s="17">
        <v>6.41</v>
      </c>
    </row>
    <row r="17" spans="1:8" ht="26.65" x14ac:dyDescent="0.45">
      <c r="A17" s="17" t="s">
        <v>45</v>
      </c>
      <c r="B17" s="17">
        <v>0</v>
      </c>
      <c r="C17" s="17">
        <v>0</v>
      </c>
      <c r="D17" s="17">
        <v>0</v>
      </c>
      <c r="E17" s="17">
        <v>15.95</v>
      </c>
      <c r="F17" s="17">
        <v>0</v>
      </c>
      <c r="G17" s="17">
        <v>9.4600000000000009</v>
      </c>
      <c r="H17" s="17">
        <v>263.57</v>
      </c>
    </row>
    <row r="18" spans="1:8" ht="39.75" x14ac:dyDescent="0.45">
      <c r="A18" s="17" t="s">
        <v>46</v>
      </c>
      <c r="B18" s="17">
        <v>0</v>
      </c>
      <c r="C18" s="17">
        <v>0</v>
      </c>
      <c r="D18" s="17">
        <v>0</v>
      </c>
      <c r="E18" s="17">
        <v>0</v>
      </c>
      <c r="F18" s="17">
        <v>0</v>
      </c>
      <c r="G18" s="17">
        <v>0</v>
      </c>
      <c r="H18" s="17">
        <v>0</v>
      </c>
    </row>
    <row r="19" spans="1:8" ht="26.65" x14ac:dyDescent="0.45">
      <c r="A19" s="17" t="s">
        <v>47</v>
      </c>
      <c r="B19" s="17">
        <v>69.66</v>
      </c>
      <c r="C19" s="17">
        <v>85.13</v>
      </c>
      <c r="D19" s="17">
        <v>81.180000000000007</v>
      </c>
      <c r="E19" s="17">
        <v>73.12</v>
      </c>
      <c r="F19" s="17">
        <v>150.80000000000001</v>
      </c>
      <c r="G19" s="17">
        <v>72.25</v>
      </c>
      <c r="H19" s="17">
        <v>93.79</v>
      </c>
    </row>
    <row r="20" spans="1:8" ht="39.75" x14ac:dyDescent="0.45">
      <c r="A20" s="17" t="s">
        <v>48</v>
      </c>
      <c r="B20" s="17">
        <v>0</v>
      </c>
      <c r="C20" s="17">
        <v>0</v>
      </c>
      <c r="D20" s="17">
        <v>0</v>
      </c>
      <c r="E20" s="17">
        <v>0</v>
      </c>
      <c r="F20" s="17">
        <v>0</v>
      </c>
      <c r="G20" s="17">
        <v>0</v>
      </c>
      <c r="H20" s="17">
        <v>0</v>
      </c>
    </row>
    <row r="21" spans="1:8" ht="39.75" x14ac:dyDescent="0.45">
      <c r="A21" s="17" t="s">
        <v>49</v>
      </c>
      <c r="B21" s="17">
        <v>55.89</v>
      </c>
      <c r="C21" s="17">
        <v>70.05</v>
      </c>
      <c r="D21" s="17">
        <v>19.329999999999998</v>
      </c>
      <c r="E21" s="17">
        <v>21.4</v>
      </c>
      <c r="F21" s="17">
        <v>43.32</v>
      </c>
      <c r="G21" s="17">
        <v>18.04</v>
      </c>
      <c r="H21" s="17">
        <v>43.55</v>
      </c>
    </row>
    <row r="22" spans="1:8" ht="26.65" x14ac:dyDescent="0.45">
      <c r="A22" s="17" t="s">
        <v>50</v>
      </c>
      <c r="B22" s="17">
        <v>0</v>
      </c>
      <c r="C22" s="17">
        <v>0</v>
      </c>
      <c r="D22" s="17">
        <v>0</v>
      </c>
      <c r="E22" s="17">
        <v>0</v>
      </c>
      <c r="F22" s="17">
        <v>0</v>
      </c>
      <c r="G22" s="17">
        <v>0</v>
      </c>
      <c r="H22" s="17">
        <v>0</v>
      </c>
    </row>
    <row r="23" spans="1:8" ht="26.65" x14ac:dyDescent="0.45">
      <c r="A23" s="17" t="s">
        <v>51</v>
      </c>
      <c r="B23" s="17">
        <v>28.25</v>
      </c>
      <c r="C23" s="17">
        <v>147.56</v>
      </c>
      <c r="D23" s="17">
        <v>24.55</v>
      </c>
      <c r="E23" s="17">
        <v>13.13</v>
      </c>
      <c r="F23" s="17">
        <v>29.93</v>
      </c>
      <c r="G23" s="17">
        <v>95.06</v>
      </c>
      <c r="H23" s="17">
        <v>97.58</v>
      </c>
    </row>
    <row r="24" spans="1:8" ht="26.65" x14ac:dyDescent="0.45">
      <c r="A24" s="17" t="s">
        <v>52</v>
      </c>
      <c r="B24" s="17">
        <v>1096.3699999999999</v>
      </c>
      <c r="C24" s="17">
        <v>2515.38</v>
      </c>
      <c r="D24" s="17">
        <v>1426.63</v>
      </c>
      <c r="E24" s="17">
        <v>4513.7700000000004</v>
      </c>
      <c r="F24" s="17">
        <v>1604.41</v>
      </c>
      <c r="G24" s="17">
        <v>500.96</v>
      </c>
      <c r="H24" s="17">
        <v>774.15</v>
      </c>
    </row>
    <row r="25" spans="1:8" x14ac:dyDescent="0.45">
      <c r="A25" s="17" t="s">
        <v>53</v>
      </c>
      <c r="B25" s="19">
        <v>36402.06</v>
      </c>
      <c r="C25" s="19">
        <v>40413.22</v>
      </c>
      <c r="D25" s="19">
        <v>41032.47</v>
      </c>
      <c r="E25" s="19">
        <v>46324.76</v>
      </c>
      <c r="F25" s="19">
        <v>47210.64</v>
      </c>
      <c r="G25" s="19">
        <v>45940.17</v>
      </c>
      <c r="H25" s="19">
        <v>46640.03</v>
      </c>
    </row>
    <row r="26" spans="1:8" x14ac:dyDescent="0.45">
      <c r="A26" s="17" t="s">
        <v>54</v>
      </c>
      <c r="B26" s="18"/>
      <c r="C26" s="18"/>
      <c r="D26" s="18"/>
      <c r="E26" s="18"/>
      <c r="F26" s="18"/>
      <c r="G26" s="18"/>
      <c r="H26" s="18"/>
    </row>
    <row r="27" spans="1:8" ht="26.65" x14ac:dyDescent="0.45">
      <c r="A27" s="17" t="s">
        <v>55</v>
      </c>
      <c r="B27" s="17">
        <v>266.08999999999997</v>
      </c>
      <c r="C27" s="17">
        <v>286.76</v>
      </c>
      <c r="D27" s="17">
        <v>266.25</v>
      </c>
      <c r="E27" s="17">
        <v>295.18</v>
      </c>
      <c r="F27" s="17">
        <v>308.39999999999998</v>
      </c>
      <c r="G27" s="17">
        <v>317.57</v>
      </c>
      <c r="H27" s="17">
        <v>330.8</v>
      </c>
    </row>
    <row r="28" spans="1:8" ht="26.65" x14ac:dyDescent="0.45">
      <c r="A28" s="17" t="s">
        <v>56</v>
      </c>
      <c r="B28" s="17">
        <v>256.32</v>
      </c>
      <c r="C28" s="17">
        <v>282.75</v>
      </c>
      <c r="D28" s="17">
        <v>261.74</v>
      </c>
      <c r="E28" s="17">
        <v>290.83999999999997</v>
      </c>
      <c r="F28" s="17">
        <v>303.07</v>
      </c>
      <c r="G28" s="17">
        <v>312.08999999999997</v>
      </c>
      <c r="H28" s="17">
        <v>326.13</v>
      </c>
    </row>
    <row r="29" spans="1:8" x14ac:dyDescent="0.45">
      <c r="A29" s="17" t="s">
        <v>57</v>
      </c>
      <c r="B29" s="17">
        <v>0</v>
      </c>
      <c r="C29" s="17">
        <v>0</v>
      </c>
      <c r="D29" s="17">
        <v>0</v>
      </c>
      <c r="E29" s="17">
        <v>0</v>
      </c>
      <c r="F29" s="17">
        <v>0</v>
      </c>
      <c r="G29" s="17">
        <v>0</v>
      </c>
      <c r="H29" s="17">
        <v>0</v>
      </c>
    </row>
    <row r="30" spans="1:8" x14ac:dyDescent="0.45">
      <c r="A30" s="17" t="s">
        <v>58</v>
      </c>
      <c r="B30" s="17">
        <v>9.77</v>
      </c>
      <c r="C30" s="17">
        <v>4.01</v>
      </c>
      <c r="D30" s="17">
        <v>4.51</v>
      </c>
      <c r="E30" s="17">
        <v>4.34</v>
      </c>
      <c r="F30" s="17">
        <v>5.33</v>
      </c>
      <c r="G30" s="17">
        <v>5.48</v>
      </c>
      <c r="H30" s="17">
        <v>4.67</v>
      </c>
    </row>
    <row r="31" spans="1:8" x14ac:dyDescent="0.45">
      <c r="A31" s="17" t="s">
        <v>59</v>
      </c>
      <c r="B31" s="17">
        <v>883.22</v>
      </c>
      <c r="C31" s="17">
        <v>872.83</v>
      </c>
      <c r="D31" s="17">
        <v>921.65</v>
      </c>
      <c r="E31" s="19">
        <v>1029.4100000000001</v>
      </c>
      <c r="F31" s="19">
        <v>1038.3699999999999</v>
      </c>
      <c r="G31" s="17">
        <v>951.54</v>
      </c>
      <c r="H31" s="19">
        <v>1039.55</v>
      </c>
    </row>
    <row r="32" spans="1:8" x14ac:dyDescent="0.45">
      <c r="A32" s="17" t="s">
        <v>60</v>
      </c>
      <c r="B32" s="17">
        <v>10.61</v>
      </c>
      <c r="C32" s="17">
        <v>7.02</v>
      </c>
      <c r="D32" s="17">
        <v>5.45</v>
      </c>
      <c r="E32" s="17">
        <v>5.22</v>
      </c>
      <c r="F32" s="17">
        <v>4.6100000000000003</v>
      </c>
      <c r="G32" s="17">
        <v>3.79</v>
      </c>
      <c r="H32" s="17">
        <v>2.98</v>
      </c>
    </row>
    <row r="33" spans="1:8" x14ac:dyDescent="0.45">
      <c r="A33" s="17" t="s">
        <v>61</v>
      </c>
      <c r="B33" s="17">
        <v>810.78</v>
      </c>
      <c r="C33" s="17">
        <v>761.8</v>
      </c>
      <c r="D33" s="17">
        <v>763.58</v>
      </c>
      <c r="E33" s="17">
        <v>818.19</v>
      </c>
      <c r="F33" s="17">
        <v>809.11</v>
      </c>
      <c r="G33" s="17">
        <v>812.95</v>
      </c>
      <c r="H33" s="17">
        <v>924.86</v>
      </c>
    </row>
    <row r="34" spans="1:8" ht="26.65" x14ac:dyDescent="0.45">
      <c r="A34" s="17" t="s">
        <v>62</v>
      </c>
      <c r="B34" s="17">
        <v>724.42</v>
      </c>
      <c r="C34" s="17">
        <v>669.59</v>
      </c>
      <c r="D34" s="17">
        <v>673.58</v>
      </c>
      <c r="E34" s="17">
        <v>719</v>
      </c>
      <c r="F34" s="17">
        <v>705.65</v>
      </c>
      <c r="G34" s="17">
        <v>690.26</v>
      </c>
      <c r="H34" s="17">
        <v>780.2</v>
      </c>
    </row>
    <row r="35" spans="1:8" x14ac:dyDescent="0.45">
      <c r="A35" s="17" t="s">
        <v>63</v>
      </c>
      <c r="B35" s="17">
        <v>86.36</v>
      </c>
      <c r="C35" s="17">
        <v>92.21</v>
      </c>
      <c r="D35" s="17">
        <v>90</v>
      </c>
      <c r="E35" s="17">
        <v>99.19</v>
      </c>
      <c r="F35" s="17">
        <v>103.46</v>
      </c>
      <c r="G35" s="17">
        <v>122.69</v>
      </c>
      <c r="H35" s="17">
        <v>144.66</v>
      </c>
    </row>
    <row r="36" spans="1:8" ht="26.65" x14ac:dyDescent="0.45">
      <c r="A36" s="17" t="s">
        <v>64</v>
      </c>
      <c r="B36" s="17">
        <v>61.83</v>
      </c>
      <c r="C36" s="17">
        <v>104.01</v>
      </c>
      <c r="D36" s="17">
        <v>152.62</v>
      </c>
      <c r="E36" s="17">
        <v>206</v>
      </c>
      <c r="F36" s="17">
        <v>224.65</v>
      </c>
      <c r="G36" s="17">
        <v>134.80000000000001</v>
      </c>
      <c r="H36" s="17">
        <v>111.71</v>
      </c>
    </row>
    <row r="37" spans="1:8" x14ac:dyDescent="0.45">
      <c r="A37" s="17" t="s">
        <v>65</v>
      </c>
      <c r="B37" s="19">
        <v>2300.54</v>
      </c>
      <c r="C37" s="19">
        <v>2448.29</v>
      </c>
      <c r="D37" s="19">
        <v>2594.37</v>
      </c>
      <c r="E37" s="19">
        <v>2627.92</v>
      </c>
      <c r="F37" s="19">
        <v>2763.9</v>
      </c>
      <c r="G37" s="19">
        <v>2635.49</v>
      </c>
      <c r="H37" s="19">
        <v>2847.24</v>
      </c>
    </row>
    <row r="38" spans="1:8" ht="26.65" x14ac:dyDescent="0.45">
      <c r="A38" s="17" t="s">
        <v>66</v>
      </c>
      <c r="B38" s="17">
        <v>1838.79</v>
      </c>
      <c r="C38" s="17">
        <v>2019.71</v>
      </c>
      <c r="D38" s="17">
        <v>2068.1799999999998</v>
      </c>
      <c r="E38" s="17">
        <v>2087.1999999999998</v>
      </c>
      <c r="F38" s="17">
        <v>2147.44</v>
      </c>
      <c r="G38" s="17">
        <v>2089.1</v>
      </c>
      <c r="H38" s="17">
        <v>2219.64</v>
      </c>
    </row>
    <row r="39" spans="1:8" ht="26.65" x14ac:dyDescent="0.45">
      <c r="A39" s="17" t="s">
        <v>67</v>
      </c>
      <c r="B39" s="17">
        <v>228.5</v>
      </c>
      <c r="C39" s="17">
        <v>185.21</v>
      </c>
      <c r="D39" s="17">
        <v>322.95</v>
      </c>
      <c r="E39" s="17">
        <v>269.31</v>
      </c>
      <c r="F39" s="17">
        <v>341.65</v>
      </c>
      <c r="G39" s="17">
        <v>259.79000000000002</v>
      </c>
      <c r="H39" s="17">
        <v>309.97000000000003</v>
      </c>
    </row>
    <row r="40" spans="1:8" ht="26.65" x14ac:dyDescent="0.45">
      <c r="A40" s="17" t="s">
        <v>68</v>
      </c>
      <c r="B40" s="17">
        <v>233.25</v>
      </c>
      <c r="C40" s="17">
        <v>243.37</v>
      </c>
      <c r="D40" s="17">
        <v>203.24</v>
      </c>
      <c r="E40" s="17">
        <v>271.41000000000003</v>
      </c>
      <c r="F40" s="17">
        <v>274.81</v>
      </c>
      <c r="G40" s="17">
        <v>286.60000000000002</v>
      </c>
      <c r="H40" s="17">
        <v>317.63</v>
      </c>
    </row>
    <row r="41" spans="1:8" ht="39.75" x14ac:dyDescent="0.45">
      <c r="A41" s="17" t="s">
        <v>69</v>
      </c>
      <c r="B41" s="17">
        <v>929.13</v>
      </c>
      <c r="C41" s="17">
        <v>942.56</v>
      </c>
      <c r="D41" s="17">
        <v>860.73</v>
      </c>
      <c r="E41" s="17">
        <v>956.73</v>
      </c>
      <c r="F41" s="19">
        <v>1086.32</v>
      </c>
      <c r="G41" s="19">
        <v>1122.54</v>
      </c>
      <c r="H41" s="19">
        <v>1308.33</v>
      </c>
    </row>
    <row r="42" spans="1:8" ht="26.65" x14ac:dyDescent="0.45">
      <c r="A42" s="17" t="s">
        <v>70</v>
      </c>
      <c r="B42" s="17">
        <v>53.58</v>
      </c>
      <c r="C42" s="17">
        <v>96.57</v>
      </c>
      <c r="D42" s="17">
        <v>76.73</v>
      </c>
      <c r="E42" s="17">
        <v>74.73</v>
      </c>
      <c r="F42" s="17">
        <v>79.13</v>
      </c>
      <c r="G42" s="17">
        <v>72.930000000000007</v>
      </c>
      <c r="H42" s="17">
        <v>70.09</v>
      </c>
    </row>
    <row r="43" spans="1:8" x14ac:dyDescent="0.45">
      <c r="A43" s="17" t="s">
        <v>71</v>
      </c>
      <c r="B43" s="17">
        <v>0</v>
      </c>
      <c r="C43" s="17">
        <v>0</v>
      </c>
      <c r="D43" s="17">
        <v>0</v>
      </c>
      <c r="E43" s="17">
        <v>0</v>
      </c>
      <c r="F43" s="17">
        <v>0</v>
      </c>
      <c r="G43" s="17">
        <v>0</v>
      </c>
      <c r="H43" s="17">
        <v>0</v>
      </c>
    </row>
    <row r="44" spans="1:8" x14ac:dyDescent="0.45">
      <c r="A44" s="17" t="s">
        <v>72</v>
      </c>
      <c r="B44" s="17">
        <v>0</v>
      </c>
      <c r="C44" s="17">
        <v>0</v>
      </c>
      <c r="D44" s="17">
        <v>0</v>
      </c>
      <c r="E44" s="17">
        <v>0</v>
      </c>
      <c r="F44" s="17">
        <v>0</v>
      </c>
      <c r="G44" s="17">
        <v>0</v>
      </c>
      <c r="H44" s="17">
        <v>0</v>
      </c>
    </row>
    <row r="45" spans="1:8" ht="26.65" x14ac:dyDescent="0.45">
      <c r="A45" s="17" t="s">
        <v>73</v>
      </c>
      <c r="B45" s="17">
        <v>173.32</v>
      </c>
      <c r="C45" s="17">
        <v>125.61</v>
      </c>
      <c r="D45" s="17">
        <v>128.49</v>
      </c>
      <c r="E45" s="17">
        <v>150.19999999999999</v>
      </c>
      <c r="F45" s="17">
        <v>166.74</v>
      </c>
      <c r="G45" s="17">
        <v>186.27</v>
      </c>
      <c r="H45" s="17">
        <v>218.55</v>
      </c>
    </row>
    <row r="46" spans="1:8" x14ac:dyDescent="0.45">
      <c r="A46" s="17" t="s">
        <v>74</v>
      </c>
      <c r="B46" s="17">
        <v>104.35</v>
      </c>
      <c r="C46" s="17">
        <v>96.78</v>
      </c>
      <c r="D46" s="17">
        <v>110.44</v>
      </c>
      <c r="E46" s="17">
        <v>134.4</v>
      </c>
      <c r="F46" s="17">
        <v>139.68</v>
      </c>
      <c r="G46" s="17">
        <v>144.71</v>
      </c>
      <c r="H46" s="17">
        <v>97.5</v>
      </c>
    </row>
    <row r="47" spans="1:8" x14ac:dyDescent="0.45">
      <c r="A47" s="17" t="s">
        <v>75</v>
      </c>
      <c r="B47" s="17">
        <v>0</v>
      </c>
      <c r="C47" s="17">
        <v>0</v>
      </c>
      <c r="D47" s="17">
        <v>0</v>
      </c>
      <c r="E47" s="17">
        <v>0</v>
      </c>
      <c r="F47" s="17">
        <v>0</v>
      </c>
      <c r="G47" s="17">
        <v>0</v>
      </c>
      <c r="H47" s="17">
        <v>0</v>
      </c>
    </row>
    <row r="48" spans="1:8" x14ac:dyDescent="0.45">
      <c r="A48" s="17" t="s">
        <v>76</v>
      </c>
      <c r="B48" s="17">
        <v>13.95</v>
      </c>
      <c r="C48" s="17">
        <v>17.440000000000001</v>
      </c>
      <c r="D48" s="17">
        <v>6.97</v>
      </c>
      <c r="E48" s="17">
        <v>8.94</v>
      </c>
      <c r="F48" s="17">
        <v>15.94</v>
      </c>
      <c r="G48" s="17">
        <v>12.57</v>
      </c>
      <c r="H48" s="17">
        <v>51.07</v>
      </c>
    </row>
    <row r="49" spans="1:8" ht="26.65" x14ac:dyDescent="0.45">
      <c r="A49" s="17" t="s">
        <v>77</v>
      </c>
      <c r="B49" s="17">
        <v>1.1599999999999999</v>
      </c>
      <c r="C49" s="17">
        <v>1.53</v>
      </c>
      <c r="D49" s="17">
        <v>0.91</v>
      </c>
      <c r="E49" s="17">
        <v>1.84</v>
      </c>
      <c r="F49" s="17">
        <v>2</v>
      </c>
      <c r="G49" s="17">
        <v>1.99</v>
      </c>
      <c r="H49" s="17">
        <v>2</v>
      </c>
    </row>
    <row r="50" spans="1:8" ht="26.65" x14ac:dyDescent="0.45">
      <c r="A50" s="17" t="s">
        <v>78</v>
      </c>
      <c r="B50" s="17">
        <v>11.71</v>
      </c>
      <c r="C50" s="17">
        <v>1.99</v>
      </c>
      <c r="D50" s="17">
        <v>0.4</v>
      </c>
      <c r="E50" s="17">
        <v>1.0900000000000001</v>
      </c>
      <c r="F50" s="17">
        <v>0.28999999999999998</v>
      </c>
      <c r="G50" s="17">
        <v>3.42</v>
      </c>
      <c r="H50" s="17">
        <v>1.1499999999999999</v>
      </c>
    </row>
    <row r="51" spans="1:8" x14ac:dyDescent="0.45">
      <c r="A51" s="17" t="s">
        <v>79</v>
      </c>
      <c r="B51" s="17">
        <v>47.14</v>
      </c>
      <c r="C51" s="17">
        <v>41.66</v>
      </c>
      <c r="D51" s="17">
        <v>34.58</v>
      </c>
      <c r="E51" s="17">
        <v>47.9</v>
      </c>
      <c r="F51" s="17">
        <v>58.14</v>
      </c>
      <c r="G51" s="17">
        <v>58.76</v>
      </c>
      <c r="H51" s="17">
        <v>58.04</v>
      </c>
    </row>
    <row r="52" spans="1:8" ht="26.65" x14ac:dyDescent="0.45">
      <c r="A52" s="17" t="s">
        <v>80</v>
      </c>
      <c r="B52" s="17">
        <v>16.39</v>
      </c>
      <c r="C52" s="17">
        <v>23.49</v>
      </c>
      <c r="D52" s="17">
        <v>20.92</v>
      </c>
      <c r="E52" s="17">
        <v>24.28</v>
      </c>
      <c r="F52" s="17">
        <v>22.73</v>
      </c>
      <c r="G52" s="17">
        <v>27.08</v>
      </c>
      <c r="H52" s="17">
        <v>45.69</v>
      </c>
    </row>
    <row r="53" spans="1:8" x14ac:dyDescent="0.45">
      <c r="A53" s="17" t="s">
        <v>81</v>
      </c>
      <c r="B53" s="17">
        <v>128.75</v>
      </c>
      <c r="C53" s="17">
        <v>128.22999999999999</v>
      </c>
      <c r="D53" s="17">
        <v>92.1</v>
      </c>
      <c r="E53" s="17">
        <v>114.9</v>
      </c>
      <c r="F53" s="17">
        <v>145.41</v>
      </c>
      <c r="G53" s="17">
        <v>144.49</v>
      </c>
      <c r="H53" s="17">
        <v>177.61</v>
      </c>
    </row>
    <row r="54" spans="1:8" x14ac:dyDescent="0.45">
      <c r="A54" s="17" t="s">
        <v>82</v>
      </c>
      <c r="B54" s="17">
        <v>5.04</v>
      </c>
      <c r="C54" s="17">
        <v>6.8</v>
      </c>
      <c r="D54" s="17">
        <v>4.5</v>
      </c>
      <c r="E54" s="17">
        <v>4.83</v>
      </c>
      <c r="F54" s="17">
        <v>5.42</v>
      </c>
      <c r="G54" s="17">
        <v>6.05</v>
      </c>
      <c r="H54" s="17">
        <v>6.66</v>
      </c>
    </row>
    <row r="55" spans="1:8" ht="26.65" x14ac:dyDescent="0.45">
      <c r="A55" s="17" t="s">
        <v>83</v>
      </c>
      <c r="B55" s="17">
        <v>7.22</v>
      </c>
      <c r="C55" s="17">
        <v>6.92</v>
      </c>
      <c r="D55" s="17">
        <v>4.41</v>
      </c>
      <c r="E55" s="17">
        <v>4.7300000000000004</v>
      </c>
      <c r="F55" s="17">
        <v>4.92</v>
      </c>
      <c r="G55" s="17">
        <v>6.49</v>
      </c>
      <c r="H55" s="17">
        <v>4.96</v>
      </c>
    </row>
    <row r="56" spans="1:8" x14ac:dyDescent="0.45">
      <c r="A56" s="17" t="s">
        <v>84</v>
      </c>
      <c r="B56" s="17">
        <v>12.67</v>
      </c>
      <c r="C56" s="17">
        <v>9.5399999999999991</v>
      </c>
      <c r="D56" s="17">
        <v>4.55</v>
      </c>
      <c r="E56" s="17">
        <v>0</v>
      </c>
      <c r="F56" s="17">
        <v>0</v>
      </c>
      <c r="G56" s="17">
        <v>0</v>
      </c>
      <c r="H56" s="17">
        <v>0</v>
      </c>
    </row>
    <row r="57" spans="1:8" ht="39.75" x14ac:dyDescent="0.45">
      <c r="A57" s="17" t="s">
        <v>85</v>
      </c>
      <c r="B57" s="17">
        <v>353.85</v>
      </c>
      <c r="C57" s="17">
        <v>386</v>
      </c>
      <c r="D57" s="17">
        <v>375.73</v>
      </c>
      <c r="E57" s="17">
        <v>388.89</v>
      </c>
      <c r="F57" s="17">
        <v>445.92</v>
      </c>
      <c r="G57" s="17">
        <v>457.78</v>
      </c>
      <c r="H57" s="17">
        <v>575.01</v>
      </c>
    </row>
    <row r="58" spans="1:8" ht="26.65" x14ac:dyDescent="0.45">
      <c r="A58" s="17" t="s">
        <v>86</v>
      </c>
      <c r="B58" s="19">
        <v>4303.3900000000003</v>
      </c>
      <c r="C58" s="19">
        <v>1168.79</v>
      </c>
      <c r="D58" s="19">
        <v>1683.42</v>
      </c>
      <c r="E58" s="19">
        <v>1280.8</v>
      </c>
      <c r="F58" s="19">
        <v>2147.1</v>
      </c>
      <c r="G58" s="19">
        <v>1481.37</v>
      </c>
      <c r="H58" s="17">
        <v>952.69</v>
      </c>
    </row>
    <row r="59" spans="1:8" ht="39.75" x14ac:dyDescent="0.45">
      <c r="A59" s="17" t="s">
        <v>87</v>
      </c>
      <c r="B59" s="17">
        <v>534.51</v>
      </c>
      <c r="C59" s="17">
        <v>523.55999999999995</v>
      </c>
      <c r="D59" s="17">
        <v>531.55999999999995</v>
      </c>
      <c r="E59" s="17">
        <v>431.62</v>
      </c>
      <c r="F59" s="17">
        <v>288.7</v>
      </c>
      <c r="G59" s="17">
        <v>279.99</v>
      </c>
      <c r="H59" s="17">
        <v>289.56</v>
      </c>
    </row>
    <row r="60" spans="1:8" x14ac:dyDescent="0.45">
      <c r="A60" s="17" t="s">
        <v>88</v>
      </c>
      <c r="B60" s="19">
        <v>8147.86</v>
      </c>
      <c r="C60" s="19">
        <v>5195.67</v>
      </c>
      <c r="D60" s="19">
        <v>5794.86</v>
      </c>
      <c r="E60" s="19">
        <v>5758.42</v>
      </c>
      <c r="F60" s="19">
        <v>7055.39</v>
      </c>
      <c r="G60" s="19">
        <v>6228.52</v>
      </c>
      <c r="H60" s="19">
        <v>6189.05</v>
      </c>
    </row>
    <row r="61" spans="1:8" x14ac:dyDescent="0.45">
      <c r="A61" s="268" t="s">
        <v>89</v>
      </c>
      <c r="B61" s="269">
        <v>28254.2</v>
      </c>
      <c r="C61" s="269">
        <v>35217.550000000003</v>
      </c>
      <c r="D61" s="269">
        <v>35237.61</v>
      </c>
      <c r="E61" s="269">
        <v>40566.339999999997</v>
      </c>
      <c r="F61" s="269">
        <v>40155.25</v>
      </c>
      <c r="G61" s="269">
        <v>39711.65</v>
      </c>
      <c r="H61" s="269">
        <v>40450.980000000003</v>
      </c>
    </row>
    <row r="62" spans="1:8" x14ac:dyDescent="0.45">
      <c r="A62" s="17" t="s">
        <v>90</v>
      </c>
      <c r="B62" s="19">
        <v>9091.42</v>
      </c>
      <c r="C62" s="19">
        <v>9813.6200000000008</v>
      </c>
      <c r="D62" s="19">
        <v>8501.01</v>
      </c>
      <c r="E62" s="19">
        <v>8210.94</v>
      </c>
      <c r="F62" s="19">
        <v>9744.25</v>
      </c>
      <c r="G62" s="19">
        <v>9046.8700000000008</v>
      </c>
      <c r="H62" s="19">
        <v>9479.32</v>
      </c>
    </row>
    <row r="63" spans="1:8" x14ac:dyDescent="0.45">
      <c r="A63" s="17" t="s">
        <v>91</v>
      </c>
      <c r="B63" s="17">
        <v>6549.64</v>
      </c>
      <c r="C63" s="17">
        <v>6347.96</v>
      </c>
      <c r="D63" s="17">
        <v>6219.38</v>
      </c>
      <c r="E63" s="17">
        <v>5728.28</v>
      </c>
      <c r="F63" s="17">
        <v>5181.4399999999996</v>
      </c>
      <c r="G63" s="17">
        <v>4745.37</v>
      </c>
      <c r="H63" s="17">
        <v>5088.1099999999997</v>
      </c>
    </row>
    <row r="64" spans="1:8" x14ac:dyDescent="0.45">
      <c r="A64" s="17" t="s">
        <v>92</v>
      </c>
      <c r="B64" s="17">
        <v>0</v>
      </c>
      <c r="C64" s="17">
        <v>0</v>
      </c>
      <c r="D64" s="17">
        <v>0</v>
      </c>
      <c r="E64" s="17">
        <v>0</v>
      </c>
      <c r="F64" s="17">
        <v>0</v>
      </c>
      <c r="G64" s="17">
        <v>0</v>
      </c>
      <c r="H64" s="17">
        <v>0</v>
      </c>
    </row>
    <row r="65" spans="1:8" x14ac:dyDescent="0.45">
      <c r="A65" s="17" t="s">
        <v>93</v>
      </c>
      <c r="B65" s="17">
        <v>0</v>
      </c>
      <c r="C65" s="17">
        <v>0</v>
      </c>
      <c r="D65" s="17">
        <v>0</v>
      </c>
      <c r="E65" s="17">
        <v>0</v>
      </c>
      <c r="F65" s="17">
        <v>0</v>
      </c>
      <c r="G65" s="17">
        <v>0</v>
      </c>
      <c r="H65" s="17">
        <v>0</v>
      </c>
    </row>
    <row r="66" spans="1:8" ht="39.75" x14ac:dyDescent="0.45">
      <c r="A66" s="17" t="s">
        <v>94</v>
      </c>
      <c r="B66" s="17">
        <v>0</v>
      </c>
      <c r="C66" s="17">
        <v>0</v>
      </c>
      <c r="D66" s="17">
        <v>0</v>
      </c>
      <c r="E66" s="17">
        <v>0</v>
      </c>
      <c r="F66" s="17">
        <v>0</v>
      </c>
      <c r="G66" s="17">
        <v>0</v>
      </c>
      <c r="H66" s="17">
        <v>0</v>
      </c>
    </row>
    <row r="67" spans="1:8" x14ac:dyDescent="0.45">
      <c r="A67" s="17" t="s">
        <v>95</v>
      </c>
      <c r="B67" s="17">
        <v>2973.93</v>
      </c>
      <c r="C67" s="17">
        <v>4746.41</v>
      </c>
      <c r="D67" s="17">
        <v>2217.04</v>
      </c>
      <c r="E67" s="17">
        <v>2335.2800000000002</v>
      </c>
      <c r="F67" s="17">
        <v>4296.79</v>
      </c>
      <c r="G67" s="17">
        <v>4146.67</v>
      </c>
      <c r="H67" s="17">
        <v>4318.33</v>
      </c>
    </row>
    <row r="68" spans="1:8" x14ac:dyDescent="0.45">
      <c r="A68" s="17" t="s">
        <v>96</v>
      </c>
      <c r="B68" s="17">
        <v>686.23</v>
      </c>
      <c r="C68" s="17">
        <v>501</v>
      </c>
      <c r="D68" s="17">
        <v>496.14</v>
      </c>
      <c r="E68" s="17">
        <v>430.64</v>
      </c>
      <c r="F68" s="17">
        <v>411.05</v>
      </c>
      <c r="G68" s="17">
        <v>400.84</v>
      </c>
      <c r="H68" s="17">
        <v>378.56</v>
      </c>
    </row>
    <row r="69" spans="1:8" ht="26.65" x14ac:dyDescent="0.45">
      <c r="A69" s="17" t="s">
        <v>97</v>
      </c>
      <c r="B69" s="17">
        <v>1118.3800000000001</v>
      </c>
      <c r="C69" s="17">
        <v>1781.75</v>
      </c>
      <c r="D69" s="17">
        <v>431.55</v>
      </c>
      <c r="E69" s="17">
        <v>283.26</v>
      </c>
      <c r="F69" s="17">
        <v>145.03</v>
      </c>
      <c r="G69" s="17">
        <v>246.01</v>
      </c>
      <c r="H69" s="17">
        <v>305.68</v>
      </c>
    </row>
    <row r="70" spans="1:8" x14ac:dyDescent="0.45">
      <c r="A70" s="268" t="s">
        <v>98</v>
      </c>
      <c r="B70" s="269">
        <v>19162.78</v>
      </c>
      <c r="C70" s="269">
        <v>25403.93</v>
      </c>
      <c r="D70" s="269">
        <v>26736.6</v>
      </c>
      <c r="E70" s="269">
        <v>32355.4</v>
      </c>
      <c r="F70" s="269">
        <v>30411</v>
      </c>
      <c r="G70" s="269">
        <v>30664.78</v>
      </c>
      <c r="H70" s="269">
        <v>30971.66</v>
      </c>
    </row>
    <row r="71" spans="1:8" x14ac:dyDescent="0.45">
      <c r="A71" s="268" t="s">
        <v>99</v>
      </c>
      <c r="B71" s="269">
        <v>10200.67</v>
      </c>
      <c r="C71" s="269">
        <v>11073.18</v>
      </c>
      <c r="D71" s="269">
        <v>11711.68</v>
      </c>
      <c r="E71" s="269">
        <v>12550.58</v>
      </c>
      <c r="F71" s="269">
        <v>12939.88</v>
      </c>
      <c r="G71" s="269">
        <v>12558.19</v>
      </c>
      <c r="H71" s="269">
        <v>12352.23</v>
      </c>
    </row>
    <row r="72" spans="1:8" x14ac:dyDescent="0.45">
      <c r="A72" s="268" t="s">
        <v>100</v>
      </c>
      <c r="B72" s="269">
        <v>8962.11</v>
      </c>
      <c r="C72" s="269">
        <v>14330.75</v>
      </c>
      <c r="D72" s="269">
        <v>15024.92</v>
      </c>
      <c r="E72" s="269">
        <v>19804.82</v>
      </c>
      <c r="F72" s="269">
        <v>17471.12</v>
      </c>
      <c r="G72" s="269">
        <v>18106.59</v>
      </c>
      <c r="H72" s="269">
        <v>18619.43</v>
      </c>
    </row>
    <row r="73" spans="1:8" x14ac:dyDescent="0.45">
      <c r="A73" s="268" t="s">
        <v>101</v>
      </c>
      <c r="B73" s="269">
        <v>2489.4299999999998</v>
      </c>
      <c r="C73" s="269">
        <v>2230.7399999999998</v>
      </c>
      <c r="D73" s="269">
        <v>2529.11</v>
      </c>
      <c r="E73" s="269">
        <v>3282.06</v>
      </c>
      <c r="F73" s="269">
        <v>2913.67</v>
      </c>
      <c r="G73" s="269">
        <v>3236.43</v>
      </c>
      <c r="H73" s="269">
        <v>3177.83</v>
      </c>
    </row>
    <row r="74" spans="1:8" x14ac:dyDescent="0.45">
      <c r="A74" s="17" t="s">
        <v>102</v>
      </c>
      <c r="B74" s="17">
        <v>0</v>
      </c>
      <c r="C74" s="17">
        <v>0</v>
      </c>
      <c r="D74" s="17">
        <v>0</v>
      </c>
      <c r="E74" s="17">
        <v>0</v>
      </c>
      <c r="F74" s="17">
        <v>0</v>
      </c>
      <c r="G74" s="17">
        <v>0</v>
      </c>
      <c r="H74" s="17">
        <v>0</v>
      </c>
    </row>
    <row r="75" spans="1:8" x14ac:dyDescent="0.45">
      <c r="A75" s="17" t="s">
        <v>103</v>
      </c>
      <c r="B75" s="19">
        <v>-3465.87</v>
      </c>
      <c r="C75" s="19">
        <v>1288.83</v>
      </c>
      <c r="D75" s="17">
        <v>560.03</v>
      </c>
      <c r="E75" s="17">
        <v>-571</v>
      </c>
      <c r="F75" s="17">
        <v>-775.57</v>
      </c>
      <c r="G75" s="17">
        <v>-604.45000000000005</v>
      </c>
      <c r="H75" s="17">
        <v>88.03</v>
      </c>
    </row>
    <row r="76" spans="1:8" x14ac:dyDescent="0.45">
      <c r="A76" s="17" t="s">
        <v>104</v>
      </c>
      <c r="B76" s="19">
        <v>9938.5499999999993</v>
      </c>
      <c r="C76" s="19">
        <v>10811.18</v>
      </c>
      <c r="D76" s="19">
        <v>11935.78</v>
      </c>
      <c r="E76" s="19">
        <v>17093.759999999998</v>
      </c>
      <c r="F76" s="19">
        <v>15333.02</v>
      </c>
      <c r="G76" s="19">
        <v>15474.61</v>
      </c>
      <c r="H76" s="19">
        <v>15353.57</v>
      </c>
    </row>
    <row r="77" spans="1:8" x14ac:dyDescent="0.45">
      <c r="A77" s="17" t="s">
        <v>105</v>
      </c>
      <c r="B77" s="19">
        <v>-1221.6500000000001</v>
      </c>
      <c r="C77" s="19">
        <v>1271.1600000000001</v>
      </c>
      <c r="D77" s="19">
        <v>-1160.97</v>
      </c>
      <c r="E77" s="19">
        <v>2860.34</v>
      </c>
      <c r="F77" s="17">
        <v>-982.78</v>
      </c>
      <c r="G77" s="17">
        <v>-10.84</v>
      </c>
      <c r="H77" s="17">
        <v>33.81</v>
      </c>
    </row>
    <row r="78" spans="1:8" x14ac:dyDescent="0.45">
      <c r="A78" s="17" t="s">
        <v>106</v>
      </c>
      <c r="B78" s="19">
        <v>11160.2</v>
      </c>
      <c r="C78" s="19">
        <v>9540.02</v>
      </c>
      <c r="D78" s="19">
        <v>13096.75</v>
      </c>
      <c r="E78" s="19">
        <v>14233.42</v>
      </c>
      <c r="F78" s="19">
        <v>16315.8</v>
      </c>
      <c r="G78" s="19">
        <v>15485.45</v>
      </c>
      <c r="H78" s="19">
        <v>15319.76</v>
      </c>
    </row>
    <row r="79" spans="1:8" ht="26.65" x14ac:dyDescent="0.45">
      <c r="A79" s="17" t="s">
        <v>107</v>
      </c>
      <c r="B79" s="17">
        <v>-299.07</v>
      </c>
      <c r="C79" s="17">
        <v>-311.43</v>
      </c>
      <c r="D79" s="17">
        <v>-14.44</v>
      </c>
      <c r="E79" s="17">
        <v>-187.92</v>
      </c>
      <c r="F79" s="17">
        <v>25</v>
      </c>
      <c r="G79" s="17">
        <v>-760.24</v>
      </c>
      <c r="H79" s="17">
        <v>-17.36</v>
      </c>
    </row>
    <row r="80" spans="1:8" ht="26.65" x14ac:dyDescent="0.45">
      <c r="A80" s="17" t="s">
        <v>108</v>
      </c>
      <c r="B80" s="19">
        <v>2585.7399999999998</v>
      </c>
      <c r="C80" s="19">
        <v>1872.42</v>
      </c>
      <c r="D80" s="19">
        <v>3327.57</v>
      </c>
      <c r="E80" s="19">
        <v>3399.08</v>
      </c>
      <c r="F80" s="19">
        <v>4110.8900000000003</v>
      </c>
      <c r="G80" s="19">
        <v>3989.19</v>
      </c>
      <c r="H80" s="19">
        <v>2013.52</v>
      </c>
    </row>
    <row r="81" spans="1:8" ht="26.65" x14ac:dyDescent="0.45">
      <c r="A81" s="17" t="s">
        <v>109</v>
      </c>
      <c r="B81" s="17">
        <v>0</v>
      </c>
      <c r="C81" s="17">
        <v>0</v>
      </c>
      <c r="D81" s="17">
        <v>0</v>
      </c>
      <c r="E81" s="17">
        <v>0</v>
      </c>
      <c r="F81" s="17">
        <v>0</v>
      </c>
      <c r="G81" s="17">
        <v>0</v>
      </c>
      <c r="H81" s="17">
        <v>0</v>
      </c>
    </row>
    <row r="82" spans="1:8" x14ac:dyDescent="0.45">
      <c r="A82" s="17" t="s">
        <v>110</v>
      </c>
      <c r="B82" s="19">
        <v>10352.799999999999</v>
      </c>
      <c r="C82" s="19">
        <v>9044.6</v>
      </c>
      <c r="D82" s="19">
        <v>11849.83</v>
      </c>
      <c r="E82" s="19">
        <v>16247.93</v>
      </c>
      <c r="F82" s="19">
        <v>15479.72</v>
      </c>
      <c r="G82" s="19">
        <v>16690.04</v>
      </c>
      <c r="H82" s="19">
        <v>15201.63</v>
      </c>
    </row>
    <row r="83" spans="1:8" ht="26.65" x14ac:dyDescent="0.45">
      <c r="A83" s="17" t="s">
        <v>108</v>
      </c>
      <c r="B83" s="19">
        <v>2585.7399999999998</v>
      </c>
      <c r="C83" s="19">
        <v>1872.42</v>
      </c>
      <c r="D83" s="19">
        <v>3327.57</v>
      </c>
      <c r="E83" s="19">
        <v>3399.08</v>
      </c>
      <c r="F83" s="19">
        <v>4110.8900000000003</v>
      </c>
      <c r="G83" s="19">
        <v>3989.19</v>
      </c>
      <c r="H83" s="19">
        <v>2013.52</v>
      </c>
    </row>
    <row r="84" spans="1:8" x14ac:dyDescent="0.45">
      <c r="A84" s="268" t="s">
        <v>111</v>
      </c>
      <c r="B84" s="269">
        <v>3050.02</v>
      </c>
      <c r="C84" s="269">
        <v>3118.02</v>
      </c>
      <c r="D84" s="269">
        <v>4708.43</v>
      </c>
      <c r="E84" s="269">
        <v>8719.32</v>
      </c>
      <c r="F84" s="269">
        <v>6975.45</v>
      </c>
      <c r="G84" s="269">
        <v>7905.51</v>
      </c>
      <c r="H84" s="269">
        <v>7207.97</v>
      </c>
    </row>
    <row r="85" spans="1:8" x14ac:dyDescent="0.45">
      <c r="A85" s="17" t="s">
        <v>112</v>
      </c>
      <c r="B85" s="17">
        <v>0</v>
      </c>
      <c r="C85" s="17">
        <v>0</v>
      </c>
      <c r="D85" s="17">
        <v>0</v>
      </c>
      <c r="E85" s="17">
        <v>0</v>
      </c>
      <c r="F85" s="17">
        <v>0</v>
      </c>
      <c r="G85" s="17">
        <v>0</v>
      </c>
      <c r="H85" s="17">
        <v>0</v>
      </c>
    </row>
    <row r="86" spans="1:8" x14ac:dyDescent="0.45">
      <c r="A86" s="17" t="s">
        <v>113</v>
      </c>
      <c r="B86" s="17">
        <v>83.3</v>
      </c>
      <c r="C86" s="17">
        <v>100</v>
      </c>
      <c r="D86" s="17">
        <v>120</v>
      </c>
      <c r="E86" s="17">
        <v>147.5</v>
      </c>
      <c r="F86" s="17">
        <v>147.5</v>
      </c>
      <c r="G86" s="17">
        <v>112.5</v>
      </c>
      <c r="H86" s="17">
        <v>90</v>
      </c>
    </row>
    <row r="87" spans="1:8" ht="26.65" x14ac:dyDescent="0.45">
      <c r="A87" s="17" t="s">
        <v>114</v>
      </c>
      <c r="B87" s="17">
        <v>8.33</v>
      </c>
      <c r="C87" s="17">
        <v>10</v>
      </c>
      <c r="D87" s="17">
        <v>12</v>
      </c>
      <c r="E87" s="17">
        <v>14.75</v>
      </c>
      <c r="F87" s="17">
        <v>14.75</v>
      </c>
      <c r="G87" s="17">
        <v>11.25</v>
      </c>
      <c r="H87" s="17">
        <v>9</v>
      </c>
    </row>
    <row r="88" spans="1:8" ht="26.65" x14ac:dyDescent="0.45">
      <c r="A88" s="17" t="s">
        <v>115</v>
      </c>
      <c r="B88" s="17">
        <v>19</v>
      </c>
      <c r="C88" s="17">
        <v>20.67</v>
      </c>
      <c r="D88" s="17">
        <v>22.81</v>
      </c>
      <c r="E88" s="17">
        <v>24.51</v>
      </c>
      <c r="F88" s="17">
        <v>21.98</v>
      </c>
      <c r="G88" s="17">
        <v>16.64</v>
      </c>
      <c r="H88" s="17">
        <v>16.510000000000002</v>
      </c>
    </row>
    <row r="89" spans="1:8" ht="26.65" x14ac:dyDescent="0.45">
      <c r="A89" s="17" t="s">
        <v>116</v>
      </c>
      <c r="B89" s="17">
        <v>10.69</v>
      </c>
      <c r="C89" s="17">
        <v>11.63</v>
      </c>
      <c r="D89" s="17">
        <v>12.83</v>
      </c>
      <c r="E89" s="17">
        <v>18.38</v>
      </c>
      <c r="F89" s="17">
        <v>16.489999999999998</v>
      </c>
      <c r="G89" s="17">
        <v>16.64</v>
      </c>
      <c r="H89" s="17">
        <v>16.510000000000002</v>
      </c>
    </row>
    <row r="90" spans="1:8" ht="26.65" x14ac:dyDescent="0.45">
      <c r="A90" s="17" t="s">
        <v>117</v>
      </c>
      <c r="B90" s="17">
        <v>112.81</v>
      </c>
      <c r="C90" s="17">
        <v>123.17</v>
      </c>
      <c r="D90" s="17">
        <v>133</v>
      </c>
      <c r="E90" s="17">
        <v>109.17</v>
      </c>
      <c r="F90" s="17">
        <v>118.77</v>
      </c>
      <c r="G90" s="17">
        <v>93.4</v>
      </c>
      <c r="H90" s="17">
        <v>99.15</v>
      </c>
    </row>
    <row r="91" spans="1:8" ht="26.65" x14ac:dyDescent="0.45">
      <c r="A91" s="17" t="s">
        <v>118</v>
      </c>
      <c r="B91" s="17">
        <v>63.46</v>
      </c>
      <c r="C91" s="17">
        <v>69.28</v>
      </c>
      <c r="D91" s="17">
        <v>74.81</v>
      </c>
      <c r="E91" s="17">
        <v>81.88</v>
      </c>
      <c r="F91" s="17">
        <v>89.08</v>
      </c>
      <c r="G91" s="17">
        <v>93.4</v>
      </c>
      <c r="H91" s="17">
        <v>99.15</v>
      </c>
    </row>
    <row r="92" spans="1:8" ht="26.65" x14ac:dyDescent="0.45">
      <c r="A92" s="17" t="s">
        <v>119</v>
      </c>
      <c r="B92" s="17">
        <v>4.6900000000000004</v>
      </c>
      <c r="C92" s="17">
        <v>5.62</v>
      </c>
      <c r="D92" s="17">
        <v>6.75</v>
      </c>
      <c r="E92" s="17">
        <v>11.06</v>
      </c>
      <c r="F92" s="17">
        <v>11.06</v>
      </c>
      <c r="G92" s="17">
        <v>11.25</v>
      </c>
      <c r="H92" s="17">
        <v>9</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04CBB-C406-4143-B46A-866066E1348F}">
  <dimension ref="A1:H51"/>
  <sheetViews>
    <sheetView zoomScale="88" workbookViewId="0">
      <selection activeCell="D26" sqref="D26"/>
    </sheetView>
  </sheetViews>
  <sheetFormatPr defaultRowHeight="14.25" x14ac:dyDescent="0.45"/>
  <cols>
    <col min="1" max="1" width="28.59765625" customWidth="1"/>
    <col min="2" max="2" width="12.9296875" customWidth="1"/>
    <col min="3" max="3" width="13.19921875" customWidth="1"/>
    <col min="4" max="4" width="15.59765625" customWidth="1"/>
    <col min="5" max="5" width="13.06640625" customWidth="1"/>
    <col min="6" max="6" width="13.265625" customWidth="1"/>
    <col min="7" max="7" width="14.19921875" customWidth="1"/>
    <col min="8" max="9" width="13.06640625" customWidth="1"/>
    <col min="10" max="10" width="13.46484375" customWidth="1"/>
    <col min="11" max="11" width="13" customWidth="1"/>
  </cols>
  <sheetData>
    <row r="1" spans="1:8" ht="25.5" x14ac:dyDescent="0.75">
      <c r="A1" s="205" t="s">
        <v>24</v>
      </c>
    </row>
    <row r="3" spans="1:8" x14ac:dyDescent="0.45">
      <c r="A3" s="202" t="s">
        <v>25</v>
      </c>
      <c r="B3" s="202">
        <v>2019</v>
      </c>
      <c r="C3" s="203">
        <v>2020</v>
      </c>
      <c r="D3" s="203">
        <v>2021</v>
      </c>
      <c r="E3" s="203">
        <v>2022</v>
      </c>
      <c r="F3" s="203">
        <v>2023</v>
      </c>
      <c r="G3" s="203">
        <v>2024</v>
      </c>
      <c r="H3" s="203">
        <v>2025</v>
      </c>
    </row>
    <row r="4" spans="1:8" x14ac:dyDescent="0.45">
      <c r="A4" s="46" t="s">
        <v>368</v>
      </c>
      <c r="B4" s="25"/>
      <c r="C4" s="25"/>
      <c r="D4" s="25"/>
      <c r="E4" s="25"/>
      <c r="F4" s="25"/>
      <c r="G4" s="25"/>
      <c r="H4" s="25"/>
    </row>
    <row r="5" spans="1:8" x14ac:dyDescent="0.45">
      <c r="A5" s="44" t="s">
        <v>369</v>
      </c>
      <c r="B5" s="45">
        <v>5231.59</v>
      </c>
      <c r="C5" s="45">
        <v>5231.59</v>
      </c>
      <c r="D5" s="45">
        <v>5231.59</v>
      </c>
      <c r="E5" s="45">
        <v>6975.45</v>
      </c>
      <c r="F5" s="45">
        <v>6975.45</v>
      </c>
      <c r="G5" s="45">
        <v>9300.6</v>
      </c>
      <c r="H5" s="45">
        <v>9300.6</v>
      </c>
    </row>
    <row r="6" spans="1:8" x14ac:dyDescent="0.45">
      <c r="A6" s="44" t="s">
        <v>370</v>
      </c>
      <c r="B6" s="45">
        <v>5231.59</v>
      </c>
      <c r="C6" s="45">
        <v>5231.59</v>
      </c>
      <c r="D6" s="45">
        <v>5231.59</v>
      </c>
      <c r="E6" s="45">
        <v>6975.45</v>
      </c>
      <c r="F6" s="45">
        <v>6975.45</v>
      </c>
      <c r="G6" s="45">
        <v>9300.6</v>
      </c>
      <c r="H6" s="45">
        <v>9300.6</v>
      </c>
    </row>
    <row r="7" spans="1:8" x14ac:dyDescent="0.45">
      <c r="A7" s="44" t="s">
        <v>371</v>
      </c>
      <c r="B7" s="45">
        <v>53785.55</v>
      </c>
      <c r="C7" s="45">
        <v>59208.1</v>
      </c>
      <c r="D7" s="45">
        <v>64347.25</v>
      </c>
      <c r="E7" s="45">
        <v>69176.12</v>
      </c>
      <c r="F7" s="45">
        <v>75868.73</v>
      </c>
      <c r="G7" s="45">
        <v>77566.45</v>
      </c>
      <c r="H7" s="45">
        <v>82915.05</v>
      </c>
    </row>
    <row r="8" spans="1:8" x14ac:dyDescent="0.45">
      <c r="A8" s="46" t="s">
        <v>372</v>
      </c>
      <c r="B8" s="47">
        <v>59017.14</v>
      </c>
      <c r="C8" s="47">
        <v>64439.69</v>
      </c>
      <c r="D8" s="47">
        <v>69578.84</v>
      </c>
      <c r="E8" s="47">
        <v>76151.570000000007</v>
      </c>
      <c r="F8" s="47">
        <v>82844.179999999993</v>
      </c>
      <c r="G8" s="47">
        <v>86867.05</v>
      </c>
      <c r="H8" s="47">
        <v>92215.65</v>
      </c>
    </row>
    <row r="9" spans="1:8" x14ac:dyDescent="0.45">
      <c r="A9" s="46" t="s">
        <v>373</v>
      </c>
      <c r="B9" s="25"/>
      <c r="C9" s="25"/>
      <c r="D9" s="25"/>
      <c r="E9" s="25"/>
      <c r="F9" s="25"/>
      <c r="G9" s="25"/>
      <c r="H9" s="25"/>
    </row>
    <row r="10" spans="1:8" x14ac:dyDescent="0.45">
      <c r="A10" s="44" t="s">
        <v>374</v>
      </c>
      <c r="B10" s="45">
        <v>131039.51</v>
      </c>
      <c r="C10" s="45">
        <v>135421.10999999999</v>
      </c>
      <c r="D10" s="45">
        <v>129080.07</v>
      </c>
      <c r="E10" s="45">
        <v>114199.4</v>
      </c>
      <c r="F10" s="45">
        <v>113891.29</v>
      </c>
      <c r="G10" s="45">
        <v>105066.95</v>
      </c>
      <c r="H10" s="45">
        <v>109857.95</v>
      </c>
    </row>
    <row r="11" spans="1:8" x14ac:dyDescent="0.45">
      <c r="A11" s="44" t="s">
        <v>375</v>
      </c>
      <c r="B11" s="44" t="s">
        <v>211</v>
      </c>
      <c r="C11" s="44">
        <v>0</v>
      </c>
      <c r="D11" s="44">
        <v>17.66</v>
      </c>
      <c r="E11" s="44">
        <v>27.04</v>
      </c>
      <c r="F11" s="44">
        <v>61.63</v>
      </c>
      <c r="G11" s="44">
        <v>37.24</v>
      </c>
      <c r="H11" s="44">
        <v>39.299999999999997</v>
      </c>
    </row>
    <row r="12" spans="1:8" x14ac:dyDescent="0.45">
      <c r="A12" s="44" t="s">
        <v>376</v>
      </c>
      <c r="B12" s="45">
        <v>10093.02</v>
      </c>
      <c r="C12" s="45">
        <v>11381.85</v>
      </c>
      <c r="D12" s="45">
        <v>11941.88</v>
      </c>
      <c r="E12" s="45">
        <v>11424.78</v>
      </c>
      <c r="F12" s="45">
        <v>10619.9</v>
      </c>
      <c r="G12" s="45">
        <v>9981.4</v>
      </c>
      <c r="H12" s="45">
        <v>10038.68</v>
      </c>
    </row>
    <row r="13" spans="1:8" x14ac:dyDescent="0.45">
      <c r="A13" s="44" t="s">
        <v>30</v>
      </c>
      <c r="B13" s="45">
        <v>17015.07</v>
      </c>
      <c r="C13" s="45">
        <v>20018.439999999999</v>
      </c>
      <c r="D13" s="45">
        <v>22719</v>
      </c>
      <c r="E13" s="45">
        <v>25452.47</v>
      </c>
      <c r="F13" s="45">
        <v>26665.99</v>
      </c>
      <c r="G13" s="45">
        <v>27244.26</v>
      </c>
      <c r="H13" s="45">
        <v>27739.599999999999</v>
      </c>
    </row>
    <row r="14" spans="1:8" x14ac:dyDescent="0.45">
      <c r="A14" s="44" t="s">
        <v>29</v>
      </c>
      <c r="B14" s="45">
        <v>6922.05</v>
      </c>
      <c r="C14" s="45">
        <v>8636.59</v>
      </c>
      <c r="D14" s="45">
        <v>10777.12</v>
      </c>
      <c r="E14" s="45">
        <v>14027.69</v>
      </c>
      <c r="F14" s="45">
        <v>16046.09</v>
      </c>
      <c r="G14" s="45">
        <v>17262.86</v>
      </c>
      <c r="H14" s="45">
        <v>17700.919999999998</v>
      </c>
    </row>
    <row r="15" spans="1:8" x14ac:dyDescent="0.45">
      <c r="A15" s="44" t="s">
        <v>377</v>
      </c>
      <c r="B15" s="45">
        <v>4384.01</v>
      </c>
      <c r="C15" s="45">
        <v>3876.67</v>
      </c>
      <c r="D15" s="45">
        <v>3914.45</v>
      </c>
      <c r="E15" s="45">
        <v>3763.89</v>
      </c>
      <c r="F15" s="45">
        <v>3761.77</v>
      </c>
      <c r="G15" s="45">
        <v>12088.36</v>
      </c>
      <c r="H15" s="45">
        <v>11489.1</v>
      </c>
    </row>
    <row r="16" spans="1:8" x14ac:dyDescent="0.45">
      <c r="A16" s="44" t="s">
        <v>378</v>
      </c>
      <c r="B16" s="44">
        <v>368.15</v>
      </c>
      <c r="C16" s="44">
        <v>424.71</v>
      </c>
      <c r="D16" s="44">
        <v>461.93</v>
      </c>
      <c r="E16" s="44">
        <v>517.04999999999995</v>
      </c>
      <c r="F16" s="44">
        <v>577.61</v>
      </c>
      <c r="G16" s="44">
        <v>643.11</v>
      </c>
      <c r="H16" s="44">
        <v>723.77</v>
      </c>
    </row>
    <row r="17" spans="1:8" x14ac:dyDescent="0.45">
      <c r="A17" s="46" t="s">
        <v>379</v>
      </c>
      <c r="B17" s="47">
        <v>145884.69</v>
      </c>
      <c r="C17" s="47">
        <v>151104.34</v>
      </c>
      <c r="D17" s="47">
        <v>145415.99</v>
      </c>
      <c r="E17" s="47">
        <v>129932.16</v>
      </c>
      <c r="F17" s="47">
        <v>128912.2</v>
      </c>
      <c r="G17" s="47">
        <v>127817.06</v>
      </c>
      <c r="H17" s="47">
        <v>132148.79999999999</v>
      </c>
    </row>
    <row r="18" spans="1:8" x14ac:dyDescent="0.45">
      <c r="A18" s="46" t="s">
        <v>380</v>
      </c>
      <c r="B18" s="25"/>
      <c r="C18" s="25"/>
      <c r="D18" s="25"/>
      <c r="E18" s="25"/>
      <c r="F18" s="25"/>
      <c r="G18" s="25"/>
      <c r="H18" s="25"/>
    </row>
    <row r="19" spans="1:8" x14ac:dyDescent="0.45">
      <c r="A19" s="44" t="s">
        <v>381</v>
      </c>
      <c r="B19" s="45">
        <v>4300</v>
      </c>
      <c r="C19" s="45">
        <v>3000</v>
      </c>
      <c r="D19" s="45">
        <v>13971.41</v>
      </c>
      <c r="E19" s="45">
        <v>20465.87</v>
      </c>
      <c r="F19" s="45">
        <v>14626.22</v>
      </c>
      <c r="G19" s="45">
        <v>18381.669999999998</v>
      </c>
      <c r="H19" s="45">
        <v>21107.01</v>
      </c>
    </row>
    <row r="20" spans="1:8" x14ac:dyDescent="0.45">
      <c r="A20" s="44" t="s">
        <v>375</v>
      </c>
      <c r="B20" s="44" t="s">
        <v>211</v>
      </c>
      <c r="C20" s="44">
        <v>0</v>
      </c>
      <c r="D20" s="44">
        <v>17.66</v>
      </c>
      <c r="E20" s="44">
        <v>27.04</v>
      </c>
      <c r="F20" s="44">
        <v>61.63</v>
      </c>
      <c r="G20" s="44">
        <v>37.24</v>
      </c>
      <c r="H20" s="44">
        <v>39.299999999999997</v>
      </c>
    </row>
    <row r="21" spans="1:8" x14ac:dyDescent="0.45">
      <c r="A21" s="44" t="s">
        <v>382</v>
      </c>
      <c r="B21" s="44">
        <v>364.11</v>
      </c>
      <c r="C21" s="44">
        <v>225.72</v>
      </c>
      <c r="D21" s="44">
        <v>186.3</v>
      </c>
      <c r="E21" s="44">
        <v>266.14</v>
      </c>
      <c r="F21" s="44">
        <v>325.02</v>
      </c>
      <c r="G21" s="44">
        <v>354.07</v>
      </c>
      <c r="H21" s="44">
        <v>567.67999999999995</v>
      </c>
    </row>
    <row r="22" spans="1:8" x14ac:dyDescent="0.45">
      <c r="A22" s="44" t="s">
        <v>383</v>
      </c>
      <c r="B22" s="45">
        <v>36206.47</v>
      </c>
      <c r="C22" s="45">
        <v>36015.18</v>
      </c>
      <c r="D22" s="45">
        <v>23854.42</v>
      </c>
      <c r="E22" s="45">
        <v>20126.849999999999</v>
      </c>
      <c r="F22" s="45">
        <v>20688.45</v>
      </c>
      <c r="G22" s="45">
        <v>11414.02</v>
      </c>
      <c r="H22" s="45">
        <v>11052</v>
      </c>
    </row>
    <row r="23" spans="1:8" x14ac:dyDescent="0.45">
      <c r="A23" s="44" t="s">
        <v>384</v>
      </c>
      <c r="B23" s="44">
        <v>700.59</v>
      </c>
      <c r="C23" s="44">
        <v>764.73</v>
      </c>
      <c r="D23" s="45">
        <v>1261.3900000000001</v>
      </c>
      <c r="E23" s="44">
        <v>932.31</v>
      </c>
      <c r="F23" s="44">
        <v>816.01</v>
      </c>
      <c r="G23" s="44">
        <v>583.36</v>
      </c>
      <c r="H23" s="44">
        <v>769.49</v>
      </c>
    </row>
    <row r="24" spans="1:8" x14ac:dyDescent="0.45">
      <c r="A24" s="46" t="s">
        <v>28</v>
      </c>
      <c r="B24" s="47">
        <v>41571.17</v>
      </c>
      <c r="C24" s="47">
        <v>40005.629999999997</v>
      </c>
      <c r="D24" s="47">
        <v>39277.449999999997</v>
      </c>
      <c r="E24" s="47">
        <v>41793.910000000003</v>
      </c>
      <c r="F24" s="47">
        <v>36459.79</v>
      </c>
      <c r="G24" s="47">
        <v>30737.3</v>
      </c>
      <c r="H24" s="47">
        <v>33505.22</v>
      </c>
    </row>
    <row r="25" spans="1:8" x14ac:dyDescent="0.45">
      <c r="A25" s="44" t="s">
        <v>385</v>
      </c>
      <c r="B25" s="44">
        <v>0</v>
      </c>
      <c r="C25" s="44">
        <v>0</v>
      </c>
      <c r="D25" s="44">
        <v>0</v>
      </c>
      <c r="E25" s="44">
        <v>0</v>
      </c>
      <c r="F25" s="44">
        <v>0</v>
      </c>
      <c r="G25" s="44">
        <v>0</v>
      </c>
      <c r="H25" s="44">
        <v>0</v>
      </c>
    </row>
    <row r="26" spans="1:8" x14ac:dyDescent="0.45">
      <c r="A26" s="44" t="s">
        <v>386</v>
      </c>
      <c r="B26" s="45">
        <v>246473</v>
      </c>
      <c r="C26" s="45">
        <v>255549.66</v>
      </c>
      <c r="D26" s="45">
        <v>254272.28</v>
      </c>
      <c r="E26" s="45">
        <v>247877.64</v>
      </c>
      <c r="F26" s="45">
        <v>248216.17</v>
      </c>
      <c r="G26" s="45">
        <v>245421.41</v>
      </c>
      <c r="H26" s="45">
        <v>257869.67</v>
      </c>
    </row>
    <row r="27" spans="1:8" x14ac:dyDescent="0.45">
      <c r="A27" s="44" t="s">
        <v>387</v>
      </c>
      <c r="B27" s="25"/>
      <c r="C27" s="25"/>
      <c r="D27" s="25"/>
      <c r="E27" s="25"/>
      <c r="F27" s="25"/>
      <c r="G27" s="25"/>
      <c r="H27" s="25"/>
    </row>
    <row r="28" spans="1:8" x14ac:dyDescent="0.45">
      <c r="A28" s="46" t="s">
        <v>388</v>
      </c>
      <c r="B28" s="25"/>
      <c r="C28" s="25"/>
      <c r="D28" s="25"/>
      <c r="E28" s="25"/>
      <c r="F28" s="25"/>
      <c r="G28" s="25"/>
      <c r="H28" s="25"/>
    </row>
    <row r="29" spans="1:8" x14ac:dyDescent="0.45">
      <c r="A29" s="44" t="s">
        <v>389</v>
      </c>
      <c r="B29" s="45">
        <v>197438.06</v>
      </c>
      <c r="C29" s="45">
        <v>200236.06</v>
      </c>
      <c r="D29" s="45">
        <v>194915.03</v>
      </c>
      <c r="E29" s="45">
        <v>187107.75</v>
      </c>
      <c r="F29" s="45">
        <v>179976.76</v>
      </c>
      <c r="G29" s="45">
        <v>172372.68</v>
      </c>
      <c r="H29" s="45">
        <v>166033.9</v>
      </c>
    </row>
    <row r="30" spans="1:8" x14ac:dyDescent="0.45">
      <c r="A30" s="44" t="s">
        <v>390</v>
      </c>
      <c r="B30" s="45">
        <v>162266.88</v>
      </c>
      <c r="C30" s="45">
        <v>168339.02</v>
      </c>
      <c r="D30" s="45">
        <v>175392.06</v>
      </c>
      <c r="E30" s="45">
        <v>178175.63</v>
      </c>
      <c r="F30" s="45">
        <v>170801.36</v>
      </c>
      <c r="G30" s="45">
        <v>161333.81</v>
      </c>
      <c r="H30" s="45">
        <v>152384.51</v>
      </c>
    </row>
    <row r="31" spans="1:8" x14ac:dyDescent="0.45">
      <c r="A31" s="44" t="s">
        <v>391</v>
      </c>
      <c r="B31" s="45">
        <v>1593.1</v>
      </c>
      <c r="C31" s="45">
        <v>1497.41</v>
      </c>
      <c r="D31" s="45">
        <v>1551.44</v>
      </c>
      <c r="E31" s="45">
        <v>1556.13</v>
      </c>
      <c r="F31" s="45">
        <v>1476.19</v>
      </c>
      <c r="G31" s="45">
        <v>1366.7</v>
      </c>
      <c r="H31" s="45">
        <v>1250.3499999999999</v>
      </c>
    </row>
    <row r="32" spans="1:8" x14ac:dyDescent="0.45">
      <c r="A32" s="44" t="s">
        <v>392</v>
      </c>
      <c r="B32" s="45">
        <v>33364.019999999997</v>
      </c>
      <c r="C32" s="45">
        <v>30180.080000000002</v>
      </c>
      <c r="D32" s="45">
        <v>17896.669999999998</v>
      </c>
      <c r="E32" s="45">
        <v>7344.46</v>
      </c>
      <c r="F32" s="45">
        <v>7668.13</v>
      </c>
      <c r="G32" s="45">
        <v>9581.16</v>
      </c>
      <c r="H32" s="45">
        <v>12166.85</v>
      </c>
    </row>
    <row r="33" spans="1:8" x14ac:dyDescent="0.45">
      <c r="A33" s="44" t="s">
        <v>393</v>
      </c>
      <c r="B33" s="44">
        <v>214.06</v>
      </c>
      <c r="C33" s="44">
        <v>219.55</v>
      </c>
      <c r="D33" s="44">
        <v>74.86</v>
      </c>
      <c r="E33" s="44">
        <v>31.53</v>
      </c>
      <c r="F33" s="44">
        <v>31.08</v>
      </c>
      <c r="G33" s="44">
        <v>91.01</v>
      </c>
      <c r="H33" s="44">
        <v>232.19</v>
      </c>
    </row>
    <row r="34" spans="1:8" x14ac:dyDescent="0.45">
      <c r="A34" s="44" t="s">
        <v>394</v>
      </c>
      <c r="B34" s="44" t="s">
        <v>211</v>
      </c>
      <c r="C34" s="44">
        <v>0</v>
      </c>
      <c r="D34" s="44">
        <v>0</v>
      </c>
      <c r="E34" s="44">
        <v>0</v>
      </c>
      <c r="F34" s="44">
        <v>0</v>
      </c>
      <c r="G34" s="44">
        <v>0</v>
      </c>
      <c r="H34" s="44">
        <v>0</v>
      </c>
    </row>
    <row r="35" spans="1:8" x14ac:dyDescent="0.45">
      <c r="A35" s="44" t="s">
        <v>395</v>
      </c>
      <c r="B35" s="45">
        <v>2756.56</v>
      </c>
      <c r="C35" s="45">
        <v>3763.69</v>
      </c>
      <c r="D35" s="45">
        <v>4265.3900000000003</v>
      </c>
      <c r="E35" s="45">
        <v>7228.53</v>
      </c>
      <c r="F35" s="45">
        <v>7414.95</v>
      </c>
      <c r="G35" s="45">
        <v>8733.4699999999993</v>
      </c>
      <c r="H35" s="45">
        <v>11314.17</v>
      </c>
    </row>
    <row r="36" spans="1:8" x14ac:dyDescent="0.45">
      <c r="A36" s="44" t="s">
        <v>396</v>
      </c>
      <c r="B36" s="44">
        <v>0</v>
      </c>
      <c r="C36" s="44">
        <v>0</v>
      </c>
      <c r="D36" s="44">
        <v>0</v>
      </c>
      <c r="E36" s="44">
        <v>0</v>
      </c>
      <c r="F36" s="44">
        <v>0</v>
      </c>
      <c r="G36" s="44">
        <v>0</v>
      </c>
      <c r="H36" s="44">
        <v>0</v>
      </c>
    </row>
    <row r="37" spans="1:8" x14ac:dyDescent="0.45">
      <c r="A37" s="44" t="s">
        <v>29</v>
      </c>
      <c r="B37" s="45">
        <v>6922.05</v>
      </c>
      <c r="C37" s="45">
        <v>8636.59</v>
      </c>
      <c r="D37" s="45">
        <v>10777.12</v>
      </c>
      <c r="E37" s="45">
        <v>14027.69</v>
      </c>
      <c r="F37" s="45">
        <v>16046.09</v>
      </c>
      <c r="G37" s="45">
        <v>17262.86</v>
      </c>
      <c r="H37" s="45">
        <v>17700.919999999998</v>
      </c>
    </row>
    <row r="38" spans="1:8" x14ac:dyDescent="0.45">
      <c r="A38" s="44" t="s">
        <v>30</v>
      </c>
      <c r="B38" s="45">
        <v>17015.07</v>
      </c>
      <c r="C38" s="45">
        <v>20018.439999999999</v>
      </c>
      <c r="D38" s="45">
        <v>22719</v>
      </c>
      <c r="E38" s="45">
        <v>25452.47</v>
      </c>
      <c r="F38" s="45">
        <v>26665.99</v>
      </c>
      <c r="G38" s="45">
        <v>27244.26</v>
      </c>
      <c r="H38" s="45">
        <v>27739.599999999999</v>
      </c>
    </row>
    <row r="39" spans="1:8" x14ac:dyDescent="0.45">
      <c r="A39" s="44" t="s">
        <v>397</v>
      </c>
      <c r="B39" s="45">
        <v>12184.06</v>
      </c>
      <c r="C39" s="45">
        <v>13391.07</v>
      </c>
      <c r="D39" s="45">
        <v>10829.36</v>
      </c>
      <c r="E39" s="45">
        <v>14704.44</v>
      </c>
      <c r="F39" s="45">
        <v>17927.759999999998</v>
      </c>
      <c r="G39" s="45">
        <v>22399.8</v>
      </c>
      <c r="H39" s="45">
        <v>36846.86</v>
      </c>
    </row>
    <row r="40" spans="1:8" x14ac:dyDescent="0.45">
      <c r="A40" s="44" t="s">
        <v>398</v>
      </c>
      <c r="B40" s="45">
        <v>8138.74</v>
      </c>
      <c r="C40" s="45">
        <v>9626.66</v>
      </c>
      <c r="D40" s="45">
        <v>8702.91</v>
      </c>
      <c r="E40" s="45">
        <v>8507.5300000000007</v>
      </c>
      <c r="F40" s="45">
        <v>9381.52</v>
      </c>
      <c r="G40" s="45">
        <v>8995.31</v>
      </c>
      <c r="H40" s="45">
        <v>8802.1</v>
      </c>
    </row>
    <row r="41" spans="1:8" x14ac:dyDescent="0.45">
      <c r="A41" s="44" t="s">
        <v>399</v>
      </c>
      <c r="B41" s="45">
        <v>220517.42</v>
      </c>
      <c r="C41" s="45">
        <v>227017.48</v>
      </c>
      <c r="D41" s="45">
        <v>218712.69</v>
      </c>
      <c r="E41" s="45">
        <v>217548.25</v>
      </c>
      <c r="F41" s="45">
        <v>214700.99</v>
      </c>
      <c r="G41" s="45">
        <v>212501.26</v>
      </c>
      <c r="H41" s="45">
        <v>222997.03</v>
      </c>
    </row>
    <row r="42" spans="1:8" x14ac:dyDescent="0.45">
      <c r="A42" s="46" t="s">
        <v>400</v>
      </c>
      <c r="B42" s="25"/>
      <c r="C42" s="25"/>
      <c r="D42" s="25"/>
      <c r="E42" s="25"/>
      <c r="F42" s="25"/>
      <c r="G42" s="25"/>
      <c r="H42" s="25"/>
    </row>
    <row r="43" spans="1:8" x14ac:dyDescent="0.45">
      <c r="A43" s="44" t="s">
        <v>401</v>
      </c>
      <c r="B43" s="44">
        <v>0</v>
      </c>
      <c r="C43" s="44">
        <v>0</v>
      </c>
      <c r="D43" s="44">
        <v>0</v>
      </c>
      <c r="E43" s="44">
        <v>0</v>
      </c>
      <c r="F43" s="44">
        <v>0</v>
      </c>
      <c r="G43" s="44">
        <v>608.26</v>
      </c>
      <c r="H43" s="44">
        <v>0</v>
      </c>
    </row>
    <row r="44" spans="1:8" x14ac:dyDescent="0.45">
      <c r="A44" s="44" t="s">
        <v>26</v>
      </c>
      <c r="B44" s="45">
        <v>1226.28</v>
      </c>
      <c r="C44" s="45">
        <v>1400.56</v>
      </c>
      <c r="D44" s="45">
        <v>1362.82</v>
      </c>
      <c r="E44" s="45">
        <v>1352.6</v>
      </c>
      <c r="F44" s="45">
        <v>1323.55</v>
      </c>
      <c r="G44" s="45">
        <v>1303.73</v>
      </c>
      <c r="H44" s="45">
        <v>1377.82</v>
      </c>
    </row>
    <row r="45" spans="1:8" x14ac:dyDescent="0.45">
      <c r="A45" s="44" t="s">
        <v>402</v>
      </c>
      <c r="B45" s="45">
        <v>4649.8</v>
      </c>
      <c r="C45" s="45">
        <v>4867.8999999999996</v>
      </c>
      <c r="D45" s="45">
        <v>8470.2000000000007</v>
      </c>
      <c r="E45" s="45">
        <v>9106.82</v>
      </c>
      <c r="F45" s="45">
        <v>14304.13</v>
      </c>
      <c r="G45" s="45">
        <v>10825.8</v>
      </c>
      <c r="H45" s="45">
        <v>7273.25</v>
      </c>
    </row>
    <row r="46" spans="1:8" x14ac:dyDescent="0.45">
      <c r="A46" s="44" t="s">
        <v>403</v>
      </c>
      <c r="B46" s="45">
        <v>4332.04</v>
      </c>
      <c r="C46" s="45">
        <v>5409.4</v>
      </c>
      <c r="D46" s="45">
        <v>5273.54</v>
      </c>
      <c r="E46" s="45">
        <v>2971.04</v>
      </c>
      <c r="F46" s="45">
        <v>4734.4399999999996</v>
      </c>
      <c r="G46" s="45">
        <v>5026.7299999999996</v>
      </c>
      <c r="H46" s="45">
        <v>6419.4</v>
      </c>
    </row>
    <row r="47" spans="1:8" x14ac:dyDescent="0.45">
      <c r="A47" s="44" t="s">
        <v>404</v>
      </c>
      <c r="B47" s="45">
        <v>1330.26</v>
      </c>
      <c r="C47" s="45">
        <v>1392.48</v>
      </c>
      <c r="D47" s="45">
        <v>6318.04</v>
      </c>
      <c r="E47" s="44">
        <v>874.76</v>
      </c>
      <c r="F47" s="45">
        <v>1620.83</v>
      </c>
      <c r="G47" s="45">
        <v>1183.3599999999999</v>
      </c>
      <c r="H47" s="45">
        <v>1294.5999999999999</v>
      </c>
    </row>
    <row r="48" spans="1:8" x14ac:dyDescent="0.45">
      <c r="A48" s="44" t="s">
        <v>405</v>
      </c>
      <c r="B48" s="45">
        <v>6333.94</v>
      </c>
      <c r="C48" s="45">
        <v>5338.79</v>
      </c>
      <c r="D48" s="45">
        <v>3268.33</v>
      </c>
      <c r="E48" s="45">
        <v>5806.68</v>
      </c>
      <c r="F48" s="45">
        <v>1248.48</v>
      </c>
      <c r="G48" s="45">
        <v>4372.54</v>
      </c>
      <c r="H48" s="45">
        <v>8567.82</v>
      </c>
    </row>
    <row r="49" spans="1:8" x14ac:dyDescent="0.45">
      <c r="A49" s="46" t="s">
        <v>27</v>
      </c>
      <c r="B49" s="47">
        <v>17872.310000000001</v>
      </c>
      <c r="C49" s="47">
        <v>18409.12</v>
      </c>
      <c r="D49" s="47">
        <v>24692.38</v>
      </c>
      <c r="E49" s="47">
        <v>20111.349999999999</v>
      </c>
      <c r="F49" s="47">
        <v>23231.42</v>
      </c>
      <c r="G49" s="47">
        <v>23320.41</v>
      </c>
      <c r="H49" s="47">
        <v>24932.880000000001</v>
      </c>
    </row>
    <row r="50" spans="1:8" x14ac:dyDescent="0.45">
      <c r="A50" s="44" t="s">
        <v>406</v>
      </c>
      <c r="B50" s="45">
        <v>8083.27</v>
      </c>
      <c r="C50" s="45">
        <v>10123.06</v>
      </c>
      <c r="D50" s="45">
        <v>10867.21</v>
      </c>
      <c r="E50" s="45">
        <v>10218.040000000001</v>
      </c>
      <c r="F50" s="45">
        <v>10283.76</v>
      </c>
      <c r="G50" s="45">
        <v>9599.74</v>
      </c>
      <c r="H50" s="45">
        <v>9939.76</v>
      </c>
    </row>
    <row r="51" spans="1:8" x14ac:dyDescent="0.45">
      <c r="A51" s="44" t="s">
        <v>407</v>
      </c>
      <c r="B51" s="45">
        <v>246473</v>
      </c>
      <c r="C51" s="45">
        <v>255549.66</v>
      </c>
      <c r="D51" s="45">
        <v>254272.28</v>
      </c>
      <c r="E51" s="45">
        <v>247877.64</v>
      </c>
      <c r="F51" s="45">
        <v>248216.17</v>
      </c>
      <c r="G51" s="45">
        <v>245421.41</v>
      </c>
      <c r="H51" s="45">
        <v>257869.67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D8C99-69C0-46FE-9AD3-629A77E2D565}">
  <dimension ref="A1:V83"/>
  <sheetViews>
    <sheetView workbookViewId="0">
      <selection sqref="A1:C1"/>
    </sheetView>
  </sheetViews>
  <sheetFormatPr defaultRowHeight="14.25" x14ac:dyDescent="0.45"/>
  <cols>
    <col min="1" max="1" width="17" customWidth="1"/>
    <col min="2" max="3" width="13.9296875" customWidth="1"/>
    <col min="4" max="4" width="13.73046875" customWidth="1"/>
    <col min="5" max="5" width="14.6640625" customWidth="1"/>
    <col min="6" max="6" width="9.796875" customWidth="1"/>
    <col min="7" max="7" width="12.53125" customWidth="1"/>
    <col min="8" max="8" width="12.1328125" customWidth="1"/>
    <col min="9" max="9" width="15.06640625" customWidth="1"/>
    <col min="10" max="10" width="12.265625" customWidth="1"/>
    <col min="11" max="11" width="16.06640625" customWidth="1"/>
  </cols>
  <sheetData>
    <row r="1" spans="1:22" ht="25.5" x14ac:dyDescent="0.75">
      <c r="A1" s="277" t="s">
        <v>120</v>
      </c>
      <c r="B1" s="277"/>
      <c r="C1" s="277"/>
    </row>
    <row r="3" spans="1:22" x14ac:dyDescent="0.45">
      <c r="A3" s="204" t="s">
        <v>25</v>
      </c>
      <c r="B3" s="204">
        <v>2019</v>
      </c>
      <c r="C3" s="204">
        <v>2020</v>
      </c>
      <c r="D3" s="204">
        <v>2021</v>
      </c>
      <c r="E3" s="204">
        <v>2022</v>
      </c>
      <c r="F3" s="204">
        <v>2023</v>
      </c>
      <c r="G3" s="204">
        <v>2024</v>
      </c>
      <c r="H3" s="204">
        <v>2025</v>
      </c>
      <c r="U3" s="16">
        <v>201703</v>
      </c>
      <c r="V3" s="16"/>
    </row>
    <row r="4" spans="1:22" x14ac:dyDescent="0.45">
      <c r="A4" s="17" t="s">
        <v>121</v>
      </c>
      <c r="B4" s="18"/>
      <c r="C4" s="18"/>
      <c r="D4" s="18"/>
      <c r="E4" s="18"/>
      <c r="F4" s="18"/>
      <c r="G4" s="18"/>
      <c r="H4" s="18"/>
      <c r="U4" s="18"/>
      <c r="V4" s="18"/>
    </row>
    <row r="5" spans="1:22" ht="39.75" x14ac:dyDescent="0.45">
      <c r="A5" s="17" t="s">
        <v>122</v>
      </c>
      <c r="B5" s="19">
        <v>1516.21</v>
      </c>
      <c r="C5" s="19">
        <v>3645.7</v>
      </c>
      <c r="D5" s="19">
        <v>4805.1400000000003</v>
      </c>
      <c r="E5" s="19">
        <v>4430.05</v>
      </c>
      <c r="F5" s="19">
        <v>2457.4699999999998</v>
      </c>
      <c r="G5" s="19">
        <v>4146.24</v>
      </c>
      <c r="H5" s="19">
        <v>2620.5500000000002</v>
      </c>
      <c r="U5" s="19">
        <v>1540.64</v>
      </c>
      <c r="V5" s="19"/>
    </row>
    <row r="6" spans="1:22" ht="26.65" x14ac:dyDescent="0.45">
      <c r="A6" s="17" t="s">
        <v>123</v>
      </c>
      <c r="B6" s="19">
        <v>23148.92</v>
      </c>
      <c r="C6" s="19">
        <v>29239.47</v>
      </c>
      <c r="D6" s="19">
        <v>27613.73</v>
      </c>
      <c r="E6" s="19">
        <v>24640.2</v>
      </c>
      <c r="F6" s="19">
        <v>35268.25</v>
      </c>
      <c r="G6" s="19">
        <v>34790.129999999997</v>
      </c>
      <c r="H6" s="19">
        <v>31356.87</v>
      </c>
      <c r="U6" s="19">
        <v>21250.9</v>
      </c>
      <c r="V6" s="19"/>
    </row>
    <row r="7" spans="1:22" ht="26.65" x14ac:dyDescent="0.45">
      <c r="A7" s="17" t="s">
        <v>124</v>
      </c>
      <c r="B7" s="17">
        <v>8268.0300000000007</v>
      </c>
      <c r="C7" s="17">
        <v>14687.14</v>
      </c>
      <c r="D7" s="17">
        <v>15109.36</v>
      </c>
      <c r="E7" s="17">
        <v>19694.169999999998</v>
      </c>
      <c r="F7" s="17">
        <v>17525.41</v>
      </c>
      <c r="G7" s="17">
        <v>18006.22</v>
      </c>
      <c r="H7" s="17">
        <v>18678.830000000002</v>
      </c>
      <c r="U7" s="17">
        <v>9569.76</v>
      </c>
      <c r="V7" s="17"/>
    </row>
    <row r="8" spans="1:22" x14ac:dyDescent="0.45">
      <c r="A8" s="17" t="s">
        <v>99</v>
      </c>
      <c r="B8" s="17">
        <v>10200.67</v>
      </c>
      <c r="C8" s="17">
        <v>11073.18</v>
      </c>
      <c r="D8" s="17">
        <v>11711.68</v>
      </c>
      <c r="E8" s="17">
        <v>12550.58</v>
      </c>
      <c r="F8" s="17">
        <v>12939.88</v>
      </c>
      <c r="G8" s="17">
        <v>12601.43</v>
      </c>
      <c r="H8" s="17">
        <v>12352.23</v>
      </c>
      <c r="U8" s="17">
        <v>7662.8</v>
      </c>
      <c r="V8" s="17"/>
    </row>
    <row r="9" spans="1:22" x14ac:dyDescent="0.45">
      <c r="A9" s="17" t="s">
        <v>125</v>
      </c>
      <c r="B9" s="17">
        <v>8244.8700000000008</v>
      </c>
      <c r="C9" s="17">
        <v>8725.27</v>
      </c>
      <c r="D9" s="17">
        <v>7374.94</v>
      </c>
      <c r="E9" s="17">
        <v>7134.98</v>
      </c>
      <c r="F9" s="17">
        <v>8478.77</v>
      </c>
      <c r="G9" s="17">
        <v>7323.41</v>
      </c>
      <c r="H9" s="17">
        <v>6972.6</v>
      </c>
      <c r="U9" s="17">
        <v>6037.29</v>
      </c>
      <c r="V9" s="17"/>
    </row>
    <row r="10" spans="1:22" x14ac:dyDescent="0.45">
      <c r="A10" s="17" t="s">
        <v>126</v>
      </c>
      <c r="B10" s="17">
        <v>-149.78</v>
      </c>
      <c r="C10" s="17">
        <v>-303.02</v>
      </c>
      <c r="D10" s="17">
        <v>-662.78</v>
      </c>
      <c r="E10" s="17">
        <v>-664.38</v>
      </c>
      <c r="F10" s="17">
        <v>-671.71</v>
      </c>
      <c r="G10" s="17">
        <v>-1038.17</v>
      </c>
      <c r="H10" s="17">
        <v>-1377.87</v>
      </c>
      <c r="U10" s="17">
        <v>-62.73</v>
      </c>
      <c r="V10" s="17"/>
    </row>
    <row r="11" spans="1:22" x14ac:dyDescent="0.45">
      <c r="A11" s="17" t="s">
        <v>127</v>
      </c>
      <c r="B11" s="17">
        <v>25.58</v>
      </c>
      <c r="C11" s="17">
        <v>17.2</v>
      </c>
      <c r="D11" s="17">
        <v>2.4900000000000002</v>
      </c>
      <c r="E11" s="17">
        <v>28.39</v>
      </c>
      <c r="F11" s="17">
        <v>22.09</v>
      </c>
      <c r="G11" s="17">
        <v>19.989999999999998</v>
      </c>
      <c r="H11" s="17">
        <v>1.64</v>
      </c>
      <c r="U11" s="17">
        <v>3.8</v>
      </c>
      <c r="V11" s="17"/>
    </row>
    <row r="12" spans="1:22" x14ac:dyDescent="0.45">
      <c r="A12" s="17" t="s">
        <v>128</v>
      </c>
      <c r="B12" s="17">
        <v>0</v>
      </c>
      <c r="C12" s="17">
        <v>0</v>
      </c>
      <c r="D12" s="17">
        <v>0</v>
      </c>
      <c r="E12" s="17">
        <v>-3775.46</v>
      </c>
      <c r="F12" s="17">
        <v>0</v>
      </c>
      <c r="G12" s="17">
        <v>-9.4600000000000009</v>
      </c>
      <c r="H12" s="17">
        <v>-264.11</v>
      </c>
      <c r="U12" s="17">
        <v>-50.57</v>
      </c>
      <c r="V12" s="17"/>
    </row>
    <row r="13" spans="1:22" x14ac:dyDescent="0.45">
      <c r="A13" s="17" t="s">
        <v>129</v>
      </c>
      <c r="B13" s="17">
        <v>380.45</v>
      </c>
      <c r="C13" s="17">
        <v>-141.22</v>
      </c>
      <c r="D13" s="17">
        <v>-17.059999999999999</v>
      </c>
      <c r="E13" s="17">
        <v>-8.92</v>
      </c>
      <c r="F13" s="17">
        <v>35.25</v>
      </c>
      <c r="G13" s="17">
        <v>105.11</v>
      </c>
      <c r="H13" s="17">
        <v>-23.8</v>
      </c>
      <c r="U13" s="17">
        <v>5.04</v>
      </c>
      <c r="V13" s="17"/>
    </row>
    <row r="14" spans="1:22" x14ac:dyDescent="0.45">
      <c r="A14" s="17" t="s">
        <v>130</v>
      </c>
      <c r="B14" s="17">
        <v>-941.22</v>
      </c>
      <c r="C14" s="17">
        <v>-1573.05</v>
      </c>
      <c r="D14" s="17">
        <v>1022.07</v>
      </c>
      <c r="E14" s="17">
        <v>-42.72</v>
      </c>
      <c r="F14" s="17">
        <v>-159.19</v>
      </c>
      <c r="G14" s="17">
        <v>457.82</v>
      </c>
      <c r="H14" s="17">
        <v>359.58</v>
      </c>
      <c r="U14" s="17">
        <v>825.52</v>
      </c>
      <c r="V14" s="17"/>
    </row>
    <row r="15" spans="1:22" ht="26.65" x14ac:dyDescent="0.45">
      <c r="A15" s="17" t="s">
        <v>131</v>
      </c>
      <c r="B15" s="17">
        <v>0</v>
      </c>
      <c r="C15" s="17">
        <v>0</v>
      </c>
      <c r="D15" s="17">
        <v>-81.180000000000007</v>
      </c>
      <c r="E15" s="17">
        <v>-73.12</v>
      </c>
      <c r="F15" s="17">
        <v>-150.80000000000001</v>
      </c>
      <c r="G15" s="17">
        <v>-72.25</v>
      </c>
      <c r="H15" s="17">
        <v>-93.79</v>
      </c>
      <c r="U15" s="17">
        <v>0</v>
      </c>
      <c r="V15" s="17"/>
    </row>
    <row r="16" spans="1:22" x14ac:dyDescent="0.45">
      <c r="A16" s="17" t="s">
        <v>132</v>
      </c>
      <c r="B16" s="17">
        <v>4019.07</v>
      </c>
      <c r="C16" s="17">
        <v>-1152.1300000000001</v>
      </c>
      <c r="D16" s="17">
        <v>-2484.2199999999998</v>
      </c>
      <c r="E16" s="17">
        <v>-9.24</v>
      </c>
      <c r="F16" s="17">
        <v>147.05000000000001</v>
      </c>
      <c r="G16" s="17">
        <v>-175.87</v>
      </c>
      <c r="H16" s="17">
        <v>-1048.81</v>
      </c>
      <c r="U16" s="17">
        <v>-985.38</v>
      </c>
      <c r="V16" s="17"/>
    </row>
    <row r="17" spans="1:22" ht="39.75" x14ac:dyDescent="0.45">
      <c r="A17" s="17" t="s">
        <v>133</v>
      </c>
      <c r="B17" s="17">
        <v>21779.64</v>
      </c>
      <c r="C17" s="17">
        <v>16646.23</v>
      </c>
      <c r="D17" s="17">
        <v>16865.939999999999</v>
      </c>
      <c r="E17" s="17">
        <v>15140.11</v>
      </c>
      <c r="F17" s="17">
        <v>20641.34</v>
      </c>
      <c r="G17" s="17">
        <v>19212.009999999998</v>
      </c>
      <c r="H17" s="17">
        <v>16877.669999999998</v>
      </c>
      <c r="U17" s="17">
        <v>13435.77</v>
      </c>
      <c r="V17" s="17"/>
    </row>
    <row r="18" spans="1:22" ht="39.75" x14ac:dyDescent="0.45">
      <c r="A18" s="17" t="s">
        <v>134</v>
      </c>
      <c r="B18" s="17">
        <v>30047.67</v>
      </c>
      <c r="C18" s="17">
        <v>31333.37</v>
      </c>
      <c r="D18" s="17">
        <v>31975.3</v>
      </c>
      <c r="E18" s="17">
        <v>34834.28</v>
      </c>
      <c r="F18" s="17">
        <v>38166.75</v>
      </c>
      <c r="G18" s="17">
        <v>37218.230000000003</v>
      </c>
      <c r="H18" s="17">
        <v>35556.5</v>
      </c>
      <c r="U18" s="17">
        <v>23005.53</v>
      </c>
      <c r="V18" s="17"/>
    </row>
    <row r="19" spans="1:22" ht="26.65" x14ac:dyDescent="0.45">
      <c r="A19" s="17" t="s">
        <v>135</v>
      </c>
      <c r="B19" s="17">
        <v>-1300.17</v>
      </c>
      <c r="C19" s="17">
        <v>-196.44</v>
      </c>
      <c r="D19" s="17">
        <v>-3358.73</v>
      </c>
      <c r="E19" s="17">
        <v>-250.94</v>
      </c>
      <c r="F19" s="17">
        <v>-4104.68</v>
      </c>
      <c r="G19" s="17">
        <v>3364.35</v>
      </c>
      <c r="H19" s="17">
        <v>3462.13</v>
      </c>
      <c r="U19" s="17">
        <v>-485.92</v>
      </c>
      <c r="V19" s="17"/>
    </row>
    <row r="20" spans="1:22" x14ac:dyDescent="0.45">
      <c r="A20" s="17" t="s">
        <v>136</v>
      </c>
      <c r="B20" s="17">
        <v>-172.23</v>
      </c>
      <c r="C20" s="17">
        <v>-169.43</v>
      </c>
      <c r="D20" s="17">
        <v>38.67</v>
      </c>
      <c r="E20" s="17">
        <v>13.96</v>
      </c>
      <c r="F20" s="17">
        <v>25.96</v>
      </c>
      <c r="G20" s="17">
        <v>9.51</v>
      </c>
      <c r="H20" s="17">
        <v>-74.510000000000005</v>
      </c>
      <c r="U20" s="17">
        <v>-196.61</v>
      </c>
      <c r="V20" s="17"/>
    </row>
    <row r="21" spans="1:22" x14ac:dyDescent="0.45">
      <c r="A21" s="17" t="s">
        <v>137</v>
      </c>
      <c r="B21" s="17">
        <v>0</v>
      </c>
      <c r="C21" s="17">
        <v>0</v>
      </c>
      <c r="D21" s="17">
        <v>0</v>
      </c>
      <c r="E21" s="17">
        <v>0</v>
      </c>
      <c r="F21" s="17">
        <v>0</v>
      </c>
      <c r="G21" s="17">
        <v>0</v>
      </c>
      <c r="H21" s="17">
        <v>0</v>
      </c>
      <c r="U21" s="17">
        <v>0</v>
      </c>
      <c r="V21" s="17"/>
    </row>
    <row r="22" spans="1:22" x14ac:dyDescent="0.45">
      <c r="A22" s="17" t="s">
        <v>138</v>
      </c>
      <c r="B22" s="17">
        <v>0</v>
      </c>
      <c r="C22" s="17">
        <v>0</v>
      </c>
      <c r="D22" s="17">
        <v>0</v>
      </c>
      <c r="E22" s="17">
        <v>0</v>
      </c>
      <c r="F22" s="17">
        <v>0</v>
      </c>
      <c r="G22" s="17">
        <v>0</v>
      </c>
      <c r="H22" s="17">
        <v>0</v>
      </c>
      <c r="U22" s="17">
        <v>0</v>
      </c>
      <c r="V22" s="17"/>
    </row>
    <row r="23" spans="1:22" x14ac:dyDescent="0.45">
      <c r="A23" s="17" t="s">
        <v>139</v>
      </c>
      <c r="B23" s="17">
        <v>0</v>
      </c>
      <c r="C23" s="17">
        <v>0</v>
      </c>
      <c r="D23" s="17">
        <v>0</v>
      </c>
      <c r="E23" s="17">
        <v>0</v>
      </c>
      <c r="F23" s="17">
        <v>0</v>
      </c>
      <c r="G23" s="17">
        <v>0</v>
      </c>
      <c r="H23" s="17">
        <v>0</v>
      </c>
      <c r="U23" s="17">
        <v>0</v>
      </c>
      <c r="V23" s="17"/>
    </row>
    <row r="24" spans="1:22" x14ac:dyDescent="0.45">
      <c r="A24" s="17" t="s">
        <v>140</v>
      </c>
      <c r="B24" s="17">
        <v>0</v>
      </c>
      <c r="C24" s="17">
        <v>0</v>
      </c>
      <c r="D24" s="17">
        <v>0</v>
      </c>
      <c r="E24" s="17">
        <v>0</v>
      </c>
      <c r="F24" s="17">
        <v>0</v>
      </c>
      <c r="G24" s="17">
        <v>0</v>
      </c>
      <c r="H24" s="17">
        <v>0</v>
      </c>
      <c r="U24" s="17">
        <v>0</v>
      </c>
      <c r="V24" s="17"/>
    </row>
    <row r="25" spans="1:22" ht="26.65" x14ac:dyDescent="0.45">
      <c r="A25" s="17" t="s">
        <v>141</v>
      </c>
      <c r="B25" s="17">
        <v>0</v>
      </c>
      <c r="C25" s="17">
        <v>0</v>
      </c>
      <c r="D25" s="17">
        <v>0</v>
      </c>
      <c r="E25" s="17">
        <v>0</v>
      </c>
      <c r="F25" s="17">
        <v>0</v>
      </c>
      <c r="G25" s="17">
        <v>0</v>
      </c>
      <c r="H25" s="17">
        <v>0</v>
      </c>
      <c r="U25" s="17">
        <v>0</v>
      </c>
      <c r="V25" s="17"/>
    </row>
    <row r="26" spans="1:22" ht="26.65" x14ac:dyDescent="0.45">
      <c r="A26" s="17" t="s">
        <v>142</v>
      </c>
      <c r="B26" s="17">
        <v>0</v>
      </c>
      <c r="C26" s="17">
        <v>0</v>
      </c>
      <c r="D26" s="17">
        <v>0</v>
      </c>
      <c r="E26" s="17">
        <v>0</v>
      </c>
      <c r="F26" s="17">
        <v>0</v>
      </c>
      <c r="G26" s="17">
        <v>0</v>
      </c>
      <c r="H26" s="17">
        <v>0</v>
      </c>
      <c r="U26" s="17">
        <v>0</v>
      </c>
      <c r="V26" s="17"/>
    </row>
    <row r="27" spans="1:22" x14ac:dyDescent="0.45">
      <c r="A27" s="17" t="s">
        <v>143</v>
      </c>
      <c r="B27" s="17">
        <v>0</v>
      </c>
      <c r="C27" s="17">
        <v>0</v>
      </c>
      <c r="D27" s="17">
        <v>0</v>
      </c>
      <c r="E27" s="17">
        <v>0</v>
      </c>
      <c r="F27" s="17">
        <v>0</v>
      </c>
      <c r="G27" s="17">
        <v>0</v>
      </c>
      <c r="H27" s="17">
        <v>0</v>
      </c>
      <c r="U27" s="17">
        <v>0</v>
      </c>
      <c r="V27" s="17"/>
    </row>
    <row r="28" spans="1:22" x14ac:dyDescent="0.45">
      <c r="A28" s="17" t="s">
        <v>144</v>
      </c>
      <c r="B28" s="17">
        <v>0</v>
      </c>
      <c r="C28" s="17">
        <v>0</v>
      </c>
      <c r="D28" s="17">
        <v>0</v>
      </c>
      <c r="E28" s="17">
        <v>0</v>
      </c>
      <c r="F28" s="17">
        <v>0</v>
      </c>
      <c r="G28" s="17">
        <v>0</v>
      </c>
      <c r="H28" s="17">
        <v>0</v>
      </c>
      <c r="U28" s="17">
        <v>0</v>
      </c>
      <c r="V28" s="17"/>
    </row>
    <row r="29" spans="1:22" x14ac:dyDescent="0.45">
      <c r="A29" s="17" t="s">
        <v>132</v>
      </c>
      <c r="B29" s="17">
        <v>-3224.38</v>
      </c>
      <c r="C29" s="17">
        <v>747.72</v>
      </c>
      <c r="D29" s="17">
        <v>1166.25</v>
      </c>
      <c r="E29" s="17">
        <v>-6247.86</v>
      </c>
      <c r="F29" s="17">
        <v>3977.26</v>
      </c>
      <c r="G29" s="17">
        <v>-2554.19</v>
      </c>
      <c r="H29" s="17">
        <v>-4600.96</v>
      </c>
      <c r="U29" s="17">
        <v>798.69</v>
      </c>
      <c r="V29" s="17"/>
    </row>
    <row r="30" spans="1:22" ht="39.75" x14ac:dyDescent="0.45">
      <c r="A30" s="17" t="s">
        <v>145</v>
      </c>
      <c r="B30" s="17">
        <v>-4696.78</v>
      </c>
      <c r="C30" s="17">
        <v>381.85</v>
      </c>
      <c r="D30" s="17">
        <v>-2153.81</v>
      </c>
      <c r="E30" s="17">
        <v>-6484.84</v>
      </c>
      <c r="F30" s="17">
        <v>-101.46</v>
      </c>
      <c r="G30" s="17">
        <v>819.67</v>
      </c>
      <c r="H30" s="17">
        <v>-1213.3399999999999</v>
      </c>
      <c r="U30" s="17">
        <v>116.16</v>
      </c>
      <c r="V30" s="17"/>
    </row>
    <row r="31" spans="1:22" ht="39.75" x14ac:dyDescent="0.45">
      <c r="A31" s="17" t="s">
        <v>146</v>
      </c>
      <c r="B31" s="17">
        <v>25350.89</v>
      </c>
      <c r="C31" s="17">
        <v>31715.22</v>
      </c>
      <c r="D31" s="17">
        <v>29821.49</v>
      </c>
      <c r="E31" s="17">
        <v>28349.439999999999</v>
      </c>
      <c r="F31" s="17">
        <v>38065.29</v>
      </c>
      <c r="G31" s="17">
        <v>38037.9</v>
      </c>
      <c r="H31" s="17">
        <v>34343.160000000003</v>
      </c>
      <c r="U31" s="17">
        <v>23121.69</v>
      </c>
      <c r="V31" s="17"/>
    </row>
    <row r="32" spans="1:22" x14ac:dyDescent="0.45">
      <c r="A32" s="17" t="s">
        <v>147</v>
      </c>
      <c r="B32" s="17">
        <v>0</v>
      </c>
      <c r="C32" s="17">
        <v>0</v>
      </c>
      <c r="D32" s="17">
        <v>0</v>
      </c>
      <c r="E32" s="17">
        <v>0</v>
      </c>
      <c r="F32" s="17">
        <v>0</v>
      </c>
      <c r="G32" s="17">
        <v>0</v>
      </c>
      <c r="H32" s="17">
        <v>0</v>
      </c>
      <c r="U32" s="17">
        <v>0</v>
      </c>
      <c r="V32" s="17"/>
    </row>
    <row r="33" spans="1:22" x14ac:dyDescent="0.45">
      <c r="A33" s="17" t="s">
        <v>148</v>
      </c>
      <c r="B33" s="17">
        <v>-2201.9699999999998</v>
      </c>
      <c r="C33" s="17">
        <v>-2475.75</v>
      </c>
      <c r="D33" s="17">
        <v>-2207.7600000000002</v>
      </c>
      <c r="E33" s="17">
        <v>-3709.24</v>
      </c>
      <c r="F33" s="17">
        <v>-2797.04</v>
      </c>
      <c r="G33" s="17">
        <v>-3247.77</v>
      </c>
      <c r="H33" s="17">
        <v>-2986.29</v>
      </c>
      <c r="U33" s="17">
        <v>-1870.79</v>
      </c>
      <c r="V33" s="17"/>
    </row>
    <row r="34" spans="1:22" x14ac:dyDescent="0.45">
      <c r="A34" s="17" t="s">
        <v>149</v>
      </c>
      <c r="B34" s="17">
        <v>0</v>
      </c>
      <c r="C34" s="17">
        <v>0</v>
      </c>
      <c r="D34" s="17">
        <v>0</v>
      </c>
      <c r="E34" s="17">
        <v>0</v>
      </c>
      <c r="F34" s="17">
        <v>0</v>
      </c>
      <c r="G34" s="17">
        <v>0</v>
      </c>
      <c r="H34" s="17">
        <v>0</v>
      </c>
      <c r="U34" s="17">
        <v>0</v>
      </c>
      <c r="V34" s="17"/>
    </row>
    <row r="35" spans="1:22" x14ac:dyDescent="0.45">
      <c r="A35" s="17" t="s">
        <v>132</v>
      </c>
      <c r="B35" s="17">
        <v>0</v>
      </c>
      <c r="C35" s="17">
        <v>0</v>
      </c>
      <c r="D35" s="17">
        <v>0</v>
      </c>
      <c r="E35" s="17">
        <v>0</v>
      </c>
      <c r="F35" s="17">
        <v>0</v>
      </c>
      <c r="G35" s="17">
        <v>0</v>
      </c>
      <c r="H35" s="17">
        <v>0</v>
      </c>
      <c r="U35" s="17">
        <v>0</v>
      </c>
      <c r="V35" s="17"/>
    </row>
    <row r="36" spans="1:22" x14ac:dyDescent="0.45">
      <c r="A36" s="17" t="s">
        <v>150</v>
      </c>
      <c r="B36" s="17">
        <v>-2201.9699999999998</v>
      </c>
      <c r="C36" s="17">
        <v>-2475.75</v>
      </c>
      <c r="D36" s="17">
        <v>-2207.7600000000002</v>
      </c>
      <c r="E36" s="17">
        <v>-3709.24</v>
      </c>
      <c r="F36" s="17">
        <v>-2797.04</v>
      </c>
      <c r="G36" s="17">
        <v>-3247.77</v>
      </c>
      <c r="H36" s="17">
        <v>-2986.29</v>
      </c>
      <c r="U36" s="17">
        <v>-1870.79</v>
      </c>
      <c r="V36" s="17"/>
    </row>
    <row r="37" spans="1:22" ht="26.65" x14ac:dyDescent="0.45">
      <c r="A37" s="17" t="s">
        <v>151</v>
      </c>
      <c r="B37" s="17">
        <v>23148.92</v>
      </c>
      <c r="C37" s="17">
        <v>29239.47</v>
      </c>
      <c r="D37" s="17">
        <v>27613.73</v>
      </c>
      <c r="E37" s="17">
        <v>24640.2</v>
      </c>
      <c r="F37" s="17">
        <v>35268.25</v>
      </c>
      <c r="G37" s="17">
        <v>34790.129999999997</v>
      </c>
      <c r="H37" s="17">
        <v>31356.87</v>
      </c>
      <c r="U37" s="17">
        <v>21250.9</v>
      </c>
      <c r="V37" s="17"/>
    </row>
    <row r="38" spans="1:22" ht="26.65" x14ac:dyDescent="0.45">
      <c r="A38" s="17" t="s">
        <v>152</v>
      </c>
      <c r="B38" s="17">
        <v>0</v>
      </c>
      <c r="C38" s="17">
        <v>0</v>
      </c>
      <c r="D38" s="17">
        <v>0</v>
      </c>
      <c r="E38" s="17">
        <v>0</v>
      </c>
      <c r="F38" s="17">
        <v>0</v>
      </c>
      <c r="G38" s="17">
        <v>0</v>
      </c>
      <c r="H38" s="17">
        <v>0</v>
      </c>
      <c r="U38" s="17">
        <v>0</v>
      </c>
      <c r="V38" s="17"/>
    </row>
    <row r="39" spans="1:22" ht="26.65" x14ac:dyDescent="0.45">
      <c r="A39" s="17" t="s">
        <v>153</v>
      </c>
      <c r="B39" s="17">
        <v>0</v>
      </c>
      <c r="C39" s="17">
        <v>0</v>
      </c>
      <c r="D39" s="17">
        <v>0</v>
      </c>
      <c r="E39" s="17">
        <v>0</v>
      </c>
      <c r="F39" s="17">
        <v>0</v>
      </c>
      <c r="G39" s="17">
        <v>0</v>
      </c>
      <c r="H39" s="17">
        <v>0</v>
      </c>
      <c r="U39" s="17">
        <v>0</v>
      </c>
      <c r="V39" s="17"/>
    </row>
    <row r="40" spans="1:22" ht="26.65" x14ac:dyDescent="0.45">
      <c r="A40" s="17" t="s">
        <v>154</v>
      </c>
      <c r="B40" s="17">
        <v>0</v>
      </c>
      <c r="C40" s="17">
        <v>0</v>
      </c>
      <c r="D40" s="17">
        <v>0</v>
      </c>
      <c r="E40" s="17">
        <v>0</v>
      </c>
      <c r="F40" s="17">
        <v>0</v>
      </c>
      <c r="G40" s="17">
        <v>0</v>
      </c>
      <c r="H40" s="17">
        <v>0</v>
      </c>
      <c r="U40" s="17">
        <v>0</v>
      </c>
      <c r="V40" s="17"/>
    </row>
    <row r="41" spans="1:22" x14ac:dyDescent="0.45">
      <c r="A41" s="17" t="s">
        <v>155</v>
      </c>
      <c r="B41" s="17">
        <v>0</v>
      </c>
      <c r="C41" s="17">
        <v>0</v>
      </c>
      <c r="D41" s="17">
        <v>0</v>
      </c>
      <c r="E41" s="17">
        <v>0</v>
      </c>
      <c r="F41" s="17">
        <v>0</v>
      </c>
      <c r="G41" s="17">
        <v>0</v>
      </c>
      <c r="H41" s="17">
        <v>0</v>
      </c>
      <c r="U41" s="17">
        <v>0</v>
      </c>
      <c r="V41" s="17"/>
    </row>
    <row r="42" spans="1:22" ht="26.65" x14ac:dyDescent="0.45">
      <c r="A42" s="17" t="s">
        <v>156</v>
      </c>
      <c r="B42" s="17">
        <v>0</v>
      </c>
      <c r="C42" s="17">
        <v>0</v>
      </c>
      <c r="D42" s="17">
        <v>0</v>
      </c>
      <c r="E42" s="17">
        <v>0</v>
      </c>
      <c r="F42" s="17">
        <v>0</v>
      </c>
      <c r="G42" s="17">
        <v>0</v>
      </c>
      <c r="H42" s="17">
        <v>0</v>
      </c>
      <c r="U42" s="17">
        <v>0</v>
      </c>
      <c r="V42" s="17"/>
    </row>
    <row r="43" spans="1:22" x14ac:dyDescent="0.45">
      <c r="A43" s="17" t="s">
        <v>132</v>
      </c>
      <c r="B43" s="17">
        <v>0</v>
      </c>
      <c r="C43" s="17">
        <v>0</v>
      </c>
      <c r="D43" s="17">
        <v>0</v>
      </c>
      <c r="E43" s="17">
        <v>0</v>
      </c>
      <c r="F43" s="17">
        <v>0</v>
      </c>
      <c r="G43" s="17">
        <v>0</v>
      </c>
      <c r="H43" s="17">
        <v>0</v>
      </c>
      <c r="U43" s="17">
        <v>0</v>
      </c>
      <c r="V43" s="17"/>
    </row>
    <row r="44" spans="1:22" ht="26.65" x14ac:dyDescent="0.45">
      <c r="A44" s="17" t="s">
        <v>157</v>
      </c>
      <c r="B44" s="19">
        <v>-18648.45</v>
      </c>
      <c r="C44" s="19">
        <v>-9368.0400000000009</v>
      </c>
      <c r="D44" s="19">
        <v>-7802.99</v>
      </c>
      <c r="E44" s="19">
        <v>2188.54</v>
      </c>
      <c r="F44" s="19">
        <v>-4315.83</v>
      </c>
      <c r="G44" s="19">
        <v>-10433.540000000001</v>
      </c>
      <c r="H44" s="19">
        <v>-17896.810000000001</v>
      </c>
      <c r="U44" s="19">
        <v>-23433.64</v>
      </c>
      <c r="V44" s="19"/>
    </row>
    <row r="45" spans="1:22" ht="26.65" x14ac:dyDescent="0.45">
      <c r="A45" s="17" t="s">
        <v>158</v>
      </c>
      <c r="B45" s="17">
        <v>-19462.03</v>
      </c>
      <c r="C45" s="17">
        <v>-8006.12</v>
      </c>
      <c r="D45" s="17">
        <v>-6389.23</v>
      </c>
      <c r="E45" s="17">
        <v>-3645.32</v>
      </c>
      <c r="F45" s="17">
        <v>-3064.54</v>
      </c>
      <c r="G45" s="17">
        <v>-5517.74</v>
      </c>
      <c r="H45" s="17">
        <v>-5142.74</v>
      </c>
      <c r="U45" s="17">
        <v>0</v>
      </c>
      <c r="V45" s="17"/>
    </row>
    <row r="46" spans="1:22" x14ac:dyDescent="0.45">
      <c r="A46" s="17" t="s">
        <v>159</v>
      </c>
      <c r="B46" s="17">
        <v>0</v>
      </c>
      <c r="C46" s="17">
        <v>0</v>
      </c>
      <c r="D46" s="17">
        <v>0</v>
      </c>
      <c r="E46" s="17">
        <v>0</v>
      </c>
      <c r="F46" s="17">
        <v>0</v>
      </c>
      <c r="G46" s="17">
        <v>5.94</v>
      </c>
      <c r="H46" s="17">
        <v>22.7</v>
      </c>
      <c r="U46" s="17">
        <v>0</v>
      </c>
      <c r="V46" s="17"/>
    </row>
    <row r="47" spans="1:22" x14ac:dyDescent="0.45">
      <c r="A47" s="17" t="s">
        <v>160</v>
      </c>
      <c r="B47" s="17">
        <v>0</v>
      </c>
      <c r="C47" s="17">
        <v>0</v>
      </c>
      <c r="D47" s="17">
        <v>0</v>
      </c>
      <c r="E47" s="17">
        <v>0</v>
      </c>
      <c r="F47" s="17">
        <v>0</v>
      </c>
      <c r="G47" s="17">
        <v>0</v>
      </c>
      <c r="H47" s="17">
        <v>0</v>
      </c>
      <c r="U47" s="17">
        <v>-37.729999999999997</v>
      </c>
      <c r="V47" s="17"/>
    </row>
    <row r="48" spans="1:22" x14ac:dyDescent="0.45">
      <c r="A48" s="17" t="s">
        <v>161</v>
      </c>
      <c r="B48" s="17">
        <v>0</v>
      </c>
      <c r="C48" s="17">
        <v>0</v>
      </c>
      <c r="D48" s="17">
        <v>0</v>
      </c>
      <c r="E48" s="17">
        <v>0</v>
      </c>
      <c r="F48" s="17">
        <v>0</v>
      </c>
      <c r="G48" s="17">
        <v>0</v>
      </c>
      <c r="H48" s="17">
        <v>0</v>
      </c>
      <c r="U48" s="17">
        <v>0</v>
      </c>
      <c r="V48" s="17"/>
    </row>
    <row r="49" spans="1:22" x14ac:dyDescent="0.45">
      <c r="A49" s="17" t="s">
        <v>162</v>
      </c>
      <c r="B49" s="17">
        <v>0</v>
      </c>
      <c r="C49" s="17">
        <v>0</v>
      </c>
      <c r="D49" s="17">
        <v>0</v>
      </c>
      <c r="E49" s="17">
        <v>0</v>
      </c>
      <c r="F49" s="17">
        <v>0</v>
      </c>
      <c r="G49" s="17">
        <v>0</v>
      </c>
      <c r="H49" s="17">
        <v>0</v>
      </c>
      <c r="U49" s="17">
        <v>0</v>
      </c>
      <c r="V49" s="17"/>
    </row>
    <row r="50" spans="1:22" ht="26.65" x14ac:dyDescent="0.45">
      <c r="A50" s="17" t="s">
        <v>163</v>
      </c>
      <c r="B50" s="17">
        <v>0</v>
      </c>
      <c r="C50" s="17">
        <v>0</v>
      </c>
      <c r="D50" s="17">
        <v>0</v>
      </c>
      <c r="E50" s="17">
        <v>-1470</v>
      </c>
      <c r="F50" s="17">
        <v>0</v>
      </c>
      <c r="G50" s="17">
        <v>-2080</v>
      </c>
      <c r="H50" s="17">
        <v>-1704</v>
      </c>
      <c r="U50" s="17">
        <v>-419.53</v>
      </c>
      <c r="V50" s="17"/>
    </row>
    <row r="51" spans="1:22" x14ac:dyDescent="0.45">
      <c r="A51" s="17" t="s">
        <v>164</v>
      </c>
      <c r="B51" s="17">
        <v>0</v>
      </c>
      <c r="C51" s="17">
        <v>0</v>
      </c>
      <c r="D51" s="17">
        <v>0</v>
      </c>
      <c r="E51" s="17">
        <v>1485.95</v>
      </c>
      <c r="F51" s="17">
        <v>0</v>
      </c>
      <c r="G51" s="17">
        <v>1483.92</v>
      </c>
      <c r="H51" s="17">
        <v>2337.67</v>
      </c>
      <c r="U51" s="17">
        <v>0</v>
      </c>
      <c r="V51" s="17"/>
    </row>
    <row r="52" spans="1:22" x14ac:dyDescent="0.45">
      <c r="A52" s="17" t="s">
        <v>165</v>
      </c>
      <c r="B52" s="17">
        <v>0</v>
      </c>
      <c r="C52" s="17">
        <v>0</v>
      </c>
      <c r="D52" s="17">
        <v>0</v>
      </c>
      <c r="E52" s="17">
        <v>0</v>
      </c>
      <c r="F52" s="17">
        <v>0</v>
      </c>
      <c r="G52" s="17">
        <v>0</v>
      </c>
      <c r="H52" s="17">
        <v>0</v>
      </c>
      <c r="U52" s="17">
        <v>0</v>
      </c>
      <c r="V52" s="17"/>
    </row>
    <row r="53" spans="1:22" x14ac:dyDescent="0.45">
      <c r="A53" s="17" t="s">
        <v>166</v>
      </c>
      <c r="B53" s="17">
        <v>906.23</v>
      </c>
      <c r="C53" s="17">
        <v>1136.2</v>
      </c>
      <c r="D53" s="17">
        <v>1100.67</v>
      </c>
      <c r="E53" s="17">
        <v>1239.26</v>
      </c>
      <c r="F53" s="17">
        <v>1200.1400000000001</v>
      </c>
      <c r="G53" s="17">
        <v>1748.7</v>
      </c>
      <c r="H53" s="17">
        <v>2286.7800000000002</v>
      </c>
      <c r="U53" s="17">
        <v>190.87</v>
      </c>
      <c r="V53" s="17"/>
    </row>
    <row r="54" spans="1:22" x14ac:dyDescent="0.45">
      <c r="A54" s="17" t="s">
        <v>126</v>
      </c>
      <c r="B54" s="17">
        <v>149.78</v>
      </c>
      <c r="C54" s="17">
        <v>303.02</v>
      </c>
      <c r="D54" s="17">
        <v>662.78</v>
      </c>
      <c r="E54" s="17">
        <v>664.38</v>
      </c>
      <c r="F54" s="17">
        <v>671.71</v>
      </c>
      <c r="G54" s="17">
        <v>1038.02</v>
      </c>
      <c r="H54" s="17">
        <v>1376.7</v>
      </c>
      <c r="U54" s="17">
        <v>62.73</v>
      </c>
      <c r="V54" s="17"/>
    </row>
    <row r="55" spans="1:22" x14ac:dyDescent="0.45">
      <c r="A55" s="17" t="s">
        <v>167</v>
      </c>
      <c r="B55" s="17">
        <v>-1166.44</v>
      </c>
      <c r="C55" s="17">
        <v>-1056.47</v>
      </c>
      <c r="D55" s="17">
        <v>-1665.59</v>
      </c>
      <c r="E55" s="17">
        <v>-1122.1300000000001</v>
      </c>
      <c r="F55" s="17">
        <v>-358.83</v>
      </c>
      <c r="G55" s="17">
        <v>-1042.69</v>
      </c>
      <c r="H55" s="17">
        <v>-2352.98</v>
      </c>
      <c r="U55" s="17">
        <v>0</v>
      </c>
      <c r="V55" s="17"/>
    </row>
    <row r="56" spans="1:22" x14ac:dyDescent="0.45">
      <c r="A56" s="17" t="s">
        <v>168</v>
      </c>
      <c r="B56" s="17">
        <v>-2770.73</v>
      </c>
      <c r="C56" s="17">
        <v>-2262.33</v>
      </c>
      <c r="D56" s="17">
        <v>-2141.35</v>
      </c>
      <c r="E56" s="17">
        <v>0</v>
      </c>
      <c r="F56" s="17">
        <v>-3089.78</v>
      </c>
      <c r="G56" s="17">
        <v>-4650.0200000000004</v>
      </c>
      <c r="H56" s="17">
        <v>-14859.55</v>
      </c>
      <c r="U56" s="17">
        <v>0</v>
      </c>
      <c r="V56" s="17"/>
    </row>
    <row r="57" spans="1:22" ht="26.65" x14ac:dyDescent="0.45">
      <c r="A57" s="17" t="s">
        <v>169</v>
      </c>
      <c r="B57" s="17">
        <v>0</v>
      </c>
      <c r="C57" s="17">
        <v>0</v>
      </c>
      <c r="D57" s="17">
        <v>0</v>
      </c>
      <c r="E57" s="17">
        <v>0</v>
      </c>
      <c r="F57" s="17">
        <v>0</v>
      </c>
      <c r="G57" s="17">
        <v>0</v>
      </c>
      <c r="H57" s="17">
        <v>0</v>
      </c>
      <c r="U57" s="17">
        <v>0</v>
      </c>
      <c r="V57" s="17"/>
    </row>
    <row r="58" spans="1:22" ht="26.65" x14ac:dyDescent="0.45">
      <c r="A58" s="17" t="s">
        <v>170</v>
      </c>
      <c r="B58" s="17">
        <v>0</v>
      </c>
      <c r="C58" s="17">
        <v>0</v>
      </c>
      <c r="D58" s="17">
        <v>0</v>
      </c>
      <c r="E58" s="17">
        <v>0</v>
      </c>
      <c r="F58" s="17">
        <v>0</v>
      </c>
      <c r="G58" s="17">
        <v>0</v>
      </c>
      <c r="H58" s="17">
        <v>0</v>
      </c>
      <c r="U58" s="17">
        <v>0</v>
      </c>
      <c r="V58" s="17"/>
    </row>
    <row r="59" spans="1:22" ht="26.65" x14ac:dyDescent="0.45">
      <c r="A59" s="17" t="s">
        <v>171</v>
      </c>
      <c r="B59" s="17">
        <v>0</v>
      </c>
      <c r="C59" s="17">
        <v>0</v>
      </c>
      <c r="D59" s="17">
        <v>0</v>
      </c>
      <c r="E59" s="17">
        <v>3346.69</v>
      </c>
      <c r="F59" s="17">
        <v>0</v>
      </c>
      <c r="G59" s="17">
        <v>0</v>
      </c>
      <c r="H59" s="17">
        <v>0</v>
      </c>
      <c r="U59" s="17">
        <v>0</v>
      </c>
      <c r="V59" s="17"/>
    </row>
    <row r="60" spans="1:22" ht="26.65" x14ac:dyDescent="0.45">
      <c r="A60" s="17" t="s">
        <v>172</v>
      </c>
      <c r="B60" s="17">
        <v>0</v>
      </c>
      <c r="C60" s="17">
        <v>0</v>
      </c>
      <c r="D60" s="17">
        <v>0</v>
      </c>
      <c r="E60" s="17">
        <v>0</v>
      </c>
      <c r="F60" s="17">
        <v>0</v>
      </c>
      <c r="G60" s="17">
        <v>0</v>
      </c>
      <c r="H60" s="17">
        <v>0</v>
      </c>
      <c r="U60" s="17">
        <v>0</v>
      </c>
      <c r="V60" s="17"/>
    </row>
    <row r="61" spans="1:22" ht="26.65" x14ac:dyDescent="0.45">
      <c r="A61" s="17" t="s">
        <v>173</v>
      </c>
      <c r="B61" s="17">
        <v>0</v>
      </c>
      <c r="C61" s="17">
        <v>0</v>
      </c>
      <c r="D61" s="17">
        <v>0</v>
      </c>
      <c r="E61" s="17">
        <v>0</v>
      </c>
      <c r="F61" s="17">
        <v>0</v>
      </c>
      <c r="G61" s="17">
        <v>0</v>
      </c>
      <c r="H61" s="17">
        <v>0</v>
      </c>
      <c r="U61" s="17">
        <v>0</v>
      </c>
      <c r="V61" s="17"/>
    </row>
    <row r="62" spans="1:22" x14ac:dyDescent="0.45">
      <c r="A62" s="17" t="s">
        <v>132</v>
      </c>
      <c r="B62" s="17">
        <v>3694.74</v>
      </c>
      <c r="C62" s="17">
        <v>517.66</v>
      </c>
      <c r="D62" s="17">
        <v>629.73</v>
      </c>
      <c r="E62" s="17">
        <v>1689.71</v>
      </c>
      <c r="F62" s="17">
        <v>325.47000000000003</v>
      </c>
      <c r="G62" s="17">
        <v>-1419.67</v>
      </c>
      <c r="H62" s="17">
        <v>138.61000000000001</v>
      </c>
      <c r="U62" s="17">
        <v>-2130.4499999999998</v>
      </c>
      <c r="V62" s="17"/>
    </row>
    <row r="63" spans="1:22" ht="26.65" x14ac:dyDescent="0.45">
      <c r="A63" s="17" t="s">
        <v>174</v>
      </c>
      <c r="B63" s="19">
        <v>-2373.54</v>
      </c>
      <c r="C63" s="19">
        <v>-18711.990000000002</v>
      </c>
      <c r="D63" s="19">
        <v>-20185.830000000002</v>
      </c>
      <c r="E63" s="19">
        <v>-28801.32</v>
      </c>
      <c r="F63" s="19">
        <v>-29263.65</v>
      </c>
      <c r="G63" s="19">
        <v>-25882.28</v>
      </c>
      <c r="H63" s="19">
        <v>-12357.08</v>
      </c>
      <c r="U63" s="19">
        <v>3870.53</v>
      </c>
      <c r="V63" s="19"/>
    </row>
    <row r="64" spans="1:22" ht="39.75" x14ac:dyDescent="0.45">
      <c r="A64" s="17" t="s">
        <v>175</v>
      </c>
      <c r="B64" s="17">
        <v>0</v>
      </c>
      <c r="C64" s="17">
        <v>0</v>
      </c>
      <c r="D64" s="17">
        <v>0</v>
      </c>
      <c r="E64" s="17">
        <v>0</v>
      </c>
      <c r="F64" s="17">
        <v>0</v>
      </c>
      <c r="G64" s="17">
        <v>0</v>
      </c>
      <c r="H64" s="17">
        <v>0</v>
      </c>
      <c r="U64" s="17">
        <v>0</v>
      </c>
      <c r="V64" s="17"/>
    </row>
    <row r="65" spans="1:22" ht="26.65" x14ac:dyDescent="0.45">
      <c r="A65" s="17" t="s">
        <v>176</v>
      </c>
      <c r="B65" s="17">
        <v>0</v>
      </c>
      <c r="C65" s="17">
        <v>0</v>
      </c>
      <c r="D65" s="17">
        <v>0</v>
      </c>
      <c r="E65" s="17">
        <v>0</v>
      </c>
      <c r="F65" s="17">
        <v>0</v>
      </c>
      <c r="G65" s="17">
        <v>0</v>
      </c>
      <c r="H65" s="17">
        <v>0</v>
      </c>
      <c r="U65" s="17">
        <v>0</v>
      </c>
      <c r="V65" s="17"/>
    </row>
    <row r="66" spans="1:22" ht="39.75" x14ac:dyDescent="0.45">
      <c r="A66" s="17" t="s">
        <v>177</v>
      </c>
      <c r="B66" s="17">
        <v>19512.54</v>
      </c>
      <c r="C66" s="17">
        <v>10338.76</v>
      </c>
      <c r="D66" s="17">
        <v>7840.37</v>
      </c>
      <c r="E66" s="17">
        <v>2584.6999999999998</v>
      </c>
      <c r="F66" s="17">
        <v>9140.44</v>
      </c>
      <c r="G66" s="17">
        <v>8053</v>
      </c>
      <c r="H66" s="17">
        <v>19324.36</v>
      </c>
      <c r="U66" s="17">
        <v>17842.849999999999</v>
      </c>
      <c r="V66" s="17"/>
    </row>
    <row r="67" spans="1:22" ht="26.65" x14ac:dyDescent="0.45">
      <c r="A67" s="17" t="s">
        <v>178</v>
      </c>
      <c r="B67" s="17">
        <v>0</v>
      </c>
      <c r="C67" s="17">
        <v>0</v>
      </c>
      <c r="D67" s="17">
        <v>0</v>
      </c>
      <c r="E67" s="17">
        <v>0</v>
      </c>
      <c r="F67" s="17">
        <v>0</v>
      </c>
      <c r="G67" s="17">
        <v>0</v>
      </c>
      <c r="H67" s="17">
        <v>0</v>
      </c>
      <c r="U67" s="17">
        <v>0</v>
      </c>
      <c r="V67" s="17"/>
    </row>
    <row r="68" spans="1:22" ht="26.65" x14ac:dyDescent="0.45">
      <c r="A68" s="17" t="s">
        <v>179</v>
      </c>
      <c r="B68" s="17">
        <v>17420</v>
      </c>
      <c r="C68" s="17">
        <v>18020</v>
      </c>
      <c r="D68" s="17">
        <v>11750</v>
      </c>
      <c r="E68" s="17">
        <v>7400</v>
      </c>
      <c r="F68" s="17">
        <v>11845</v>
      </c>
      <c r="G68" s="17">
        <v>70.91</v>
      </c>
      <c r="H68" s="17">
        <v>3015.84</v>
      </c>
      <c r="U68" s="17">
        <v>0</v>
      </c>
      <c r="V68" s="17"/>
    </row>
    <row r="69" spans="1:22" ht="26.65" x14ac:dyDescent="0.45">
      <c r="A69" s="17" t="s">
        <v>180</v>
      </c>
      <c r="B69" s="17">
        <v>0</v>
      </c>
      <c r="C69" s="17">
        <v>0</v>
      </c>
      <c r="D69" s="17">
        <v>0</v>
      </c>
      <c r="E69" s="17">
        <v>0</v>
      </c>
      <c r="F69" s="17">
        <v>0</v>
      </c>
      <c r="G69" s="17">
        <v>0</v>
      </c>
      <c r="H69" s="17">
        <v>0</v>
      </c>
      <c r="U69" s="17">
        <v>0</v>
      </c>
      <c r="V69" s="17"/>
    </row>
    <row r="70" spans="1:22" ht="26.65" x14ac:dyDescent="0.45">
      <c r="A70" s="17" t="s">
        <v>181</v>
      </c>
      <c r="B70" s="17">
        <v>0</v>
      </c>
      <c r="C70" s="17">
        <v>0</v>
      </c>
      <c r="D70" s="17">
        <v>0</v>
      </c>
      <c r="E70" s="17">
        <v>0</v>
      </c>
      <c r="F70" s="17">
        <v>0</v>
      </c>
      <c r="G70" s="17">
        <v>0</v>
      </c>
      <c r="H70" s="17">
        <v>0</v>
      </c>
      <c r="U70" s="17">
        <v>0</v>
      </c>
      <c r="V70" s="17"/>
    </row>
    <row r="71" spans="1:22" ht="26.65" x14ac:dyDescent="0.45">
      <c r="A71" s="17" t="s">
        <v>182</v>
      </c>
      <c r="B71" s="17">
        <v>0</v>
      </c>
      <c r="C71" s="17">
        <v>0</v>
      </c>
      <c r="D71" s="17">
        <v>0</v>
      </c>
      <c r="E71" s="17">
        <v>0</v>
      </c>
      <c r="F71" s="17">
        <v>0</v>
      </c>
      <c r="G71" s="17">
        <v>0</v>
      </c>
      <c r="H71" s="17">
        <v>0</v>
      </c>
      <c r="U71" s="17">
        <v>0</v>
      </c>
      <c r="V71" s="17"/>
    </row>
    <row r="72" spans="1:22" ht="26.65" x14ac:dyDescent="0.45">
      <c r="A72" s="17" t="s">
        <v>183</v>
      </c>
      <c r="B72" s="17">
        <v>0</v>
      </c>
      <c r="C72" s="17">
        <v>0</v>
      </c>
      <c r="D72" s="17">
        <v>0</v>
      </c>
      <c r="E72" s="17">
        <v>0</v>
      </c>
      <c r="F72" s="17">
        <v>0</v>
      </c>
      <c r="G72" s="17">
        <v>0</v>
      </c>
      <c r="H72" s="17">
        <v>0</v>
      </c>
      <c r="U72" s="17">
        <v>0</v>
      </c>
      <c r="V72" s="17"/>
    </row>
    <row r="73" spans="1:22" ht="26.65" x14ac:dyDescent="0.45">
      <c r="A73" s="17" t="s">
        <v>184</v>
      </c>
      <c r="B73" s="17">
        <v>0</v>
      </c>
      <c r="C73" s="17">
        <v>0</v>
      </c>
      <c r="D73" s="17">
        <v>0</v>
      </c>
      <c r="E73" s="17">
        <v>0</v>
      </c>
      <c r="F73" s="17">
        <v>0</v>
      </c>
      <c r="G73" s="17">
        <v>0</v>
      </c>
      <c r="H73" s="17">
        <v>0</v>
      </c>
      <c r="U73" s="17">
        <v>0</v>
      </c>
      <c r="V73" s="17"/>
    </row>
    <row r="74" spans="1:22" ht="26.65" x14ac:dyDescent="0.45">
      <c r="A74" s="17" t="s">
        <v>185</v>
      </c>
      <c r="B74" s="17">
        <v>0</v>
      </c>
      <c r="C74" s="17">
        <v>0</v>
      </c>
      <c r="D74" s="17">
        <v>0</v>
      </c>
      <c r="E74" s="17">
        <v>0</v>
      </c>
      <c r="F74" s="17">
        <v>0</v>
      </c>
      <c r="G74" s="17">
        <v>0</v>
      </c>
      <c r="H74" s="17">
        <v>0</v>
      </c>
      <c r="U74" s="17">
        <v>0</v>
      </c>
      <c r="V74" s="17"/>
    </row>
    <row r="75" spans="1:22" ht="26.65" x14ac:dyDescent="0.45">
      <c r="A75" s="17" t="s">
        <v>186</v>
      </c>
      <c r="B75" s="17">
        <v>-9495.6</v>
      </c>
      <c r="C75" s="17">
        <v>-10765.64</v>
      </c>
      <c r="D75" s="17">
        <v>-10913.32</v>
      </c>
      <c r="E75" s="17">
        <v>-15251.97</v>
      </c>
      <c r="F75" s="17">
        <v>-15540.65</v>
      </c>
      <c r="G75" s="17">
        <v>-13440.72</v>
      </c>
      <c r="H75" s="17">
        <v>-15701.7</v>
      </c>
      <c r="U75" s="17">
        <v>-6092.24</v>
      </c>
      <c r="V75" s="17"/>
    </row>
    <row r="76" spans="1:22" ht="26.65" x14ac:dyDescent="0.45">
      <c r="A76" s="17" t="s">
        <v>187</v>
      </c>
      <c r="B76" s="17">
        <v>-14120</v>
      </c>
      <c r="C76" s="17">
        <v>-19320</v>
      </c>
      <c r="D76" s="17">
        <v>-12950</v>
      </c>
      <c r="E76" s="17">
        <v>-3900</v>
      </c>
      <c r="F76" s="17">
        <v>-16445</v>
      </c>
      <c r="G76" s="17">
        <v>0</v>
      </c>
      <c r="H76" s="17">
        <v>0</v>
      </c>
      <c r="U76" s="17">
        <v>-500</v>
      </c>
      <c r="V76" s="17"/>
    </row>
    <row r="77" spans="1:22" x14ac:dyDescent="0.45">
      <c r="A77" s="17" t="s">
        <v>188</v>
      </c>
      <c r="B77" s="17">
        <v>0</v>
      </c>
      <c r="C77" s="17">
        <v>-4.2300000000000004</v>
      </c>
      <c r="D77" s="17">
        <v>-6.23</v>
      </c>
      <c r="E77" s="17">
        <v>-8.14</v>
      </c>
      <c r="F77" s="17">
        <v>-8.82</v>
      </c>
      <c r="G77" s="17">
        <v>-6.25</v>
      </c>
      <c r="H77" s="17">
        <v>-8.31</v>
      </c>
      <c r="U77" s="17">
        <v>0</v>
      </c>
      <c r="V77" s="17"/>
    </row>
    <row r="78" spans="1:22" x14ac:dyDescent="0.45">
      <c r="A78" s="17" t="s">
        <v>189</v>
      </c>
      <c r="B78" s="17">
        <v>-4514.87</v>
      </c>
      <c r="C78" s="17">
        <v>-4425.92</v>
      </c>
      <c r="D78" s="17">
        <v>-6821.99</v>
      </c>
      <c r="E78" s="17">
        <v>-10811.96</v>
      </c>
      <c r="F78" s="17">
        <v>-8544.93</v>
      </c>
      <c r="G78" s="17">
        <v>-11218.85</v>
      </c>
      <c r="H78" s="17">
        <v>-9765.64</v>
      </c>
      <c r="U78" s="17">
        <v>-1313.12</v>
      </c>
      <c r="V78" s="17"/>
    </row>
    <row r="79" spans="1:22" ht="26.65" x14ac:dyDescent="0.45">
      <c r="A79" s="17" t="s">
        <v>190</v>
      </c>
      <c r="B79" s="17">
        <v>0</v>
      </c>
      <c r="C79" s="17">
        <v>0</v>
      </c>
      <c r="D79" s="17">
        <v>0</v>
      </c>
      <c r="E79" s="17">
        <v>0</v>
      </c>
      <c r="F79" s="17">
        <v>0</v>
      </c>
      <c r="G79" s="17">
        <v>0</v>
      </c>
      <c r="H79" s="17">
        <v>0</v>
      </c>
      <c r="U79" s="17">
        <v>0</v>
      </c>
      <c r="V79" s="17"/>
    </row>
    <row r="80" spans="1:22" x14ac:dyDescent="0.45">
      <c r="A80" s="17" t="s">
        <v>191</v>
      </c>
      <c r="B80" s="17">
        <v>-10266.040000000001</v>
      </c>
      <c r="C80" s="17">
        <v>-11696.27</v>
      </c>
      <c r="D80" s="17">
        <v>-9084.66</v>
      </c>
      <c r="E80" s="17">
        <v>-8813.9500000000007</v>
      </c>
      <c r="F80" s="17">
        <v>-9709.69</v>
      </c>
      <c r="G80" s="17">
        <v>-9339.19</v>
      </c>
      <c r="H80" s="17">
        <v>-9221.6299999999992</v>
      </c>
      <c r="U80" s="17">
        <v>-5802.2</v>
      </c>
      <c r="V80" s="17"/>
    </row>
    <row r="81" spans="1:22" x14ac:dyDescent="0.45">
      <c r="A81" s="17" t="s">
        <v>132</v>
      </c>
      <c r="B81" s="17">
        <v>-909.57</v>
      </c>
      <c r="C81" s="17">
        <v>-858.69</v>
      </c>
      <c r="D81" s="17">
        <v>0</v>
      </c>
      <c r="E81" s="17">
        <v>0</v>
      </c>
      <c r="F81" s="17">
        <v>0</v>
      </c>
      <c r="G81" s="17">
        <v>-1.18</v>
      </c>
      <c r="H81" s="17">
        <v>0</v>
      </c>
      <c r="U81" s="17">
        <v>-264.76</v>
      </c>
      <c r="V81" s="17"/>
    </row>
    <row r="82" spans="1:22" ht="26.65" x14ac:dyDescent="0.45">
      <c r="A82" s="17" t="s">
        <v>192</v>
      </c>
      <c r="B82" s="19">
        <v>2126.9299999999998</v>
      </c>
      <c r="C82" s="19">
        <v>1159.44</v>
      </c>
      <c r="D82" s="17">
        <v>-375.09</v>
      </c>
      <c r="E82" s="19">
        <v>-1972.58</v>
      </c>
      <c r="F82" s="19">
        <v>1688.77</v>
      </c>
      <c r="G82" s="19">
        <v>-1525.69</v>
      </c>
      <c r="H82" s="19">
        <v>1102.98</v>
      </c>
      <c r="U82" s="19">
        <v>1687.79</v>
      </c>
      <c r="V82" s="17"/>
    </row>
    <row r="83" spans="1:22" ht="39.75" x14ac:dyDescent="0.45">
      <c r="A83" s="17" t="s">
        <v>193</v>
      </c>
      <c r="B83" s="19">
        <v>3643.14</v>
      </c>
      <c r="C83" s="19">
        <v>4805.1400000000003</v>
      </c>
      <c r="D83" s="19">
        <v>4430.05</v>
      </c>
      <c r="E83" s="19">
        <v>2457.4699999999998</v>
      </c>
      <c r="F83" s="19">
        <v>4146.24</v>
      </c>
      <c r="G83" s="19">
        <v>2620.5500000000002</v>
      </c>
      <c r="H83" s="19">
        <v>3723.53</v>
      </c>
      <c r="U83" s="19">
        <v>3228.43</v>
      </c>
      <c r="V83" s="19"/>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65DEC-5771-4443-9D4F-C1CF3A2BC6C4}">
  <dimension ref="A1:AG73"/>
  <sheetViews>
    <sheetView topLeftCell="A44" zoomScale="82" workbookViewId="0">
      <selection activeCell="I60" sqref="I60"/>
    </sheetView>
  </sheetViews>
  <sheetFormatPr defaultColWidth="8.6640625" defaultRowHeight="14.25" x14ac:dyDescent="0.45"/>
  <cols>
    <col min="1" max="1" width="36" customWidth="1"/>
    <col min="2" max="16" width="13" customWidth="1"/>
    <col min="18" max="33" width="12" hidden="1" customWidth="1"/>
  </cols>
  <sheetData>
    <row r="1" spans="1:33" ht="25.5" customHeight="1" x14ac:dyDescent="0.45">
      <c r="A1" s="72" t="s">
        <v>460</v>
      </c>
    </row>
    <row r="2" spans="1:33" ht="26.25" x14ac:dyDescent="0.45">
      <c r="I2" s="60" t="s">
        <v>195</v>
      </c>
      <c r="J2" s="61" t="s">
        <v>209</v>
      </c>
      <c r="K2" s="64" t="s">
        <v>461</v>
      </c>
    </row>
    <row r="3" spans="1:33" x14ac:dyDescent="0.45">
      <c r="A3" s="56" t="s">
        <v>201</v>
      </c>
      <c r="B3" s="57" t="s">
        <v>199</v>
      </c>
      <c r="C3" s="58" t="str">
        <f>IF(B3="Case 1","Optimistic",IF(B3="Case 2","Base case","Worst case"))</f>
        <v>Worst case</v>
      </c>
      <c r="I3" s="60" t="s">
        <v>196</v>
      </c>
      <c r="J3" s="62" t="s">
        <v>409</v>
      </c>
      <c r="K3" s="63" t="s">
        <v>410</v>
      </c>
      <c r="R3" t="s">
        <v>196</v>
      </c>
      <c r="S3">
        <v>0.11</v>
      </c>
      <c r="T3">
        <v>7.0000000000000007E-2</v>
      </c>
      <c r="U3">
        <v>7.0000000000000007E-2</v>
      </c>
      <c r="V3">
        <v>0.96</v>
      </c>
      <c r="W3">
        <v>0.97499999999999998</v>
      </c>
      <c r="X3">
        <v>0.05</v>
      </c>
      <c r="Y3">
        <v>0.25</v>
      </c>
      <c r="Z3">
        <v>0.48</v>
      </c>
      <c r="AA3">
        <v>0.1</v>
      </c>
      <c r="AB3">
        <v>0.94</v>
      </c>
      <c r="AC3">
        <v>1.05</v>
      </c>
      <c r="AD3">
        <v>0.1</v>
      </c>
      <c r="AE3">
        <v>0.12</v>
      </c>
      <c r="AF3">
        <v>0.08</v>
      </c>
      <c r="AG3">
        <v>0.93</v>
      </c>
    </row>
    <row r="4" spans="1:33" x14ac:dyDescent="0.45">
      <c r="I4" s="60" t="s">
        <v>197</v>
      </c>
      <c r="J4" s="62" t="s">
        <v>198</v>
      </c>
      <c r="K4" s="63" t="s">
        <v>411</v>
      </c>
      <c r="R4" t="s">
        <v>197</v>
      </c>
      <c r="S4">
        <v>0.08</v>
      </c>
      <c r="T4">
        <v>0.05</v>
      </c>
      <c r="U4">
        <v>0.06</v>
      </c>
      <c r="V4">
        <v>0.97</v>
      </c>
      <c r="W4">
        <v>0.98499999999999999</v>
      </c>
      <c r="X4">
        <v>0.04</v>
      </c>
      <c r="Y4">
        <v>0.25</v>
      </c>
      <c r="Z4">
        <v>0.46</v>
      </c>
      <c r="AA4">
        <v>0.08</v>
      </c>
      <c r="AB4">
        <v>0.95</v>
      </c>
      <c r="AC4">
        <v>1.03</v>
      </c>
      <c r="AD4">
        <v>0.08</v>
      </c>
      <c r="AE4">
        <v>0.1</v>
      </c>
      <c r="AF4">
        <v>7.0000000000000007E-2</v>
      </c>
      <c r="AG4">
        <v>0.95</v>
      </c>
    </row>
    <row r="5" spans="1:33" x14ac:dyDescent="0.45">
      <c r="I5" s="60" t="s">
        <v>199</v>
      </c>
      <c r="J5" s="62" t="s">
        <v>200</v>
      </c>
      <c r="K5" s="63" t="s">
        <v>412</v>
      </c>
      <c r="R5" t="s">
        <v>199</v>
      </c>
      <c r="S5">
        <v>0.05</v>
      </c>
      <c r="T5">
        <v>0.03</v>
      </c>
      <c r="U5">
        <v>0.04</v>
      </c>
      <c r="V5">
        <v>0.98</v>
      </c>
      <c r="W5">
        <v>0.995</v>
      </c>
      <c r="X5">
        <v>0.03</v>
      </c>
      <c r="Y5">
        <v>0.25</v>
      </c>
      <c r="Z5">
        <v>0.42</v>
      </c>
      <c r="AA5">
        <v>0.05</v>
      </c>
      <c r="AB5">
        <v>0.97</v>
      </c>
      <c r="AC5">
        <v>1.01</v>
      </c>
      <c r="AD5">
        <v>0.05</v>
      </c>
      <c r="AE5">
        <v>7.0000000000000007E-2</v>
      </c>
      <c r="AF5">
        <v>0.05</v>
      </c>
      <c r="AG5">
        <v>0.97</v>
      </c>
    </row>
    <row r="6" spans="1:33" ht="21.75" customHeight="1" x14ac:dyDescent="0.45">
      <c r="A6" s="73" t="s">
        <v>413</v>
      </c>
      <c r="B6" s="59" t="s">
        <v>414</v>
      </c>
    </row>
    <row r="8" spans="1:33" x14ac:dyDescent="0.45">
      <c r="A8" s="99" t="s">
        <v>229</v>
      </c>
      <c r="B8" s="99" t="s">
        <v>415</v>
      </c>
      <c r="C8" s="99" t="s">
        <v>416</v>
      </c>
      <c r="D8" s="99" t="s">
        <v>417</v>
      </c>
      <c r="E8" s="99" t="s">
        <v>418</v>
      </c>
      <c r="F8" s="99" t="s">
        <v>419</v>
      </c>
      <c r="G8" s="99" t="s">
        <v>420</v>
      </c>
      <c r="H8" s="99" t="s">
        <v>421</v>
      </c>
      <c r="I8" s="129" t="s">
        <v>422</v>
      </c>
      <c r="J8" s="129" t="s">
        <v>423</v>
      </c>
      <c r="K8" s="129" t="s">
        <v>424</v>
      </c>
      <c r="L8" s="129" t="s">
        <v>425</v>
      </c>
      <c r="M8" s="129" t="s">
        <v>426</v>
      </c>
    </row>
    <row r="9" spans="1:33" x14ac:dyDescent="0.45">
      <c r="A9" s="99"/>
      <c r="B9" s="100" t="s">
        <v>408</v>
      </c>
      <c r="C9" s="100" t="s">
        <v>408</v>
      </c>
      <c r="D9" s="100" t="s">
        <v>408</v>
      </c>
      <c r="E9" s="100" t="s">
        <v>408</v>
      </c>
      <c r="F9" s="100" t="s">
        <v>408</v>
      </c>
      <c r="G9" s="100" t="s">
        <v>408</v>
      </c>
      <c r="H9" s="100" t="s">
        <v>408</v>
      </c>
      <c r="I9" s="156" t="s">
        <v>427</v>
      </c>
      <c r="J9" s="156" t="s">
        <v>427</v>
      </c>
      <c r="K9" s="156" t="s">
        <v>427</v>
      </c>
      <c r="L9" s="156" t="s">
        <v>427</v>
      </c>
      <c r="M9" s="156" t="s">
        <v>427</v>
      </c>
    </row>
    <row r="10" spans="1:33" x14ac:dyDescent="0.45">
      <c r="A10" s="101" t="s">
        <v>428</v>
      </c>
      <c r="B10" s="102">
        <v>34119.120000000003</v>
      </c>
      <c r="C10" s="102">
        <v>36185.54</v>
      </c>
      <c r="D10" s="102">
        <v>37665.65</v>
      </c>
      <c r="E10" s="102">
        <v>39933.39</v>
      </c>
      <c r="F10" s="102">
        <v>43343.05</v>
      </c>
      <c r="G10" s="102">
        <v>42391.16</v>
      </c>
      <c r="H10" s="102">
        <v>41431.49</v>
      </c>
      <c r="I10" s="96">
        <f>H10*(1+INDEX(S$3:S$5,MATCH($B$3,R$3:R$5,0)))</f>
        <v>43503.0645</v>
      </c>
      <c r="J10" s="94">
        <f>I10*(1+INDEX(S$3:S$5,MATCH($B$3,R$3:R$5,0)))</f>
        <v>45678.217725000002</v>
      </c>
      <c r="K10" s="94">
        <f>J10*(1+INDEX(S$3:S$5,MATCH($B$3,R$3:R$5,0)))</f>
        <v>47962.128611250002</v>
      </c>
      <c r="L10" s="94">
        <f>K10*(1+INDEX(S$3:S$5,MATCH($B$3,R$3:R$5,0)))</f>
        <v>50360.235041812506</v>
      </c>
      <c r="M10" s="94">
        <f>L10*(1+INDEX(S$3:S$5,MATCH($B$3,R$3:R$5,0)))</f>
        <v>52878.246793903134</v>
      </c>
    </row>
    <row r="11" spans="1:33" x14ac:dyDescent="0.45">
      <c r="A11" s="103" t="s">
        <v>429</v>
      </c>
      <c r="B11" s="104">
        <v>0.146299008318274</v>
      </c>
      <c r="C11" s="104">
        <v>6.05648680270768E-2</v>
      </c>
      <c r="D11" s="104">
        <v>4.0903355318174101E-2</v>
      </c>
      <c r="E11" s="104">
        <v>6.0207111784875603E-2</v>
      </c>
      <c r="F11" s="104">
        <v>8.5383685181749006E-2</v>
      </c>
      <c r="G11" s="104">
        <v>-2.1961767803603999E-2</v>
      </c>
      <c r="H11" s="104">
        <v>-2.2638446317581402E-2</v>
      </c>
      <c r="I11" s="97">
        <f>(I10-H10)/H10</f>
        <v>5.0000000000000058E-2</v>
      </c>
      <c r="J11" s="95">
        <f>(J10-I10)/I10</f>
        <v>5.0000000000000044E-2</v>
      </c>
      <c r="K11" s="95">
        <f>(K10-J10)/J10</f>
        <v>4.9999999999999989E-2</v>
      </c>
      <c r="L11" s="95">
        <f>(L10-K10)/K10</f>
        <v>5.0000000000000086E-2</v>
      </c>
      <c r="M11" s="95">
        <f>(M10-L10)/L10</f>
        <v>5.0000000000000051E-2</v>
      </c>
    </row>
    <row r="12" spans="1:33" x14ac:dyDescent="0.45">
      <c r="A12" s="3"/>
      <c r="B12" s="3"/>
      <c r="C12" s="3"/>
      <c r="D12" s="3"/>
      <c r="E12" s="3"/>
      <c r="F12" s="3"/>
      <c r="G12" s="3"/>
      <c r="H12" s="3"/>
      <c r="I12" s="98"/>
      <c r="J12" s="86"/>
      <c r="K12" s="86"/>
      <c r="L12" s="86"/>
      <c r="M12" s="86"/>
    </row>
    <row r="13" spans="1:33" x14ac:dyDescent="0.45">
      <c r="A13" s="101" t="s">
        <v>430</v>
      </c>
      <c r="B13" s="102">
        <v>2282.94</v>
      </c>
      <c r="C13" s="102">
        <v>4227.68</v>
      </c>
      <c r="D13" s="102">
        <v>3366.82</v>
      </c>
      <c r="E13" s="102">
        <v>6391.37</v>
      </c>
      <c r="F13" s="102">
        <v>3867.59</v>
      </c>
      <c r="G13" s="102">
        <v>3549.01</v>
      </c>
      <c r="H13" s="102">
        <v>5208.54</v>
      </c>
      <c r="I13" s="96">
        <f>H13*(1+INDEX(T$3:T$5,MATCH($B$3,R$3:R$5,0)))</f>
        <v>5364.7961999999998</v>
      </c>
      <c r="J13" s="94">
        <f>I13*(1+INDEX(T$3:T$5,MATCH($B$3,R$3:R$5,0)))</f>
        <v>5525.7400859999998</v>
      </c>
      <c r="K13" s="94">
        <f>J13*(1+INDEX(T$3:T$5,MATCH($B$3,R$3:R$5,0)))</f>
        <v>5691.5122885800001</v>
      </c>
      <c r="L13" s="94">
        <f>K13*(1+INDEX(T$3:T$5,MATCH($B$3,R$3:R$5,0)))</f>
        <v>5862.2576572374001</v>
      </c>
      <c r="M13" s="94">
        <f>L13*(1+INDEX(T$3:T$5,MATCH($B$3,R$3:R$5,0)))</f>
        <v>6038.1253869545226</v>
      </c>
    </row>
    <row r="14" spans="1:33" x14ac:dyDescent="0.45">
      <c r="A14" s="103" t="s">
        <v>431</v>
      </c>
      <c r="B14" s="104">
        <v>6.6910869916926297E-2</v>
      </c>
      <c r="C14" s="104">
        <v>0.116833409146305</v>
      </c>
      <c r="D14" s="104">
        <v>8.9387014428265604E-2</v>
      </c>
      <c r="E14" s="104">
        <v>0.160050774552323</v>
      </c>
      <c r="F14" s="104">
        <v>8.9232068347751298E-2</v>
      </c>
      <c r="G14" s="104">
        <v>8.37205209765432E-2</v>
      </c>
      <c r="H14" s="104">
        <v>0.12571452293895299</v>
      </c>
      <c r="I14" s="97">
        <f>I13/I10</f>
        <v>0.12331996059725861</v>
      </c>
      <c r="J14" s="95">
        <f>J13/J10</f>
        <v>0.12097100896683463</v>
      </c>
      <c r="K14" s="95">
        <f>K13/K10</f>
        <v>0.11866679927222826</v>
      </c>
      <c r="L14" s="95">
        <f>L13/L10</f>
        <v>0.11640647928609058</v>
      </c>
      <c r="M14" s="95">
        <f>M13/M10</f>
        <v>0.11418921301397457</v>
      </c>
    </row>
    <row r="15" spans="1:33" x14ac:dyDescent="0.45">
      <c r="A15" s="3"/>
      <c r="B15" s="3"/>
      <c r="C15" s="3"/>
      <c r="D15" s="3"/>
      <c r="E15" s="3"/>
      <c r="F15" s="3"/>
      <c r="G15" s="3"/>
      <c r="H15" s="3"/>
      <c r="I15" s="98"/>
      <c r="J15" s="86"/>
      <c r="K15" s="86"/>
      <c r="L15" s="86"/>
      <c r="M15" s="86"/>
    </row>
    <row r="16" spans="1:33" x14ac:dyDescent="0.45">
      <c r="A16" s="101" t="s">
        <v>230</v>
      </c>
      <c r="B16" s="102">
        <v>2300.54</v>
      </c>
      <c r="C16" s="102">
        <v>2448.29</v>
      </c>
      <c r="D16" s="102">
        <v>2594.37</v>
      </c>
      <c r="E16" s="102">
        <v>2627.92</v>
      </c>
      <c r="F16" s="102">
        <v>2763.9</v>
      </c>
      <c r="G16" s="102">
        <v>2635.49</v>
      </c>
      <c r="H16" s="102">
        <v>2847.24</v>
      </c>
      <c r="I16" s="96">
        <f>H16*(1+INDEX(U$3:U$5,MATCH($B$3,R$3:R$5,0)))</f>
        <v>2961.1295999999998</v>
      </c>
      <c r="J16" s="94">
        <f>I16*(1+INDEX(U$3:U$5,MATCH($B$3,R$3:R$5,0)))</f>
        <v>3079.5747839999999</v>
      </c>
      <c r="K16" s="94">
        <f>J16*(1+INDEX(U$3:U$5,MATCH($B$3,R$3:R$5,0)))</f>
        <v>3202.7577753599999</v>
      </c>
      <c r="L16" s="94">
        <f>K16*(1+INDEX(U$3:U$5,MATCH($B$3,R$3:R$5,0)))</f>
        <v>3330.8680863743998</v>
      </c>
      <c r="M16" s="94">
        <f>L16*(1+INDEX(U$3:U$5,MATCH($B$3,R$3:R$5,0)))</f>
        <v>3464.1028098293759</v>
      </c>
    </row>
    <row r="17" spans="1:15" x14ac:dyDescent="0.45">
      <c r="A17" s="103" t="s">
        <v>431</v>
      </c>
      <c r="B17" s="104">
        <v>6.7426709715842595E-2</v>
      </c>
      <c r="C17" s="104">
        <v>6.7659346799854303E-2</v>
      </c>
      <c r="D17" s="104">
        <v>6.8878938767816297E-2</v>
      </c>
      <c r="E17" s="104">
        <v>6.5807586082724301E-2</v>
      </c>
      <c r="F17" s="104">
        <v>6.3768008942610199E-2</v>
      </c>
      <c r="G17" s="104">
        <v>6.2170745032690801E-2</v>
      </c>
      <c r="H17" s="104">
        <v>6.8721641437466993E-2</v>
      </c>
      <c r="I17" s="97">
        <f>I16/I10</f>
        <v>6.8067149614253031E-2</v>
      </c>
      <c r="J17" s="95">
        <f>J16/J10</f>
        <v>6.7418891046498244E-2</v>
      </c>
      <c r="K17" s="95">
        <f>K16/K10</f>
        <v>6.6776806369864924E-2</v>
      </c>
      <c r="L17" s="95">
        <f>L16/L10</f>
        <v>6.6140836785390011E-2</v>
      </c>
      <c r="M17" s="95">
        <f>M16/M10</f>
        <v>6.5510924054100583E-2</v>
      </c>
      <c r="O17" s="267"/>
    </row>
    <row r="18" spans="1:15" x14ac:dyDescent="0.45">
      <c r="A18" s="3"/>
      <c r="B18" s="3"/>
      <c r="C18" s="3"/>
      <c r="D18" s="3"/>
      <c r="E18" s="3"/>
      <c r="F18" s="3"/>
      <c r="G18" s="3"/>
      <c r="H18" s="3"/>
      <c r="I18" s="98"/>
      <c r="J18" s="86"/>
      <c r="K18" s="86"/>
      <c r="L18" s="86"/>
      <c r="M18" s="86"/>
    </row>
    <row r="19" spans="1:15" x14ac:dyDescent="0.45">
      <c r="A19" s="101" t="s">
        <v>432</v>
      </c>
      <c r="B19" s="102">
        <v>9091.42</v>
      </c>
      <c r="C19" s="102">
        <v>9813.6200000000008</v>
      </c>
      <c r="D19" s="102">
        <v>8501.01</v>
      </c>
      <c r="E19" s="102">
        <v>8210.94</v>
      </c>
      <c r="F19" s="102">
        <v>9744.25</v>
      </c>
      <c r="G19" s="102">
        <v>9046.8700000000008</v>
      </c>
      <c r="H19" s="102">
        <v>9479.32</v>
      </c>
      <c r="I19" s="96">
        <f>H19*INDEX(V$3:V$5,MATCH($B$3,R$3:R$5,0))</f>
        <v>9289.7335999999996</v>
      </c>
      <c r="J19" s="94">
        <f>I19*INDEX(V$3:V$5,MATCH($B$3,R$3:R$5,0))</f>
        <v>9103.9389279999996</v>
      </c>
      <c r="K19" s="94">
        <f>J19*INDEX(V$3:V$5,MATCH($B$3,R$3:R$5,0))</f>
        <v>8921.8601494399991</v>
      </c>
      <c r="L19" s="94">
        <f>K19*INDEX(V$3:V$5,MATCH($B$3,R$3:R$5,0))</f>
        <v>8743.4229464511991</v>
      </c>
      <c r="M19" s="94">
        <f>L19*INDEX(V$3:V$5,MATCH($B$3,R$3:R$5,0))</f>
        <v>8568.5544875221749</v>
      </c>
    </row>
    <row r="20" spans="1:15" x14ac:dyDescent="0.45">
      <c r="A20" s="103" t="s">
        <v>431</v>
      </c>
      <c r="B20" s="104">
        <v>0.26646115140132598</v>
      </c>
      <c r="C20" s="104">
        <v>0.27120280642488698</v>
      </c>
      <c r="D20" s="104">
        <v>0.22569662278495101</v>
      </c>
      <c r="E20" s="104">
        <v>0.20561590188060699</v>
      </c>
      <c r="F20" s="104">
        <v>0.224816896826596</v>
      </c>
      <c r="G20" s="104">
        <v>0.21341407029201401</v>
      </c>
      <c r="H20" s="104">
        <v>0.22879505419669899</v>
      </c>
      <c r="I20" s="97">
        <f>I19/I10</f>
        <v>0.21354205058358589</v>
      </c>
      <c r="J20" s="95">
        <f>J19/J10</f>
        <v>0.1993059138780135</v>
      </c>
      <c r="K20" s="95">
        <f>K19/K10</f>
        <v>0.18601885295281259</v>
      </c>
      <c r="L20" s="95">
        <f>L19/L10</f>
        <v>0.17361759608929173</v>
      </c>
      <c r="M20" s="95">
        <f>M19/M10</f>
        <v>0.16204308968333894</v>
      </c>
    </row>
    <row r="21" spans="1:15" x14ac:dyDescent="0.45">
      <c r="A21" s="3"/>
      <c r="B21" s="3"/>
      <c r="C21" s="3"/>
      <c r="D21" s="3"/>
      <c r="E21" s="3"/>
      <c r="F21" s="3"/>
      <c r="G21" s="3"/>
      <c r="H21" s="3"/>
      <c r="I21" s="98"/>
      <c r="J21" s="86"/>
      <c r="K21" s="86"/>
      <c r="L21" s="86"/>
      <c r="M21" s="86"/>
    </row>
    <row r="22" spans="1:15" x14ac:dyDescent="0.45">
      <c r="A22" s="101" t="s">
        <v>433</v>
      </c>
      <c r="B22" s="102">
        <v>10200.67</v>
      </c>
      <c r="C22" s="102">
        <v>11073.18</v>
      </c>
      <c r="D22" s="102">
        <v>11711.68</v>
      </c>
      <c r="E22" s="102">
        <v>12550.58</v>
      </c>
      <c r="F22" s="102">
        <v>12939.88</v>
      </c>
      <c r="G22" s="102">
        <v>12558.19</v>
      </c>
      <c r="H22" s="102">
        <v>12352.23</v>
      </c>
      <c r="I22" s="96">
        <f>H22*INDEX(W$3:W$5,MATCH($B$3,R$3:R$5,0))</f>
        <v>12290.468849999999</v>
      </c>
      <c r="J22" s="94">
        <f>I22*INDEX(W$3:W$5,MATCH($B$3,R$3:R$5,0))</f>
        <v>12229.01650575</v>
      </c>
      <c r="K22" s="94">
        <f>J22*INDEX(W$3:W$5,MATCH($B$3,R$3:R$5,0))</f>
        <v>12167.87142322125</v>
      </c>
      <c r="L22" s="94">
        <f>K22*INDEX(W$3:W$5,MATCH($B$3,R$3:R$5,0))</f>
        <v>12107.032066105143</v>
      </c>
      <c r="M22" s="94">
        <f>L22*INDEX(W$3:W$5,MATCH($B$3,R$3:R$5,0))</f>
        <v>12046.496905774617</v>
      </c>
    </row>
    <row r="23" spans="1:15" x14ac:dyDescent="0.45">
      <c r="A23" s="103" t="s">
        <v>431</v>
      </c>
      <c r="B23" s="104">
        <v>0.29897224781881798</v>
      </c>
      <c r="C23" s="104">
        <v>0.306011185683563</v>
      </c>
      <c r="D23" s="104">
        <v>0.31093795009511299</v>
      </c>
      <c r="E23" s="104">
        <v>0.31428786787197399</v>
      </c>
      <c r="F23" s="104">
        <v>0.29854567225887402</v>
      </c>
      <c r="G23" s="104">
        <v>0.296245490805158</v>
      </c>
      <c r="H23" s="104">
        <v>0.29813627267568699</v>
      </c>
      <c r="I23" s="97">
        <f>I22/I10</f>
        <v>0.28251961077362719</v>
      </c>
      <c r="J23" s="95">
        <f>J22/J10</f>
        <v>0.26772096449500865</v>
      </c>
      <c r="K23" s="95">
        <f>K22/K10</f>
        <v>0.25369748540241294</v>
      </c>
      <c r="L23" s="95">
        <f>L22/L10</f>
        <v>0.24040856950038175</v>
      </c>
      <c r="M23" s="95">
        <f>M22/M10</f>
        <v>0.22781573966940935</v>
      </c>
    </row>
    <row r="24" spans="1:15" x14ac:dyDescent="0.45">
      <c r="A24" s="3"/>
      <c r="B24" s="3"/>
      <c r="C24" s="3"/>
      <c r="D24" s="3"/>
      <c r="E24" s="3"/>
      <c r="F24" s="3"/>
      <c r="G24" s="3"/>
      <c r="H24" s="3"/>
      <c r="I24" s="98"/>
      <c r="J24" s="86"/>
      <c r="K24" s="86"/>
      <c r="L24" s="86"/>
      <c r="M24" s="86"/>
    </row>
    <row r="25" spans="1:15" x14ac:dyDescent="0.45">
      <c r="A25" s="101" t="s">
        <v>434</v>
      </c>
      <c r="B25" s="102">
        <v>5847.32</v>
      </c>
      <c r="C25" s="102">
        <v>2747.38</v>
      </c>
      <c r="D25" s="102">
        <v>3200.49</v>
      </c>
      <c r="E25" s="102">
        <v>3130.5</v>
      </c>
      <c r="F25" s="102">
        <v>4291.49</v>
      </c>
      <c r="G25" s="102">
        <v>3593.03</v>
      </c>
      <c r="H25" s="102">
        <v>3341.81</v>
      </c>
      <c r="I25" s="96">
        <f>H25*(1+INDEX(X$3:X$5,MATCH($B$3,R$3:R$5,0)))</f>
        <v>3442.0643</v>
      </c>
      <c r="J25" s="94">
        <f>I25*(1+INDEX(X$3:X$5,MATCH($B$3,R$3:R$5,0)))</f>
        <v>3545.3262290000002</v>
      </c>
      <c r="K25" s="94">
        <f>J25*(1+INDEX(X$3:X$5,MATCH($B$3,R$3:R$5,0)))</f>
        <v>3651.6860158700001</v>
      </c>
      <c r="L25" s="94">
        <f>K25*(1+INDEX(X$3:X$5,MATCH($B$3,R$3:R$5,0)))</f>
        <v>3761.2365963461002</v>
      </c>
      <c r="M25" s="94">
        <f>L25*(1+INDEX(X$3:X$5,MATCH($B$3,R$3:R$5,0)))</f>
        <v>3874.0736942364833</v>
      </c>
    </row>
    <row r="26" spans="1:15" x14ac:dyDescent="0.45">
      <c r="A26" s="103" t="s">
        <v>431</v>
      </c>
      <c r="B26" s="104">
        <v>0.17137956664767401</v>
      </c>
      <c r="C26" s="104">
        <v>7.59248031119613E-2</v>
      </c>
      <c r="D26" s="104">
        <v>8.4971054528462903E-2</v>
      </c>
      <c r="E26" s="104">
        <v>7.8393044016548605E-2</v>
      </c>
      <c r="F26" s="104">
        <v>9.9012183037418905E-2</v>
      </c>
      <c r="G26" s="104">
        <v>8.4758945025330795E-2</v>
      </c>
      <c r="H26" s="104">
        <v>8.0658697044204794E-2</v>
      </c>
      <c r="I26" s="97">
        <f>I25/I10</f>
        <v>7.9122340910029454E-2</v>
      </c>
      <c r="J26" s="95">
        <f>J25/J10</f>
        <v>7.7615248702219364E-2</v>
      </c>
      <c r="K26" s="95">
        <f>K25/K10</f>
        <v>7.613686301265328E-2</v>
      </c>
      <c r="L26" s="95">
        <f>L25/L10</f>
        <v>7.4686637050507501E-2</v>
      </c>
      <c r="M26" s="95">
        <f>M25/M10</f>
        <v>7.326403444002165E-2</v>
      </c>
    </row>
    <row r="27" spans="1:15" x14ac:dyDescent="0.45">
      <c r="A27" s="3"/>
      <c r="B27" s="3"/>
      <c r="C27" s="3"/>
      <c r="D27" s="3"/>
      <c r="E27" s="3"/>
      <c r="F27" s="3"/>
      <c r="G27" s="3"/>
      <c r="H27" s="3"/>
      <c r="I27" s="98"/>
      <c r="J27" s="86"/>
      <c r="K27" s="86"/>
      <c r="L27" s="86"/>
      <c r="M27" s="86"/>
    </row>
    <row r="28" spans="1:15" x14ac:dyDescent="0.45">
      <c r="A28" s="101" t="s">
        <v>435</v>
      </c>
      <c r="B28" s="102">
        <v>28254.2</v>
      </c>
      <c r="C28" s="102">
        <v>35217.550000000003</v>
      </c>
      <c r="D28" s="102">
        <v>35237.61</v>
      </c>
      <c r="E28" s="102">
        <v>40566.339999999997</v>
      </c>
      <c r="F28" s="102">
        <v>40155.25</v>
      </c>
      <c r="G28" s="102">
        <v>39711.65</v>
      </c>
      <c r="H28" s="102">
        <v>40450.980000000003</v>
      </c>
      <c r="I28" s="96">
        <f>I10+I13-I16-I25</f>
        <v>42464.666799999999</v>
      </c>
      <c r="J28" s="94">
        <f>J10+J13-J16-J25</f>
        <v>44579.056798000005</v>
      </c>
      <c r="K28" s="94">
        <f>K10+K13-K16-K25</f>
        <v>46799.197108600005</v>
      </c>
      <c r="L28" s="94">
        <f>L10+L13-L16-L25</f>
        <v>49130.388016329409</v>
      </c>
      <c r="M28" s="94">
        <f>M10+M13-M16-M25</f>
        <v>51578.195676791802</v>
      </c>
      <c r="O28" s="267"/>
    </row>
    <row r="29" spans="1:15" x14ac:dyDescent="0.45">
      <c r="A29" s="103" t="s">
        <v>436</v>
      </c>
      <c r="B29" s="104">
        <v>0.82810459355340904</v>
      </c>
      <c r="C29" s="104">
        <v>0.97324925923449002</v>
      </c>
      <c r="D29" s="104">
        <v>0.935537021131986</v>
      </c>
      <c r="E29" s="104">
        <v>1.0158501444530501</v>
      </c>
      <c r="F29" s="104">
        <v>0.92645187636772197</v>
      </c>
      <c r="G29" s="104">
        <v>0.936790830918522</v>
      </c>
      <c r="H29" s="104">
        <v>0.97633418445728104</v>
      </c>
      <c r="I29" s="97">
        <f>I28/I10</f>
        <v>0.97613047007297604</v>
      </c>
      <c r="J29" s="95">
        <f>J28/J10</f>
        <v>0.97593686921811706</v>
      </c>
      <c r="K29" s="95">
        <f>K28/K10</f>
        <v>0.97575312988971008</v>
      </c>
      <c r="L29" s="95">
        <f>L28/L10</f>
        <v>0.97557900545019316</v>
      </c>
      <c r="M29" s="95">
        <f>M28/M10</f>
        <v>0.97541425451985242</v>
      </c>
    </row>
    <row r="30" spans="1:15" x14ac:dyDescent="0.45">
      <c r="A30" s="3"/>
      <c r="B30" s="3"/>
      <c r="C30" s="3"/>
      <c r="D30" s="3"/>
      <c r="E30" s="3"/>
      <c r="F30" s="3"/>
      <c r="G30" s="3"/>
      <c r="H30" s="3"/>
      <c r="I30" s="98"/>
      <c r="J30" s="86"/>
      <c r="K30" s="86"/>
      <c r="L30" s="86"/>
      <c r="M30" s="86"/>
    </row>
    <row r="31" spans="1:15" x14ac:dyDescent="0.45">
      <c r="A31" s="101" t="s">
        <v>437</v>
      </c>
      <c r="B31" s="102">
        <v>8962.11</v>
      </c>
      <c r="C31" s="102">
        <v>14330.75</v>
      </c>
      <c r="D31" s="102">
        <v>15024.92</v>
      </c>
      <c r="E31" s="102">
        <v>19804.82</v>
      </c>
      <c r="F31" s="102">
        <v>17471.12</v>
      </c>
      <c r="G31" s="102">
        <v>18106.59</v>
      </c>
      <c r="H31" s="102">
        <v>18619.43</v>
      </c>
      <c r="I31" s="96">
        <f>I28-I19-I22</f>
        <v>20884.464350000002</v>
      </c>
      <c r="J31" s="94">
        <f>J28-J19-J22</f>
        <v>23246.101364250004</v>
      </c>
      <c r="K31" s="94">
        <f>K28-K19-K22</f>
        <v>25709.465535938754</v>
      </c>
      <c r="L31" s="94">
        <f>L28-L19-L22</f>
        <v>28279.933003773062</v>
      </c>
      <c r="M31" s="94">
        <f>M28-M19-M22</f>
        <v>30963.14428349501</v>
      </c>
    </row>
    <row r="32" spans="1:15" x14ac:dyDescent="0.45">
      <c r="A32" s="103" t="s">
        <v>438</v>
      </c>
      <c r="B32" s="104">
        <v>0.26267119433326502</v>
      </c>
      <c r="C32" s="104">
        <v>0.39603526712603998</v>
      </c>
      <c r="D32" s="104">
        <v>0.398902448251922</v>
      </c>
      <c r="E32" s="104">
        <v>0.49594637470046998</v>
      </c>
      <c r="F32" s="104">
        <v>0.40308930728225201</v>
      </c>
      <c r="G32" s="104">
        <v>0.42713126982135002</v>
      </c>
      <c r="H32" s="104">
        <v>0.44940285758489501</v>
      </c>
      <c r="I32" s="97">
        <f>I31/I10</f>
        <v>0.48006880871576302</v>
      </c>
      <c r="J32" s="95">
        <f>J31/J10</f>
        <v>0.50890999084509492</v>
      </c>
      <c r="K32" s="95">
        <f>K31/K10</f>
        <v>0.53603679153448458</v>
      </c>
      <c r="L32" s="95">
        <f>L31/L10</f>
        <v>0.56155283986051951</v>
      </c>
      <c r="M32" s="95">
        <f>M31/M10</f>
        <v>0.58555542516710413</v>
      </c>
    </row>
    <row r="33" spans="1:13" x14ac:dyDescent="0.45">
      <c r="A33" s="3"/>
      <c r="B33" s="3"/>
      <c r="C33" s="3"/>
      <c r="D33" s="3"/>
      <c r="E33" s="3"/>
      <c r="F33" s="3"/>
      <c r="G33" s="3"/>
      <c r="H33" s="3"/>
      <c r="I33" s="98"/>
      <c r="J33" s="86"/>
      <c r="K33" s="86"/>
      <c r="L33" s="86"/>
      <c r="M33" s="86"/>
    </row>
    <row r="34" spans="1:13" x14ac:dyDescent="0.45">
      <c r="A34" s="101" t="s">
        <v>439</v>
      </c>
      <c r="B34" s="102">
        <v>2489.4299999999998</v>
      </c>
      <c r="C34" s="102">
        <v>2230.7399999999998</v>
      </c>
      <c r="D34" s="102">
        <v>2529.11</v>
      </c>
      <c r="E34" s="102">
        <v>3282.06</v>
      </c>
      <c r="F34" s="102">
        <v>2913.67</v>
      </c>
      <c r="G34" s="102">
        <v>3236.43</v>
      </c>
      <c r="H34" s="102">
        <v>3177.83</v>
      </c>
      <c r="I34" s="96">
        <f>I31*INDEX(Y$3:Y$5,MATCH($B$3,R$3:R$5,0))</f>
        <v>5221.1160875000005</v>
      </c>
      <c r="J34" s="94">
        <f>J31*INDEX(Y$3:Y$5,MATCH($B$3,R$3:R$5,0))</f>
        <v>5811.525341062501</v>
      </c>
      <c r="K34" s="94">
        <f>K31*INDEX(Y$3:Y$5,MATCH($B$3,R$3:R$5,0))</f>
        <v>6427.3663839846886</v>
      </c>
      <c r="L34" s="94">
        <f>L31*INDEX(Y$3:Y$5,MATCH($B$3,R$3:R$5,0))</f>
        <v>7069.9832509432654</v>
      </c>
      <c r="M34" s="94">
        <f>M31*INDEX(Y$3:Y$5,MATCH($B$3,R$3:R$5,0))</f>
        <v>7740.7860708737526</v>
      </c>
    </row>
    <row r="35" spans="1:13" x14ac:dyDescent="0.45">
      <c r="A35" s="103" t="s">
        <v>440</v>
      </c>
      <c r="B35" s="104">
        <v>0.27777275663878298</v>
      </c>
      <c r="C35" s="104">
        <v>0.15566107845018601</v>
      </c>
      <c r="D35" s="104">
        <v>0.16832768493942099</v>
      </c>
      <c r="E35" s="104">
        <v>0.16572026405693199</v>
      </c>
      <c r="F35" s="104">
        <v>0.166770647789037</v>
      </c>
      <c r="G35" s="104">
        <v>0.17874320896425</v>
      </c>
      <c r="H35" s="104">
        <v>0.170672786438683</v>
      </c>
      <c r="I35" s="97">
        <f>I34/I31</f>
        <v>0.25</v>
      </c>
      <c r="J35" s="95">
        <f>J34/J31</f>
        <v>0.25</v>
      </c>
      <c r="K35" s="95">
        <f>K34/K31</f>
        <v>0.25</v>
      </c>
      <c r="L35" s="95">
        <f>L34/L31</f>
        <v>0.25</v>
      </c>
      <c r="M35" s="95">
        <f>M34/M31</f>
        <v>0.25</v>
      </c>
    </row>
    <row r="36" spans="1:13" x14ac:dyDescent="0.45">
      <c r="A36" s="3"/>
      <c r="B36" s="3"/>
      <c r="C36" s="3"/>
      <c r="D36" s="3"/>
      <c r="E36" s="3"/>
      <c r="F36" s="3"/>
      <c r="G36" s="3"/>
      <c r="H36" s="3"/>
      <c r="I36" s="98"/>
      <c r="J36" s="86"/>
      <c r="K36" s="86"/>
      <c r="L36" s="86"/>
      <c r="M36" s="86"/>
    </row>
    <row r="37" spans="1:13" x14ac:dyDescent="0.45">
      <c r="A37" s="101" t="s">
        <v>441</v>
      </c>
      <c r="B37" s="102">
        <v>9938.5499999999993</v>
      </c>
      <c r="C37" s="102">
        <v>10811.18</v>
      </c>
      <c r="D37" s="102">
        <v>11935.78</v>
      </c>
      <c r="E37" s="102">
        <v>17093.759999999998</v>
      </c>
      <c r="F37" s="102">
        <v>15333.02</v>
      </c>
      <c r="G37" s="102">
        <v>15474.61</v>
      </c>
      <c r="H37" s="102">
        <v>15353.57</v>
      </c>
      <c r="I37" s="96">
        <f>I31-I34</f>
        <v>15663.348262500002</v>
      </c>
      <c r="J37" s="94">
        <f>J31-J34</f>
        <v>17434.576023187503</v>
      </c>
      <c r="K37" s="94">
        <f>K31-K34</f>
        <v>19282.099151954066</v>
      </c>
      <c r="L37" s="94">
        <f>L31-L34</f>
        <v>21209.949752829794</v>
      </c>
      <c r="M37" s="94">
        <f>M31-M34</f>
        <v>23222.358212621257</v>
      </c>
    </row>
    <row r="38" spans="1:13" x14ac:dyDescent="0.45">
      <c r="A38" s="103" t="s">
        <v>442</v>
      </c>
      <c r="B38" s="104">
        <v>0.29128975190450401</v>
      </c>
      <c r="C38" s="104">
        <v>0.29877072443854702</v>
      </c>
      <c r="D38" s="104">
        <v>0.316887668206974</v>
      </c>
      <c r="E38" s="104">
        <v>0.42805682162220599</v>
      </c>
      <c r="F38" s="104">
        <v>0.35375959928985201</v>
      </c>
      <c r="G38" s="104">
        <v>0.365043325070604</v>
      </c>
      <c r="H38" s="104">
        <v>0.37057730726073301</v>
      </c>
      <c r="I38" s="97">
        <f>I37/I10</f>
        <v>0.36005160653682228</v>
      </c>
      <c r="J38" s="95">
        <f>J37/J10</f>
        <v>0.38168249313382119</v>
      </c>
      <c r="K38" s="95">
        <f>K37/K10</f>
        <v>0.40202759365086344</v>
      </c>
      <c r="L38" s="95">
        <f>L37/L10</f>
        <v>0.42116462989538961</v>
      </c>
      <c r="M38" s="95">
        <f>M37/M10</f>
        <v>0.43916656887532807</v>
      </c>
    </row>
    <row r="39" spans="1:13" x14ac:dyDescent="0.45">
      <c r="A39" s="3"/>
      <c r="B39" s="3"/>
      <c r="C39" s="3"/>
      <c r="D39" s="3"/>
      <c r="E39" s="3"/>
      <c r="F39" s="3"/>
      <c r="G39" s="3"/>
      <c r="H39" s="3"/>
      <c r="I39" s="98"/>
      <c r="J39" s="86"/>
      <c r="K39" s="86"/>
      <c r="L39" s="86"/>
      <c r="M39" s="86"/>
    </row>
    <row r="40" spans="1:13" x14ac:dyDescent="0.45">
      <c r="A40" s="101" t="s">
        <v>189</v>
      </c>
      <c r="B40" s="102">
        <v>3050.02</v>
      </c>
      <c r="C40" s="102">
        <v>3118.02</v>
      </c>
      <c r="D40" s="102">
        <v>4708.43</v>
      </c>
      <c r="E40" s="102">
        <v>8719.32</v>
      </c>
      <c r="F40" s="102">
        <v>6975.45</v>
      </c>
      <c r="G40" s="102">
        <v>7905.51</v>
      </c>
      <c r="H40" s="102">
        <v>7207.97</v>
      </c>
      <c r="I40" s="96">
        <f>I37*INDEX(Z$3:Z$5,MATCH($B$3,R$3:R$5,0))</f>
        <v>6578.6062702500003</v>
      </c>
      <c r="J40" s="94">
        <f>J37*INDEX(Z$3:Z$5,MATCH($B$3,R$3:R$5,0))</f>
        <v>7322.5219297387512</v>
      </c>
      <c r="K40" s="94">
        <f>K37*INDEX(Z$3:Z$5,MATCH($B$3,R$3:R$5,0))</f>
        <v>8098.4816438207072</v>
      </c>
      <c r="L40" s="94">
        <f>L37*INDEX(Z$3:Z$5,MATCH($B$3,R$3:R$5,0))</f>
        <v>8908.178896188514</v>
      </c>
      <c r="M40" s="94">
        <f>M37*INDEX(Z$3:Z$5,MATCH($B$3,R$3:R$5,0))</f>
        <v>9753.3904493009268</v>
      </c>
    </row>
    <row r="41" spans="1:13" x14ac:dyDescent="0.45">
      <c r="A41" s="103" t="s">
        <v>443</v>
      </c>
      <c r="B41" s="104">
        <v>0.30688782568885797</v>
      </c>
      <c r="C41" s="104">
        <v>0.28840700090091898</v>
      </c>
      <c r="D41" s="104">
        <v>0.39448029370514498</v>
      </c>
      <c r="E41" s="104">
        <v>0.51008789172189195</v>
      </c>
      <c r="F41" s="104">
        <v>0.45492994856851399</v>
      </c>
      <c r="G41" s="104">
        <v>0.51086974082060899</v>
      </c>
      <c r="H41" s="104">
        <v>0.46946540771950801</v>
      </c>
      <c r="I41" s="97">
        <f>I40/I37</f>
        <v>0.42</v>
      </c>
      <c r="J41" s="95">
        <f>J40/J37</f>
        <v>0.42</v>
      </c>
      <c r="K41" s="95">
        <f>K40/K37</f>
        <v>0.42</v>
      </c>
      <c r="L41" s="95">
        <f>L40/L37</f>
        <v>0.42000000000000004</v>
      </c>
      <c r="M41" s="95">
        <f>M40/M37</f>
        <v>0.41999999999999993</v>
      </c>
    </row>
    <row r="44" spans="1:13" ht="21.75" customHeight="1" x14ac:dyDescent="0.45">
      <c r="A44" s="337" t="s">
        <v>444</v>
      </c>
      <c r="B44" s="337"/>
    </row>
    <row r="45" spans="1:13" x14ac:dyDescent="0.45">
      <c r="C45" s="59" t="s">
        <v>414</v>
      </c>
    </row>
    <row r="46" spans="1:13" x14ac:dyDescent="0.45">
      <c r="A46" s="99" t="s">
        <v>229</v>
      </c>
      <c r="B46" s="99" t="s">
        <v>415</v>
      </c>
      <c r="C46" s="99" t="s">
        <v>416</v>
      </c>
      <c r="D46" s="99" t="s">
        <v>417</v>
      </c>
      <c r="E46" s="99" t="s">
        <v>418</v>
      </c>
      <c r="F46" s="99" t="s">
        <v>419</v>
      </c>
      <c r="G46" s="99" t="s">
        <v>420</v>
      </c>
      <c r="H46" s="99" t="s">
        <v>421</v>
      </c>
      <c r="I46" s="105" t="s">
        <v>422</v>
      </c>
      <c r="J46" s="105" t="s">
        <v>423</v>
      </c>
      <c r="K46" s="105" t="s">
        <v>424</v>
      </c>
      <c r="L46" s="105" t="s">
        <v>425</v>
      </c>
      <c r="M46" s="105" t="s">
        <v>426</v>
      </c>
    </row>
    <row r="47" spans="1:13" x14ac:dyDescent="0.45">
      <c r="A47" s="99"/>
      <c r="B47" s="100" t="s">
        <v>408</v>
      </c>
      <c r="C47" s="100" t="s">
        <v>408</v>
      </c>
      <c r="D47" s="100" t="s">
        <v>408</v>
      </c>
      <c r="E47" s="100" t="s">
        <v>408</v>
      </c>
      <c r="F47" s="100" t="s">
        <v>408</v>
      </c>
      <c r="G47" s="100" t="s">
        <v>408</v>
      </c>
      <c r="H47" s="100" t="s">
        <v>408</v>
      </c>
      <c r="I47" s="106" t="s">
        <v>427</v>
      </c>
      <c r="J47" s="106" t="s">
        <v>427</v>
      </c>
      <c r="K47" s="106" t="s">
        <v>427</v>
      </c>
      <c r="L47" s="106" t="s">
        <v>427</v>
      </c>
      <c r="M47" s="106" t="s">
        <v>427</v>
      </c>
    </row>
    <row r="48" spans="1:13" x14ac:dyDescent="0.45">
      <c r="A48" s="101" t="s">
        <v>445</v>
      </c>
      <c r="B48" s="102">
        <v>197438.06</v>
      </c>
      <c r="C48" s="102">
        <v>200236.06</v>
      </c>
      <c r="D48" s="102">
        <v>194915.03</v>
      </c>
      <c r="E48" s="102">
        <v>187107.75</v>
      </c>
      <c r="F48" s="102">
        <v>179976.76</v>
      </c>
      <c r="G48" s="102">
        <v>172372.68</v>
      </c>
      <c r="H48" s="102">
        <v>166033.9</v>
      </c>
      <c r="I48" s="94">
        <f>H48*INDEX(W$3:W$5,MATCH($B$3,R$3:R$5,0))</f>
        <v>165203.73050000001</v>
      </c>
      <c r="J48" s="94">
        <f>I48*INDEX(W$3:W$5,MATCH($B$3,R$3:R$5,0))</f>
        <v>164377.7118475</v>
      </c>
      <c r="K48" s="94">
        <f>J48*INDEX(W$3:W$5,MATCH($B$3,R$3:R$5,0))</f>
        <v>163555.8232882625</v>
      </c>
      <c r="L48" s="94">
        <f>K48*INDEX(W$3:W$5,MATCH($B$3,R$3:R$5,0))</f>
        <v>162738.04417182118</v>
      </c>
      <c r="M48" s="94">
        <f>L48*INDEX(W$3:W$5,MATCH($B$3,R$3:R$5,0))</f>
        <v>161924.35395096208</v>
      </c>
    </row>
    <row r="49" spans="1:13" x14ac:dyDescent="0.45">
      <c r="A49" s="103" t="s">
        <v>446</v>
      </c>
      <c r="B49" s="3"/>
      <c r="C49" s="104">
        <v>1.41715330873895E-2</v>
      </c>
      <c r="D49" s="104">
        <v>-2.6573784961609798E-2</v>
      </c>
      <c r="E49" s="104">
        <v>-4.0054786949985301E-2</v>
      </c>
      <c r="F49" s="104">
        <v>-3.8111676293472597E-2</v>
      </c>
      <c r="G49" s="104">
        <v>-4.2250343877731897E-2</v>
      </c>
      <c r="H49" s="104">
        <v>-3.6773692907716003E-2</v>
      </c>
      <c r="I49" s="95">
        <f>I48/H48-1</f>
        <v>-4.9999999999998934E-3</v>
      </c>
      <c r="J49" s="95">
        <f>J48/I48-1</f>
        <v>-5.0000000000000044E-3</v>
      </c>
      <c r="K49" s="95">
        <f>K48/J48-1</f>
        <v>-5.0000000000000044E-3</v>
      </c>
      <c r="L49" s="95">
        <f>L48/K48-1</f>
        <v>-5.0000000000000044E-3</v>
      </c>
      <c r="M49" s="95">
        <f>M48/L48-1</f>
        <v>-5.0000000000000044E-3</v>
      </c>
    </row>
    <row r="50" spans="1:13" x14ac:dyDescent="0.45">
      <c r="A50" s="3"/>
      <c r="B50" s="3"/>
      <c r="C50" s="3"/>
      <c r="D50" s="3"/>
      <c r="E50" s="3"/>
      <c r="F50" s="3"/>
      <c r="G50" s="3"/>
      <c r="H50" s="3"/>
      <c r="I50" s="86"/>
      <c r="J50" s="86"/>
      <c r="K50" s="86"/>
      <c r="L50" s="86"/>
      <c r="M50" s="86"/>
    </row>
    <row r="51" spans="1:13" x14ac:dyDescent="0.45">
      <c r="A51" s="101" t="s">
        <v>447</v>
      </c>
      <c r="B51" s="102">
        <v>19462.03</v>
      </c>
      <c r="C51" s="102">
        <v>8006.12</v>
      </c>
      <c r="D51" s="102">
        <v>6389.23</v>
      </c>
      <c r="E51" s="102">
        <v>3645.32</v>
      </c>
      <c r="F51" s="102">
        <v>3064.54</v>
      </c>
      <c r="G51" s="102">
        <v>5517.74</v>
      </c>
      <c r="H51" s="102">
        <v>5142.74</v>
      </c>
      <c r="I51" s="94">
        <f>H51*(1+INDEX(AA$3:AA$5,MATCH($B$3,R$3:R$5,0)))</f>
        <v>5399.8770000000004</v>
      </c>
      <c r="J51" s="94">
        <f>I51*(1+INDEX(AA$3:AA$5,MATCH($B$3,R$3:R$5,0)))</f>
        <v>5669.8708500000002</v>
      </c>
      <c r="K51" s="94">
        <f>J51*(1+INDEX(AA$3:AA$5,MATCH($B$3,R$3:R$5,0)))</f>
        <v>5953.3643925000006</v>
      </c>
      <c r="L51" s="94">
        <f>K51*(1+INDEX(AA$3:AA$5,MATCH($B$3,R$3:R$5,0)))</f>
        <v>6251.0326121250009</v>
      </c>
      <c r="M51" s="94">
        <f>L51*(1+INDEX(AA$3:AA$5,MATCH($B$3,R$3:R$5,0)))</f>
        <v>6563.5842427312509</v>
      </c>
    </row>
    <row r="52" spans="1:13" x14ac:dyDescent="0.45">
      <c r="A52" s="103" t="s">
        <v>448</v>
      </c>
      <c r="B52" s="104">
        <v>9.8572838489195E-2</v>
      </c>
      <c r="C52" s="104">
        <v>3.9983407584028602E-2</v>
      </c>
      <c r="D52" s="104">
        <v>3.2779565536839299E-2</v>
      </c>
      <c r="E52" s="104">
        <v>1.94824639813156E-2</v>
      </c>
      <c r="F52" s="104">
        <v>1.7027420651421901E-2</v>
      </c>
      <c r="G52" s="104">
        <v>3.2010525101773699E-2</v>
      </c>
      <c r="H52" s="104">
        <v>3.09740360251732E-2</v>
      </c>
      <c r="I52" s="95">
        <f>I51/I48</f>
        <v>3.2686168669780739E-2</v>
      </c>
      <c r="J52" s="95">
        <f>J51/J48</f>
        <v>3.449294181233143E-2</v>
      </c>
      <c r="K52" s="95">
        <f>K51/K48</f>
        <v>3.6399586837133673E-2</v>
      </c>
      <c r="L52" s="95">
        <f>L51/L48</f>
        <v>3.8411624300492823E-2</v>
      </c>
      <c r="M52" s="95">
        <f>M51/M48</f>
        <v>4.0534879915092928E-2</v>
      </c>
    </row>
    <row r="53" spans="1:13" x14ac:dyDescent="0.45">
      <c r="A53" s="3"/>
      <c r="B53" s="3"/>
      <c r="C53" s="3"/>
      <c r="D53" s="3"/>
      <c r="E53" s="3"/>
      <c r="F53" s="3"/>
      <c r="G53" s="3"/>
      <c r="H53" s="3"/>
      <c r="I53" s="86"/>
      <c r="J53" s="86"/>
      <c r="K53" s="86"/>
      <c r="L53" s="86"/>
      <c r="M53" s="86"/>
    </row>
    <row r="54" spans="1:13" x14ac:dyDescent="0.45">
      <c r="A54" s="101" t="s">
        <v>231</v>
      </c>
      <c r="B54" s="102">
        <v>4649.8</v>
      </c>
      <c r="C54" s="102">
        <v>4867.8999999999996</v>
      </c>
      <c r="D54" s="102">
        <v>8470.2000000000007</v>
      </c>
      <c r="E54" s="102">
        <v>9106.82</v>
      </c>
      <c r="F54" s="102">
        <v>14304.13</v>
      </c>
      <c r="G54" s="102">
        <v>10825.8</v>
      </c>
      <c r="H54" s="102">
        <v>7273.25</v>
      </c>
      <c r="I54" s="94">
        <f>H54*INDEX(AG$3:AG$5,MATCH($B$3,R$3:R$5,0))</f>
        <v>7055.0524999999998</v>
      </c>
      <c r="J54" s="94">
        <f>I54*INDEX(AG$3:AG$5,MATCH($B$3,R$3:R$5,0))</f>
        <v>6843.4009249999999</v>
      </c>
      <c r="K54" s="94">
        <f>J54*INDEX(AG$3:AG$5,MATCH($B$3,R$3:R$5,0))</f>
        <v>6638.0988972499999</v>
      </c>
      <c r="L54" s="94">
        <f>K54*INDEX(AG$3:AG$5,MATCH($B$3,R$3:R$5,0))</f>
        <v>6438.9559303324995</v>
      </c>
      <c r="M54" s="94">
        <f>L54*INDEX(AG$3:AG$5,MATCH($B$3,R$3:R$5,0))</f>
        <v>6245.787252422524</v>
      </c>
    </row>
    <row r="55" spans="1:13" x14ac:dyDescent="0.45">
      <c r="A55" s="103" t="s">
        <v>449</v>
      </c>
      <c r="B55" s="107">
        <v>49.742695591211003</v>
      </c>
      <c r="C55" s="107">
        <v>49.102030811202503</v>
      </c>
      <c r="D55" s="107">
        <v>82.080702178244593</v>
      </c>
      <c r="E55" s="107">
        <v>83.238345154268202</v>
      </c>
      <c r="F55" s="107">
        <v>120.457776967703</v>
      </c>
      <c r="G55" s="107">
        <v>93.213231249156706</v>
      </c>
      <c r="H55" s="107">
        <v>64.075326520962705</v>
      </c>
      <c r="I55" s="108">
        <f>H55</f>
        <v>64.075326520962705</v>
      </c>
      <c r="J55" s="108">
        <f>I55</f>
        <v>64.075326520962705</v>
      </c>
      <c r="K55" s="108">
        <f>J55</f>
        <v>64.075326520962705</v>
      </c>
      <c r="L55" s="108">
        <f>K55</f>
        <v>64.075326520962705</v>
      </c>
      <c r="M55" s="108">
        <f>L55</f>
        <v>64.075326520962705</v>
      </c>
    </row>
    <row r="56" spans="1:13" x14ac:dyDescent="0.45">
      <c r="A56" s="3"/>
      <c r="B56" s="3"/>
      <c r="C56" s="3"/>
      <c r="D56" s="3"/>
      <c r="E56" s="3"/>
      <c r="F56" s="3"/>
      <c r="G56" s="3"/>
      <c r="H56" s="3"/>
      <c r="I56" s="86"/>
      <c r="J56" s="86"/>
      <c r="K56" s="86"/>
      <c r="L56" s="86"/>
      <c r="M56" s="86"/>
    </row>
    <row r="57" spans="1:13" x14ac:dyDescent="0.45">
      <c r="A57" s="101" t="s">
        <v>450</v>
      </c>
      <c r="B57" s="102">
        <v>131039.51</v>
      </c>
      <c r="C57" s="102">
        <v>135421.10999999999</v>
      </c>
      <c r="D57" s="102">
        <v>129080.07</v>
      </c>
      <c r="E57" s="102">
        <v>114199.4</v>
      </c>
      <c r="F57" s="102">
        <v>113891.29</v>
      </c>
      <c r="G57" s="102">
        <v>105066.95</v>
      </c>
      <c r="H57" s="102">
        <v>109857.95</v>
      </c>
      <c r="I57" s="94">
        <f>H57*INDEX(AB$3:AB$5,MATCH($B$3,R$3:R$5,0))</f>
        <v>106562.21149999999</v>
      </c>
      <c r="J57" s="94">
        <f>I57*INDEX(AB$3:AB$5,MATCH($B$3,R$3:R$5,0))</f>
        <v>103365.34515499999</v>
      </c>
      <c r="K57" s="94">
        <f>J57*INDEX(AB$3:AB$5,MATCH($B$3,R$3:R$5,0))</f>
        <v>100264.38480034999</v>
      </c>
      <c r="L57" s="94">
        <f>K57*INDEX(AB$3:AB$5,MATCH($B$3,R$3:R$5,0))</f>
        <v>97256.45325633949</v>
      </c>
      <c r="M57" s="94">
        <f>L57*INDEX(AB$3:AB$5,MATCH($B$3,R$3:R$5,0))</f>
        <v>94338.759658649302</v>
      </c>
    </row>
    <row r="58" spans="1:13" x14ac:dyDescent="0.45">
      <c r="A58" s="103" t="s">
        <v>451</v>
      </c>
      <c r="B58" s="104">
        <v>0.66369933942827397</v>
      </c>
      <c r="C58" s="104">
        <v>0.67630730448851195</v>
      </c>
      <c r="D58" s="104">
        <v>0.662237642730784</v>
      </c>
      <c r="E58" s="104">
        <v>0.61034029857127803</v>
      </c>
      <c r="F58" s="104">
        <v>0.63281109183207895</v>
      </c>
      <c r="G58" s="104">
        <v>0.60953365695770401</v>
      </c>
      <c r="H58" s="104">
        <v>0.66165975743507799</v>
      </c>
      <c r="I58" s="95">
        <f>I57/I48</f>
        <v>0.64503514041409604</v>
      </c>
      <c r="J58" s="95">
        <f>J57/J48</f>
        <v>0.62882822733836496</v>
      </c>
      <c r="K58" s="95">
        <f>K57/K48</f>
        <v>0.61302852313388345</v>
      </c>
      <c r="L58" s="95">
        <f>L57/L48</f>
        <v>0.59762579642197688</v>
      </c>
      <c r="M58" s="95">
        <f>M57/M48</f>
        <v>0.58261007289378652</v>
      </c>
    </row>
    <row r="59" spans="1:13" x14ac:dyDescent="0.45">
      <c r="A59" s="3"/>
      <c r="B59" s="3"/>
      <c r="C59" s="3"/>
      <c r="D59" s="3"/>
      <c r="E59" s="3"/>
      <c r="F59" s="3"/>
      <c r="G59" s="3"/>
      <c r="H59" s="3"/>
      <c r="I59" s="86"/>
      <c r="J59" s="86"/>
      <c r="K59" s="86"/>
      <c r="L59" s="86"/>
      <c r="M59" s="86"/>
    </row>
    <row r="60" spans="1:13" x14ac:dyDescent="0.45">
      <c r="A60" s="101" t="s">
        <v>452</v>
      </c>
      <c r="B60" s="102">
        <v>4300</v>
      </c>
      <c r="C60" s="102">
        <v>3000</v>
      </c>
      <c r="D60" s="102">
        <v>13971.41</v>
      </c>
      <c r="E60" s="102">
        <v>20465.87</v>
      </c>
      <c r="F60" s="102">
        <v>14626.22</v>
      </c>
      <c r="G60" s="102">
        <v>18381.669999999998</v>
      </c>
      <c r="H60" s="102">
        <v>21107.01</v>
      </c>
      <c r="I60" s="94">
        <f>H60*INDEX(AC$3:AC$5,MATCH($B$3,R$3:R$5,0))</f>
        <v>21318.080099999999</v>
      </c>
      <c r="J60" s="94">
        <f>I60*INDEX(AC$3:AC$5,MATCH($B$3,R$3:R$5,0))</f>
        <v>21531.260900999998</v>
      </c>
      <c r="K60" s="94">
        <f>J60*INDEX(AC$3:AC$5,MATCH($B$3,R$3:R$5,0))</f>
        <v>21746.573510009999</v>
      </c>
      <c r="L60" s="94">
        <f>K60*INDEX(AC$3:AC$5,MATCH($B$3,R$3:R$5,0))</f>
        <v>21964.0392451101</v>
      </c>
      <c r="M60" s="94">
        <f>L60*INDEX(AC$3:AC$5,MATCH($B$3,R$3:R$5,0))</f>
        <v>22183.679637561199</v>
      </c>
    </row>
    <row r="61" spans="1:13" x14ac:dyDescent="0.45">
      <c r="A61" s="3"/>
      <c r="B61" s="3"/>
      <c r="C61" s="3"/>
      <c r="D61" s="3"/>
      <c r="E61" s="3"/>
      <c r="F61" s="3"/>
      <c r="G61" s="3"/>
      <c r="H61" s="3"/>
      <c r="I61" s="86"/>
      <c r="J61" s="86"/>
      <c r="K61" s="86"/>
      <c r="L61" s="86"/>
      <c r="M61" s="86"/>
    </row>
    <row r="62" spans="1:13" x14ac:dyDescent="0.45">
      <c r="A62" s="101" t="s">
        <v>453</v>
      </c>
      <c r="B62" s="102">
        <v>135339.51</v>
      </c>
      <c r="C62" s="102">
        <v>138421.10999999999</v>
      </c>
      <c r="D62" s="102">
        <v>143051.48000000001</v>
      </c>
      <c r="E62" s="102">
        <v>134665.26999999999</v>
      </c>
      <c r="F62" s="102">
        <v>128517.51</v>
      </c>
      <c r="G62" s="102">
        <v>123448.62</v>
      </c>
      <c r="H62" s="102">
        <v>130964.96</v>
      </c>
      <c r="I62" s="94">
        <f>I57+I60</f>
        <v>127880.2916</v>
      </c>
      <c r="J62" s="94">
        <f>J57+J60</f>
        <v>124896.60605599999</v>
      </c>
      <c r="K62" s="94">
        <f>K57+K60</f>
        <v>122010.95831035999</v>
      </c>
      <c r="L62" s="94">
        <f>L57+L60</f>
        <v>119220.4925014496</v>
      </c>
      <c r="M62" s="94">
        <f>M57+M60</f>
        <v>116522.4392962105</v>
      </c>
    </row>
    <row r="63" spans="1:13" x14ac:dyDescent="0.45">
      <c r="A63" s="3"/>
      <c r="B63" s="3"/>
      <c r="C63" s="3"/>
      <c r="D63" s="3"/>
      <c r="E63" s="3"/>
      <c r="F63" s="3"/>
      <c r="G63" s="3"/>
      <c r="H63" s="3"/>
      <c r="I63" s="86"/>
      <c r="J63" s="86"/>
      <c r="K63" s="86"/>
      <c r="L63" s="86"/>
      <c r="M63" s="86"/>
    </row>
    <row r="64" spans="1:13" x14ac:dyDescent="0.45">
      <c r="A64" s="101" t="s">
        <v>454</v>
      </c>
      <c r="B64" s="102">
        <v>4332.04</v>
      </c>
      <c r="C64" s="102">
        <v>5409.4</v>
      </c>
      <c r="D64" s="102">
        <v>5273.54</v>
      </c>
      <c r="E64" s="102">
        <v>2971.04</v>
      </c>
      <c r="F64" s="102">
        <v>4734.4399999999996</v>
      </c>
      <c r="G64" s="102">
        <v>5026.7299999999996</v>
      </c>
      <c r="H64" s="102">
        <v>6419.4</v>
      </c>
      <c r="I64" s="94">
        <f>H64*(1+INDEX(AD$3:AD$5,MATCH($B$3,R$3:R$5,0)))</f>
        <v>6740.37</v>
      </c>
      <c r="J64" s="94">
        <f>I64*(1+INDEX(AD$3:AD$5,MATCH($B$3,R$3:R$5,0)))</f>
        <v>7077.3885</v>
      </c>
      <c r="K64" s="94">
        <f>J64*(1+INDEX(AD$3:AD$5,MATCH($B$3,R$3:R$5,0)))</f>
        <v>7431.2579249999999</v>
      </c>
      <c r="L64" s="94">
        <f>K64*(1+INDEX(AD$3:AD$5,MATCH($B$3,R$3:R$5,0)))</f>
        <v>7802.8208212500003</v>
      </c>
      <c r="M64" s="94">
        <f>L64*(1+INDEX(AD$3:AD$5,MATCH($B$3,R$3:R$5,0)))</f>
        <v>8192.9618623125007</v>
      </c>
    </row>
    <row r="65" spans="1:13" x14ac:dyDescent="0.45">
      <c r="A65" s="3"/>
      <c r="B65" s="3"/>
      <c r="C65" s="3"/>
      <c r="D65" s="3"/>
      <c r="E65" s="3"/>
      <c r="F65" s="3"/>
      <c r="G65" s="3"/>
      <c r="H65" s="3"/>
      <c r="I65" s="86"/>
      <c r="J65" s="86"/>
      <c r="K65" s="86"/>
      <c r="L65" s="86"/>
      <c r="M65" s="86"/>
    </row>
    <row r="66" spans="1:13" x14ac:dyDescent="0.45">
      <c r="A66" s="101" t="s">
        <v>455</v>
      </c>
      <c r="B66" s="102">
        <v>12184.06</v>
      </c>
      <c r="C66" s="102">
        <v>13391.07</v>
      </c>
      <c r="D66" s="102">
        <v>10829.36</v>
      </c>
      <c r="E66" s="102">
        <v>14704.44</v>
      </c>
      <c r="F66" s="102">
        <v>17927.759999999998</v>
      </c>
      <c r="G66" s="102">
        <v>22399.8</v>
      </c>
      <c r="H66" s="102">
        <v>36846.86</v>
      </c>
      <c r="I66" s="94">
        <f>H66*(1+INDEX(AE$3:AE$5,MATCH($B$3,R$3:R$5,0)))</f>
        <v>39426.140200000002</v>
      </c>
      <c r="J66" s="94">
        <f>I66*(1+INDEX(AE$3:AE$5,MATCH($B$3,R$3:R$5,0)))</f>
        <v>42185.970014000006</v>
      </c>
      <c r="K66" s="94">
        <f>J66*(1+INDEX(AE$3:AE$5,MATCH($B$3,R$3:R$5,0)))</f>
        <v>45138.987914980011</v>
      </c>
      <c r="L66" s="94">
        <f>K66*(1+INDEX(AE$3:AE$5,MATCH($B$3,R$3:R$5,0)))</f>
        <v>48298.717069028615</v>
      </c>
      <c r="M66" s="94">
        <f>L66*(1+INDEX(AE$3:AE$5,MATCH($B$3,R$3:R$5,0)))</f>
        <v>51679.627263860624</v>
      </c>
    </row>
    <row r="67" spans="1:13" x14ac:dyDescent="0.45">
      <c r="A67" s="3"/>
      <c r="B67" s="3"/>
      <c r="C67" s="3"/>
      <c r="D67" s="3"/>
      <c r="E67" s="3"/>
      <c r="F67" s="3"/>
      <c r="G67" s="3"/>
      <c r="H67" s="3"/>
      <c r="I67" s="86"/>
      <c r="J67" s="86"/>
      <c r="K67" s="86"/>
      <c r="L67" s="86"/>
      <c r="M67" s="86"/>
    </row>
    <row r="68" spans="1:13" x14ac:dyDescent="0.45">
      <c r="A68" s="101" t="s">
        <v>369</v>
      </c>
      <c r="B68" s="102">
        <v>5231.59</v>
      </c>
      <c r="C68" s="102">
        <v>5231.59</v>
      </c>
      <c r="D68" s="102">
        <v>5231.59</v>
      </c>
      <c r="E68" s="102">
        <v>6975.45</v>
      </c>
      <c r="F68" s="102">
        <v>6975.45</v>
      </c>
      <c r="G68" s="102">
        <v>9300.6</v>
      </c>
      <c r="H68" s="102">
        <v>9300.6</v>
      </c>
      <c r="I68" s="94">
        <f>H68</f>
        <v>9300.6</v>
      </c>
      <c r="J68" s="94">
        <f>I68</f>
        <v>9300.6</v>
      </c>
      <c r="K68" s="94">
        <f>J68</f>
        <v>9300.6</v>
      </c>
      <c r="L68" s="94">
        <f>K68</f>
        <v>9300.6</v>
      </c>
      <c r="M68" s="94">
        <f>L68</f>
        <v>9300.6</v>
      </c>
    </row>
    <row r="69" spans="1:13" x14ac:dyDescent="0.45">
      <c r="A69" s="101" t="s">
        <v>456</v>
      </c>
      <c r="B69" s="102">
        <v>53785.55</v>
      </c>
      <c r="C69" s="102">
        <v>59208.1</v>
      </c>
      <c r="D69" s="102">
        <v>64347.25</v>
      </c>
      <c r="E69" s="102">
        <v>69176.12</v>
      </c>
      <c r="F69" s="102">
        <v>75868.73</v>
      </c>
      <c r="G69" s="102">
        <v>77566.45</v>
      </c>
      <c r="H69" s="102">
        <v>82915.05</v>
      </c>
      <c r="I69" s="94">
        <f>H69*(1+INDEX(AF$3:AF$5,MATCH($B$3,R$3:R$5,0)))</f>
        <v>87060.802500000005</v>
      </c>
      <c r="J69" s="94">
        <f>I69*(1+INDEX(AF$3:AF$5,MATCH($B$3,R$3:R$5,0)))</f>
        <v>91413.842625000005</v>
      </c>
      <c r="K69" s="94">
        <f>J69*(1+INDEX(AF$3:AF$5,MATCH($B$3,R$3:R$5,0)))</f>
        <v>95984.53475625001</v>
      </c>
      <c r="L69" s="94">
        <f>K69*(1+INDEX(AF$3:AF$5,MATCH($B$3,R$3:R$5,0)))</f>
        <v>100783.76149406252</v>
      </c>
      <c r="M69" s="94">
        <f>L69*(1+INDEX(AF$3:AF$5,MATCH($B$3,R$3:R$5,0)))</f>
        <v>105822.94956876565</v>
      </c>
    </row>
    <row r="70" spans="1:13" x14ac:dyDescent="0.45">
      <c r="A70" s="101" t="s">
        <v>457</v>
      </c>
      <c r="B70" s="102">
        <v>59017.14</v>
      </c>
      <c r="C70" s="102">
        <v>64439.69</v>
      </c>
      <c r="D70" s="102">
        <v>69578.84</v>
      </c>
      <c r="E70" s="102">
        <v>76151.570000000007</v>
      </c>
      <c r="F70" s="102">
        <v>82844.179999999993</v>
      </c>
      <c r="G70" s="102">
        <v>86867.05</v>
      </c>
      <c r="H70" s="102">
        <v>92215.65</v>
      </c>
      <c r="I70" s="94">
        <f>I68+I69</f>
        <v>96361.402500000011</v>
      </c>
      <c r="J70" s="94">
        <f>J68+J69</f>
        <v>100714.44262500001</v>
      </c>
      <c r="K70" s="94">
        <f>K68+K69</f>
        <v>105285.13475625002</v>
      </c>
      <c r="L70" s="94">
        <f>L68+L69</f>
        <v>110084.36149406253</v>
      </c>
      <c r="M70" s="94">
        <f>M68+M69</f>
        <v>115123.54956876565</v>
      </c>
    </row>
    <row r="71" spans="1:13" x14ac:dyDescent="0.45">
      <c r="A71" s="3"/>
      <c r="B71" s="3"/>
      <c r="C71" s="3"/>
      <c r="D71" s="3"/>
      <c r="E71" s="3"/>
      <c r="F71" s="3"/>
      <c r="G71" s="3"/>
      <c r="H71" s="3"/>
      <c r="I71" s="86"/>
      <c r="J71" s="86"/>
      <c r="K71" s="86"/>
      <c r="L71" s="86"/>
      <c r="M71" s="86"/>
    </row>
    <row r="72" spans="1:13" x14ac:dyDescent="0.45">
      <c r="A72" s="103" t="s">
        <v>458</v>
      </c>
      <c r="B72" s="109">
        <v>2.2932237990522801</v>
      </c>
      <c r="C72" s="109">
        <v>2.1480722517442299</v>
      </c>
      <c r="D72" s="109">
        <v>2.05596241615986</v>
      </c>
      <c r="E72" s="109">
        <v>1.7683846833361401</v>
      </c>
      <c r="F72" s="109">
        <v>1.55131609728046</v>
      </c>
      <c r="G72" s="109">
        <v>1.4211213572925501</v>
      </c>
      <c r="H72" s="109">
        <v>1.4202031867692699</v>
      </c>
      <c r="I72" s="110">
        <f>I62/I70</f>
        <v>1.3270903938950036</v>
      </c>
      <c r="J72" s="110">
        <f>J62/J70</f>
        <v>1.2401062131777842</v>
      </c>
      <c r="K72" s="110">
        <f>K62/K70</f>
        <v>1.1588621564937218</v>
      </c>
      <c r="L72" s="110">
        <f>L62/L70</f>
        <v>1.082992087916864</v>
      </c>
      <c r="M72" s="110">
        <f>M62/M70</f>
        <v>1.012151203925564</v>
      </c>
    </row>
    <row r="73" spans="1:13" x14ac:dyDescent="0.45">
      <c r="A73" s="103" t="s">
        <v>459</v>
      </c>
      <c r="B73" s="111">
        <v>131007.47</v>
      </c>
      <c r="C73" s="111">
        <v>133011.71</v>
      </c>
      <c r="D73" s="111">
        <v>137777.94</v>
      </c>
      <c r="E73" s="111">
        <v>131694.23000000001</v>
      </c>
      <c r="F73" s="111">
        <v>123783.07</v>
      </c>
      <c r="G73" s="111">
        <v>118421.89</v>
      </c>
      <c r="H73" s="111">
        <v>124545.56</v>
      </c>
      <c r="I73" s="112">
        <f>I62-I64</f>
        <v>121139.9216</v>
      </c>
      <c r="J73" s="112">
        <f>J62-J64</f>
        <v>117819.21755599999</v>
      </c>
      <c r="K73" s="112">
        <f>K62-K64</f>
        <v>114579.70038535999</v>
      </c>
      <c r="L73" s="112">
        <f>L62-L64</f>
        <v>111417.67168019959</v>
      </c>
      <c r="M73" s="112">
        <f>M62-M64</f>
        <v>108329.47743389801</v>
      </c>
    </row>
  </sheetData>
  <mergeCells count="1">
    <mergeCell ref="A44:B44"/>
  </mergeCells>
  <dataValidations count="1">
    <dataValidation type="list" sqref="B3" xr:uid="{4425D946-872E-4129-971E-8221BF74C882}">
      <formula1>"Case 1,Case 2,Case 3"</formula1>
      <formula2>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FCEA4-CA09-4E85-94F4-FECD6D018C48}">
  <dimension ref="A1:AD94"/>
  <sheetViews>
    <sheetView workbookViewId="0">
      <selection activeCell="I10" sqref="I10"/>
    </sheetView>
  </sheetViews>
  <sheetFormatPr defaultColWidth="8.6640625" defaultRowHeight="14.25" x14ac:dyDescent="0.45"/>
  <cols>
    <col min="1" max="1" width="34" customWidth="1"/>
    <col min="2" max="16" width="12" customWidth="1"/>
    <col min="17" max="17" width="22" customWidth="1"/>
    <col min="19" max="30" width="10" hidden="1" customWidth="1"/>
  </cols>
  <sheetData>
    <row r="1" spans="1:28" ht="24" customHeight="1" x14ac:dyDescent="0.45">
      <c r="A1" s="340" t="s">
        <v>532</v>
      </c>
      <c r="B1" s="340"/>
      <c r="C1" s="340"/>
      <c r="D1" s="340"/>
      <c r="E1" s="340"/>
      <c r="F1" s="340"/>
      <c r="G1" s="340"/>
    </row>
    <row r="2" spans="1:28" ht="15.75" customHeight="1" x14ac:dyDescent="0.45">
      <c r="A2" s="65" t="s">
        <v>462</v>
      </c>
      <c r="B2" s="66">
        <v>365</v>
      </c>
      <c r="C2" s="66">
        <v>365</v>
      </c>
      <c r="D2" s="66">
        <v>365</v>
      </c>
      <c r="E2" s="66">
        <v>365</v>
      </c>
      <c r="F2" s="66">
        <v>365</v>
      </c>
      <c r="G2" s="66">
        <v>365</v>
      </c>
      <c r="H2" s="66">
        <v>365</v>
      </c>
      <c r="I2" s="83">
        <v>365</v>
      </c>
      <c r="J2" s="83">
        <v>365</v>
      </c>
      <c r="K2" s="83">
        <v>365</v>
      </c>
      <c r="L2" s="67">
        <v>365</v>
      </c>
      <c r="M2" s="67">
        <v>365</v>
      </c>
    </row>
    <row r="3" spans="1:28" ht="15" customHeight="1" x14ac:dyDescent="0.45">
      <c r="A3" s="65" t="s">
        <v>463</v>
      </c>
      <c r="B3" s="68" t="s">
        <v>199</v>
      </c>
      <c r="C3" s="69" t="str">
        <f>IF(B3="Case 1","Optimistic",IF(B3="Case 2","Base Case","Worst Case"))</f>
        <v>Worst Case</v>
      </c>
      <c r="S3" t="s">
        <v>196</v>
      </c>
      <c r="T3">
        <v>0.11</v>
      </c>
      <c r="U3">
        <v>7.0000000000000007E-2</v>
      </c>
      <c r="V3">
        <v>0.96</v>
      </c>
      <c r="W3">
        <v>0.97499999999999998</v>
      </c>
      <c r="X3">
        <v>0.05</v>
      </c>
      <c r="Y3">
        <v>0.25</v>
      </c>
      <c r="Z3">
        <v>0.48</v>
      </c>
      <c r="AA3">
        <v>0.1</v>
      </c>
      <c r="AB3">
        <v>7.0000000000000007E-2</v>
      </c>
    </row>
    <row r="4" spans="1:28" ht="13.5" customHeight="1" x14ac:dyDescent="0.45">
      <c r="B4" s="338" t="s">
        <v>464</v>
      </c>
      <c r="C4" s="338"/>
      <c r="D4" s="338"/>
      <c r="E4" s="338"/>
      <c r="F4" s="338"/>
      <c r="G4" s="338"/>
      <c r="H4" s="338"/>
      <c r="I4" s="339" t="s">
        <v>465</v>
      </c>
      <c r="J4" s="339"/>
      <c r="K4" s="339"/>
      <c r="L4" s="339"/>
      <c r="M4" s="339"/>
      <c r="S4" t="s">
        <v>197</v>
      </c>
      <c r="T4">
        <v>0.08</v>
      </c>
      <c r="U4">
        <v>0.06</v>
      </c>
      <c r="V4">
        <v>0.97</v>
      </c>
      <c r="W4">
        <v>0.98499999999999999</v>
      </c>
      <c r="X4">
        <v>0.04</v>
      </c>
      <c r="Y4">
        <v>0.25</v>
      </c>
      <c r="Z4">
        <v>0.46</v>
      </c>
      <c r="AA4">
        <v>0.08</v>
      </c>
      <c r="AB4">
        <v>0.05</v>
      </c>
    </row>
    <row r="5" spans="1:28" ht="6" customHeight="1" x14ac:dyDescent="0.45">
      <c r="S5" t="s">
        <v>199</v>
      </c>
      <c r="T5">
        <v>0.05</v>
      </c>
      <c r="U5">
        <v>0.04</v>
      </c>
      <c r="V5">
        <v>0.98</v>
      </c>
      <c r="W5">
        <v>0.995</v>
      </c>
      <c r="X5">
        <v>0.03</v>
      </c>
      <c r="Y5">
        <v>0.25</v>
      </c>
      <c r="Z5">
        <v>0.42</v>
      </c>
      <c r="AA5">
        <v>0.05</v>
      </c>
      <c r="AB5">
        <v>0.03</v>
      </c>
    </row>
    <row r="6" spans="1:28" ht="18" customHeight="1" x14ac:dyDescent="0.45">
      <c r="A6" s="82" t="s">
        <v>466</v>
      </c>
      <c r="Q6" s="70"/>
    </row>
    <row r="7" spans="1:28" ht="6" customHeight="1" x14ac:dyDescent="0.45"/>
    <row r="8" spans="1:28" ht="27.75" customHeight="1" x14ac:dyDescent="0.45">
      <c r="A8" s="74" t="s">
        <v>229</v>
      </c>
      <c r="B8" s="74" t="s">
        <v>467</v>
      </c>
      <c r="C8" s="74" t="s">
        <v>468</v>
      </c>
      <c r="D8" s="74" t="s">
        <v>469</v>
      </c>
      <c r="E8" s="74" t="s">
        <v>470</v>
      </c>
      <c r="F8" s="74" t="s">
        <v>471</v>
      </c>
      <c r="G8" s="74" t="s">
        <v>472</v>
      </c>
      <c r="H8" s="74" t="s">
        <v>473</v>
      </c>
      <c r="I8" s="89" t="s">
        <v>474</v>
      </c>
      <c r="J8" s="89" t="s">
        <v>475</v>
      </c>
      <c r="K8" s="89" t="s">
        <v>476</v>
      </c>
      <c r="L8" s="89" t="s">
        <v>477</v>
      </c>
      <c r="M8" s="89" t="s">
        <v>478</v>
      </c>
      <c r="N8" s="71" t="s">
        <v>479</v>
      </c>
    </row>
    <row r="9" spans="1:28" ht="15" customHeight="1" x14ac:dyDescent="0.45">
      <c r="A9" s="75" t="s">
        <v>480</v>
      </c>
      <c r="B9" s="76">
        <v>34119.120000000003</v>
      </c>
      <c r="C9" s="76">
        <v>36185.54</v>
      </c>
      <c r="D9" s="76">
        <v>37665.65</v>
      </c>
      <c r="E9" s="76">
        <v>39933.39</v>
      </c>
      <c r="F9" s="76">
        <v>43343.05</v>
      </c>
      <c r="G9" s="76">
        <v>42391.16</v>
      </c>
      <c r="H9" s="76">
        <v>41431.49</v>
      </c>
      <c r="I9" s="84">
        <f>H9*(1+INDEX(T$3:T$5,MATCH($B$3,S$3:S$5,0)))</f>
        <v>43503.0645</v>
      </c>
      <c r="J9" s="84">
        <f>I9*(1+INDEX(T$3:T$5,MATCH($B$3,S$3:S$5,0)))</f>
        <v>45678.217725000002</v>
      </c>
      <c r="K9" s="84">
        <f>J9*(1+INDEX(T$3:T$5,MATCH($B$3,S$3:S$5,0)))</f>
        <v>47962.128611250002</v>
      </c>
      <c r="L9" s="84">
        <f>K9*(1+INDEX(T$3:T$5,MATCH($B$3,S$3:S$5,0)))</f>
        <v>50360.235041812506</v>
      </c>
      <c r="M9" s="84">
        <f>L9*(1+INDEX(T$3:T$5,MATCH($B$3,S$3:S$5,0)))</f>
        <v>52878.246793903134</v>
      </c>
      <c r="N9" t="s">
        <v>265</v>
      </c>
    </row>
    <row r="10" spans="1:28" ht="15" customHeight="1" x14ac:dyDescent="0.45">
      <c r="A10" s="75" t="s">
        <v>481</v>
      </c>
      <c r="B10" s="76">
        <v>2282.94</v>
      </c>
      <c r="C10" s="76">
        <v>4227.68</v>
      </c>
      <c r="D10" s="76">
        <v>3366.82</v>
      </c>
      <c r="E10" s="76">
        <v>6391.37</v>
      </c>
      <c r="F10" s="76">
        <v>3867.59</v>
      </c>
      <c r="G10" s="76">
        <v>3549.01</v>
      </c>
      <c r="H10" s="76">
        <v>5208.54</v>
      </c>
      <c r="I10" s="84">
        <f>H10*(1+INDEX(AB$3:AB$5,MATCH($B$3,S$3:S$5,0)))</f>
        <v>5364.7961999999998</v>
      </c>
      <c r="J10" s="84">
        <f>I10*(1+INDEX(AB$3:AB$5,MATCH($B$3,S$3:S$5,0)))</f>
        <v>5525.7400859999998</v>
      </c>
      <c r="K10" s="84">
        <f>J10*(1+INDEX(AB$3:AB$5,MATCH($B$3,S$3:S$5,0)))</f>
        <v>5691.5122885800001</v>
      </c>
      <c r="L10" s="84">
        <f>K10*(1+INDEX(AB$3:AB$5,MATCH($B$3,S$3:S$5,0)))</f>
        <v>5862.2576572374001</v>
      </c>
      <c r="M10" s="84">
        <f>L10*(1+INDEX(AB$3:AB$5,MATCH($B$3,S$3:S$5,0)))</f>
        <v>6038.1253869545226</v>
      </c>
    </row>
    <row r="11" spans="1:28" ht="15" customHeight="1" x14ac:dyDescent="0.45">
      <c r="A11" s="77" t="s">
        <v>482</v>
      </c>
      <c r="B11" s="78">
        <v>36402.06</v>
      </c>
      <c r="C11" s="78">
        <v>40413.22</v>
      </c>
      <c r="D11" s="78">
        <v>41032.47</v>
      </c>
      <c r="E11" s="78">
        <v>46324.76</v>
      </c>
      <c r="F11" s="78">
        <v>47210.64</v>
      </c>
      <c r="G11" s="78">
        <v>45940.17</v>
      </c>
      <c r="H11" s="78">
        <v>46640.03</v>
      </c>
      <c r="I11" s="85">
        <f>I9+I10</f>
        <v>48867.860699999997</v>
      </c>
      <c r="J11" s="85">
        <f>J9+J10</f>
        <v>51203.957811</v>
      </c>
      <c r="K11" s="85">
        <f>K9+K10</f>
        <v>53653.640899830003</v>
      </c>
      <c r="L11" s="85">
        <f>L9+L10</f>
        <v>56222.492699049908</v>
      </c>
      <c r="M11" s="85">
        <f>M9+M10</f>
        <v>58916.372180857659</v>
      </c>
    </row>
    <row r="12" spans="1:28" ht="6" customHeight="1" x14ac:dyDescent="0.45">
      <c r="A12" s="3"/>
      <c r="B12" s="3"/>
      <c r="C12" s="3"/>
      <c r="D12" s="3"/>
      <c r="E12" s="3"/>
      <c r="F12" s="3"/>
      <c r="G12" s="3"/>
      <c r="H12" s="3"/>
      <c r="I12" s="86"/>
      <c r="J12" s="86"/>
      <c r="K12" s="86"/>
      <c r="L12" s="86"/>
      <c r="M12" s="86"/>
    </row>
    <row r="13" spans="1:28" ht="15" customHeight="1" x14ac:dyDescent="0.45">
      <c r="A13" s="75" t="s">
        <v>483</v>
      </c>
      <c r="B13" s="76">
        <v>2300.54</v>
      </c>
      <c r="C13" s="76">
        <v>2448.29</v>
      </c>
      <c r="D13" s="76">
        <v>2594.37</v>
      </c>
      <c r="E13" s="76">
        <v>2627.92</v>
      </c>
      <c r="F13" s="76">
        <v>2763.9</v>
      </c>
      <c r="G13" s="76">
        <v>2635.49</v>
      </c>
      <c r="H13" s="76">
        <v>2847.24</v>
      </c>
      <c r="I13" s="84">
        <f>H13*(1+INDEX(U$3:U$5,MATCH($B$3,S$3:S$5,0)))</f>
        <v>2961.1295999999998</v>
      </c>
      <c r="J13" s="84">
        <f>I13*(1+INDEX(U$3:U$5,MATCH($B$3,S$3:S$5,0)))</f>
        <v>3079.5747839999999</v>
      </c>
      <c r="K13" s="84">
        <f>J13*(1+INDEX(U$3:U$5,MATCH($B$3,S$3:S$5,0)))</f>
        <v>3202.7577753599999</v>
      </c>
      <c r="L13" s="84">
        <f>K13*(1+INDEX(U$3:U$5,MATCH($B$3,S$3:S$5,0)))</f>
        <v>3330.8680863743998</v>
      </c>
      <c r="M13" s="84">
        <f>L13*(1+INDEX(U$3:U$5,MATCH($B$3,S$3:S$5,0)))</f>
        <v>3464.1028098293759</v>
      </c>
    </row>
    <row r="14" spans="1:28" ht="15" customHeight="1" x14ac:dyDescent="0.45">
      <c r="A14" s="75" t="s">
        <v>484</v>
      </c>
      <c r="B14" s="76">
        <v>5847.32</v>
      </c>
      <c r="C14" s="76">
        <v>2747.38</v>
      </c>
      <c r="D14" s="76">
        <v>3200.49</v>
      </c>
      <c r="E14" s="76">
        <v>3130.5</v>
      </c>
      <c r="F14" s="76">
        <v>4291.49</v>
      </c>
      <c r="G14" s="76">
        <v>3593.03</v>
      </c>
      <c r="H14" s="76">
        <v>3341.81</v>
      </c>
      <c r="I14" s="84">
        <f>H14*(1+INDEX(X$3:X$5,MATCH($B$3,S$3:S$5,0)))</f>
        <v>3442.0643</v>
      </c>
      <c r="J14" s="84">
        <f>I14*(1+INDEX(X$3:X$5,MATCH($B$3,S$3:S$5,0)))</f>
        <v>3545.3262290000002</v>
      </c>
      <c r="K14" s="84">
        <f>J14*(1+INDEX(X$3:X$5,MATCH($B$3,S$3:S$5,0)))</f>
        <v>3651.6860158700001</v>
      </c>
      <c r="L14" s="84">
        <f>K14*(1+INDEX(X$3:X$5,MATCH($B$3,S$3:S$5,0)))</f>
        <v>3761.2365963461002</v>
      </c>
      <c r="M14" s="84">
        <f>L14*(1+INDEX(X$3:X$5,MATCH($B$3,S$3:S$5,0)))</f>
        <v>3874.0736942364833</v>
      </c>
    </row>
    <row r="15" spans="1:28" ht="15" customHeight="1" x14ac:dyDescent="0.45">
      <c r="A15" s="77" t="s">
        <v>435</v>
      </c>
      <c r="B15" s="78">
        <v>28254.2</v>
      </c>
      <c r="C15" s="78">
        <v>35217.550000000003</v>
      </c>
      <c r="D15" s="78">
        <v>35237.61</v>
      </c>
      <c r="E15" s="78">
        <v>40566.339999999997</v>
      </c>
      <c r="F15" s="78">
        <v>40155.25</v>
      </c>
      <c r="G15" s="78">
        <v>39711.65</v>
      </c>
      <c r="H15" s="78">
        <v>40450.980000000003</v>
      </c>
      <c r="I15" s="85">
        <f>I11-I13-I14</f>
        <v>42464.666799999999</v>
      </c>
      <c r="J15" s="85">
        <f>J11-J13-J14</f>
        <v>44579.056798000005</v>
      </c>
      <c r="K15" s="85">
        <f>K11-K13-K14</f>
        <v>46799.197108600005</v>
      </c>
      <c r="L15" s="85">
        <f>L11-L13-L14</f>
        <v>49130.388016329409</v>
      </c>
      <c r="M15" s="85">
        <f>M11-M13-M14</f>
        <v>51578.195676791802</v>
      </c>
    </row>
    <row r="16" spans="1:28" ht="6" customHeight="1" x14ac:dyDescent="0.45">
      <c r="A16" s="3"/>
      <c r="B16" s="3"/>
      <c r="C16" s="3"/>
      <c r="D16" s="3"/>
      <c r="E16" s="3"/>
      <c r="F16" s="3"/>
      <c r="G16" s="3"/>
      <c r="H16" s="3"/>
      <c r="I16" s="86"/>
      <c r="J16" s="86"/>
      <c r="K16" s="86"/>
      <c r="L16" s="86"/>
      <c r="M16" s="86"/>
    </row>
    <row r="17" spans="1:13" ht="15" customHeight="1" x14ac:dyDescent="0.45">
      <c r="A17" s="75" t="s">
        <v>485</v>
      </c>
      <c r="B17" s="76">
        <v>10200.67</v>
      </c>
      <c r="C17" s="76">
        <v>11073.18</v>
      </c>
      <c r="D17" s="76">
        <v>11711.68</v>
      </c>
      <c r="E17" s="76">
        <v>12550.58</v>
      </c>
      <c r="F17" s="76">
        <v>12939.88</v>
      </c>
      <c r="G17" s="76">
        <v>12558.19</v>
      </c>
      <c r="H17" s="76">
        <v>12352.23</v>
      </c>
      <c r="I17" s="84">
        <f>H17*INDEX(W$3:W$5,MATCH($B$3,S$3:S$5,0))</f>
        <v>12290.468849999999</v>
      </c>
      <c r="J17" s="84">
        <f>I17*INDEX(W$3:W$5,MATCH($B$3,S$3:S$5,0))</f>
        <v>12229.01650575</v>
      </c>
      <c r="K17" s="84">
        <f>J17*INDEX(W$3:W$5,MATCH($B$3,S$3:S$5,0))</f>
        <v>12167.87142322125</v>
      </c>
      <c r="L17" s="84">
        <f>K17*INDEX(W$3:W$5,MATCH($B$3,S$3:S$5,0))</f>
        <v>12107.032066105143</v>
      </c>
      <c r="M17" s="84">
        <f>L17*INDEX(W$3:W$5,MATCH($B$3,S$3:S$5,0))</f>
        <v>12046.496905774617</v>
      </c>
    </row>
    <row r="18" spans="1:13" ht="15" customHeight="1" x14ac:dyDescent="0.45">
      <c r="A18" s="77" t="s">
        <v>486</v>
      </c>
      <c r="B18" s="78">
        <v>18053.53</v>
      </c>
      <c r="C18" s="78">
        <v>24144.37</v>
      </c>
      <c r="D18" s="78">
        <v>23525.93</v>
      </c>
      <c r="E18" s="78">
        <v>28015.759999999998</v>
      </c>
      <c r="F18" s="78">
        <v>27215.37</v>
      </c>
      <c r="G18" s="78">
        <v>27153.46</v>
      </c>
      <c r="H18" s="78">
        <v>28098.75</v>
      </c>
      <c r="I18" s="85">
        <f>I15-I17</f>
        <v>30174.197950000002</v>
      </c>
      <c r="J18" s="85">
        <f>J15-J17</f>
        <v>32350.040292250007</v>
      </c>
      <c r="K18" s="85">
        <f>K15-K17</f>
        <v>34631.325685378753</v>
      </c>
      <c r="L18" s="85">
        <f>L15-L17</f>
        <v>37023.355950224264</v>
      </c>
      <c r="M18" s="85">
        <f>M15-M17</f>
        <v>39531.698771017182</v>
      </c>
    </row>
    <row r="19" spans="1:13" ht="6" customHeight="1" x14ac:dyDescent="0.45">
      <c r="A19" s="3"/>
      <c r="B19" s="3"/>
      <c r="C19" s="3"/>
      <c r="D19" s="3"/>
      <c r="E19" s="3"/>
      <c r="F19" s="3"/>
      <c r="G19" s="3"/>
      <c r="H19" s="3"/>
      <c r="I19" s="86"/>
      <c r="J19" s="86"/>
      <c r="K19" s="86"/>
      <c r="L19" s="86"/>
      <c r="M19" s="86"/>
    </row>
    <row r="20" spans="1:13" ht="15" customHeight="1" x14ac:dyDescent="0.45">
      <c r="A20" s="75" t="s">
        <v>432</v>
      </c>
      <c r="B20" s="76">
        <v>9091.42</v>
      </c>
      <c r="C20" s="76">
        <v>9813.6200000000008</v>
      </c>
      <c r="D20" s="76">
        <v>8501.01</v>
      </c>
      <c r="E20" s="76">
        <v>8210.94</v>
      </c>
      <c r="F20" s="76">
        <v>9744.25</v>
      </c>
      <c r="G20" s="76">
        <v>9046.8700000000008</v>
      </c>
      <c r="H20" s="76">
        <v>9479.32</v>
      </c>
      <c r="I20" s="84">
        <f>H20*INDEX(V$3:V$5,MATCH($B$3,S$3:S$5,0))</f>
        <v>9289.7335999999996</v>
      </c>
      <c r="J20" s="84">
        <f>I20*INDEX(V$3:V$5,MATCH($B$3,S$3:S$5,0))</f>
        <v>9103.9389279999996</v>
      </c>
      <c r="K20" s="84">
        <f>J20*INDEX(V$3:V$5,MATCH($B$3,S$3:S$5,0))</f>
        <v>8921.8601494399991</v>
      </c>
      <c r="L20" s="84">
        <f>K20*INDEX(V$3:V$5,MATCH($B$3,S$3:S$5,0))</f>
        <v>8743.4229464511991</v>
      </c>
      <c r="M20" s="84">
        <f>L20*INDEX(V$3:V$5,MATCH($B$3,S$3:S$5,0))</f>
        <v>8568.5544875221749</v>
      </c>
    </row>
    <row r="21" spans="1:13" ht="15" customHeight="1" x14ac:dyDescent="0.45">
      <c r="A21" s="77" t="s">
        <v>487</v>
      </c>
      <c r="B21" s="78">
        <v>8962.11</v>
      </c>
      <c r="C21" s="78">
        <v>14330.75</v>
      </c>
      <c r="D21" s="78">
        <v>15024.92</v>
      </c>
      <c r="E21" s="78">
        <v>19804.82</v>
      </c>
      <c r="F21" s="78">
        <v>17471.12</v>
      </c>
      <c r="G21" s="78">
        <v>18106.59</v>
      </c>
      <c r="H21" s="78">
        <v>18619.43</v>
      </c>
      <c r="I21" s="85">
        <f>I18-I20</f>
        <v>20884.464350000002</v>
      </c>
      <c r="J21" s="85">
        <f>J18-J20</f>
        <v>23246.101364250007</v>
      </c>
      <c r="K21" s="85">
        <f>K18-K20</f>
        <v>25709.465535938754</v>
      </c>
      <c r="L21" s="85">
        <f>L18-L20</f>
        <v>28279.933003773065</v>
      </c>
      <c r="M21" s="85">
        <f>M18-M20</f>
        <v>30963.144283495007</v>
      </c>
    </row>
    <row r="22" spans="1:13" ht="15" customHeight="1" x14ac:dyDescent="0.45">
      <c r="A22" s="75" t="s">
        <v>488</v>
      </c>
      <c r="B22" s="79">
        <v>0.27777275663878298</v>
      </c>
      <c r="C22" s="79">
        <v>0.15566107845018601</v>
      </c>
      <c r="D22" s="79">
        <v>0.16832768493942099</v>
      </c>
      <c r="E22" s="79">
        <v>0.16572026405693199</v>
      </c>
      <c r="F22" s="79">
        <v>0.166770647789037</v>
      </c>
      <c r="G22" s="79">
        <v>0.17874320896425</v>
      </c>
      <c r="H22" s="79">
        <v>0.170672786438683</v>
      </c>
      <c r="I22" s="87">
        <f>INDEX(Y$3:Y$5,MATCH($B$3,S$3:S$5,0))</f>
        <v>0.25</v>
      </c>
      <c r="J22" s="87">
        <f>INDEX(Y$3:Y$5,MATCH($B$3,S$3:S$5,0))</f>
        <v>0.25</v>
      </c>
      <c r="K22" s="87">
        <f>INDEX(Y$3:Y$5,MATCH($B$3,S$3:S$5,0))</f>
        <v>0.25</v>
      </c>
      <c r="L22" s="87">
        <f>INDEX(Y$3:Y$5,MATCH($B$3,S$3:S$5,0))</f>
        <v>0.25</v>
      </c>
      <c r="M22" s="87">
        <f>INDEX(Y$3:Y$5,MATCH($B$3,S$3:S$5,0))</f>
        <v>0.25</v>
      </c>
    </row>
    <row r="23" spans="1:13" ht="15" customHeight="1" x14ac:dyDescent="0.45">
      <c r="A23" s="75" t="s">
        <v>489</v>
      </c>
      <c r="B23" s="76">
        <v>2489.4299999999998</v>
      </c>
      <c r="C23" s="76">
        <v>2230.7399999999998</v>
      </c>
      <c r="D23" s="76">
        <v>2529.11</v>
      </c>
      <c r="E23" s="76">
        <v>3282.06</v>
      </c>
      <c r="F23" s="76">
        <v>2913.67</v>
      </c>
      <c r="G23" s="76">
        <v>3236.43</v>
      </c>
      <c r="H23" s="76">
        <v>3177.83</v>
      </c>
      <c r="I23" s="84">
        <f>I21*INDEX(Y$3:Y$5,MATCH($B$3,S$3:S$5,0))</f>
        <v>5221.1160875000005</v>
      </c>
      <c r="J23" s="84">
        <f>J21*INDEX(Y$3:Y$5,MATCH($B$3,S$3:S$5,0))</f>
        <v>5811.5253410625019</v>
      </c>
      <c r="K23" s="84">
        <f>K21*INDEX(Y$3:Y$5,MATCH($B$3,S$3:S$5,0))</f>
        <v>6427.3663839846886</v>
      </c>
      <c r="L23" s="84">
        <f>L21*INDEX(Y$3:Y$5,MATCH($B$3,S$3:S$5,0))</f>
        <v>7069.9832509432663</v>
      </c>
      <c r="M23" s="84">
        <f>M21*INDEX(Y$3:Y$5,MATCH($B$3,S$3:S$5,0))</f>
        <v>7740.7860708737517</v>
      </c>
    </row>
    <row r="24" spans="1:13" ht="15" customHeight="1" x14ac:dyDescent="0.45">
      <c r="A24" s="75" t="s">
        <v>490</v>
      </c>
      <c r="B24" s="76">
        <v>-3465.87</v>
      </c>
      <c r="C24" s="76">
        <v>1288.83</v>
      </c>
      <c r="D24" s="76">
        <v>560.03</v>
      </c>
      <c r="E24" s="76">
        <v>-571</v>
      </c>
      <c r="F24" s="76">
        <v>-775.57</v>
      </c>
      <c r="G24" s="76">
        <v>-604.45000000000005</v>
      </c>
      <c r="H24" s="76">
        <v>88.03</v>
      </c>
      <c r="I24" s="84" t="s">
        <v>491</v>
      </c>
      <c r="J24" s="84" t="s">
        <v>491</v>
      </c>
      <c r="K24" s="84" t="s">
        <v>491</v>
      </c>
      <c r="L24" s="84" t="s">
        <v>491</v>
      </c>
      <c r="M24" s="84" t="s">
        <v>491</v>
      </c>
    </row>
    <row r="25" spans="1:13" ht="15" customHeight="1" x14ac:dyDescent="0.45">
      <c r="A25" s="80" t="s">
        <v>492</v>
      </c>
      <c r="B25" s="232">
        <v>9938.5499999999993</v>
      </c>
      <c r="C25" s="232">
        <v>10811.18</v>
      </c>
      <c r="D25" s="232">
        <v>11935.78</v>
      </c>
      <c r="E25" s="232">
        <v>17093.759999999998</v>
      </c>
      <c r="F25" s="232">
        <v>15333.02</v>
      </c>
      <c r="G25" s="232">
        <v>15474.61</v>
      </c>
      <c r="H25" s="232">
        <v>15353.57</v>
      </c>
      <c r="I25" s="233">
        <f>I21-I23</f>
        <v>15663.348262500002</v>
      </c>
      <c r="J25" s="233">
        <f>J21-J23</f>
        <v>17434.576023187507</v>
      </c>
      <c r="K25" s="233">
        <f>K21-K23</f>
        <v>19282.099151954066</v>
      </c>
      <c r="L25" s="233">
        <f>L21-L23</f>
        <v>21209.949752829798</v>
      </c>
      <c r="M25" s="233">
        <f>M21-M23</f>
        <v>23222.358212621257</v>
      </c>
    </row>
    <row r="26" spans="1:13" ht="6" customHeight="1" x14ac:dyDescent="0.45">
      <c r="A26" s="3"/>
      <c r="B26" s="3"/>
      <c r="C26" s="3"/>
      <c r="D26" s="3"/>
      <c r="E26" s="3"/>
      <c r="F26" s="3"/>
      <c r="G26" s="3"/>
      <c r="H26" s="3"/>
      <c r="I26" s="86"/>
      <c r="J26" s="86"/>
      <c r="K26" s="86"/>
      <c r="L26" s="86"/>
      <c r="M26" s="86"/>
    </row>
    <row r="27" spans="1:13" ht="15" customHeight="1" x14ac:dyDescent="0.45">
      <c r="A27" s="75" t="s">
        <v>493</v>
      </c>
      <c r="B27" s="76">
        <v>19</v>
      </c>
      <c r="C27" s="76">
        <v>20.67</v>
      </c>
      <c r="D27" s="76">
        <v>22.81</v>
      </c>
      <c r="E27" s="76">
        <v>24.51</v>
      </c>
      <c r="F27" s="76">
        <v>21.98</v>
      </c>
      <c r="G27" s="76">
        <v>16.64</v>
      </c>
      <c r="H27" s="76">
        <v>16.510000000000002</v>
      </c>
      <c r="I27" s="84">
        <f>I25/930.06</f>
        <v>16.841223429133606</v>
      </c>
      <c r="J27" s="84">
        <f>J25/930.06</f>
        <v>18.745646542360177</v>
      </c>
      <c r="K27" s="84">
        <f>K25/930.06</f>
        <v>20.732102393344586</v>
      </c>
      <c r="L27" s="84">
        <f>L25/930.06</f>
        <v>22.804926298120336</v>
      </c>
      <c r="M27" s="84">
        <f>M25/930.06</f>
        <v>24.968666766252994</v>
      </c>
    </row>
    <row r="28" spans="1:13" ht="15" customHeight="1" x14ac:dyDescent="0.45">
      <c r="A28" s="75" t="s">
        <v>189</v>
      </c>
      <c r="B28" s="76">
        <v>3050.02</v>
      </c>
      <c r="C28" s="76">
        <v>3118.02</v>
      </c>
      <c r="D28" s="76">
        <v>4708.43</v>
      </c>
      <c r="E28" s="76">
        <v>8719.32</v>
      </c>
      <c r="F28" s="76">
        <v>6975.45</v>
      </c>
      <c r="G28" s="76">
        <v>7905.51</v>
      </c>
      <c r="H28" s="76">
        <v>7207.97</v>
      </c>
      <c r="I28" s="84">
        <f>I25*INDEX(Z$3:Z$5,MATCH($B$3,S$3:S$5,0))</f>
        <v>6578.6062702500003</v>
      </c>
      <c r="J28" s="84">
        <f>J25*INDEX(Z$3:Z$5,MATCH($B$3,S$3:S$5,0))</f>
        <v>7322.5219297387521</v>
      </c>
      <c r="K28" s="84">
        <f>K25*INDEX(Z$3:Z$5,MATCH($B$3,S$3:S$5,0))</f>
        <v>8098.4816438207072</v>
      </c>
      <c r="L28" s="84">
        <f>L25*INDEX(Z$3:Z$5,MATCH($B$3,S$3:S$5,0))</f>
        <v>8908.178896188514</v>
      </c>
      <c r="M28" s="84">
        <f>M25*INDEX(Z$3:Z$5,MATCH($B$3,S$3:S$5,0))</f>
        <v>9753.3904493009268</v>
      </c>
    </row>
    <row r="29" spans="1:13" ht="15" customHeight="1" x14ac:dyDescent="0.45">
      <c r="A29" s="75" t="s">
        <v>494</v>
      </c>
      <c r="B29" s="81">
        <v>0.30688782568885797</v>
      </c>
      <c r="C29" s="81">
        <v>0.28840700090091898</v>
      </c>
      <c r="D29" s="81">
        <v>0.39448029370514498</v>
      </c>
      <c r="E29" s="81">
        <v>0.51008789172189195</v>
      </c>
      <c r="F29" s="81">
        <v>0.45492994856851399</v>
      </c>
      <c r="G29" s="81">
        <v>0.51086974082060899</v>
      </c>
      <c r="H29" s="81">
        <v>0.46946540771950801</v>
      </c>
      <c r="I29" s="88">
        <f>I28/I25</f>
        <v>0.42</v>
      </c>
      <c r="J29" s="88">
        <f>J28/J25</f>
        <v>0.42</v>
      </c>
      <c r="K29" s="88">
        <f>K28/K25</f>
        <v>0.42</v>
      </c>
      <c r="L29" s="88">
        <f>L28/L25</f>
        <v>0.41999999999999993</v>
      </c>
      <c r="M29" s="88">
        <f>M28/M25</f>
        <v>0.41999999999999993</v>
      </c>
    </row>
    <row r="31" spans="1:13" ht="18" customHeight="1" x14ac:dyDescent="0.45">
      <c r="A31" s="82" t="s">
        <v>495</v>
      </c>
      <c r="B31" s="70" t="s">
        <v>414</v>
      </c>
    </row>
    <row r="32" spans="1:13" ht="6" customHeight="1" x14ac:dyDescent="0.45"/>
    <row r="33" spans="1:14" ht="15" customHeight="1" x14ac:dyDescent="0.45">
      <c r="B33" s="338" t="s">
        <v>464</v>
      </c>
      <c r="C33" s="338"/>
      <c r="D33" s="338"/>
      <c r="E33" s="338"/>
      <c r="F33" s="338"/>
      <c r="G33" s="338"/>
      <c r="H33" s="338"/>
      <c r="I33" s="339" t="s">
        <v>465</v>
      </c>
      <c r="J33" s="339"/>
      <c r="K33" s="339"/>
      <c r="L33" s="339"/>
      <c r="M33" s="339"/>
    </row>
    <row r="34" spans="1:14" ht="27.75" customHeight="1" x14ac:dyDescent="0.45">
      <c r="A34" s="74" t="s">
        <v>414</v>
      </c>
      <c r="B34" s="74" t="s">
        <v>467</v>
      </c>
      <c r="C34" s="74" t="s">
        <v>468</v>
      </c>
      <c r="D34" s="74" t="s">
        <v>469</v>
      </c>
      <c r="E34" s="74" t="s">
        <v>470</v>
      </c>
      <c r="F34" s="74" t="s">
        <v>471</v>
      </c>
      <c r="G34" s="74" t="s">
        <v>472</v>
      </c>
      <c r="H34" s="74" t="s">
        <v>473</v>
      </c>
      <c r="I34" s="89" t="s">
        <v>474</v>
      </c>
      <c r="J34" s="89" t="s">
        <v>475</v>
      </c>
      <c r="K34" s="89" t="s">
        <v>476</v>
      </c>
      <c r="L34" s="89" t="s">
        <v>477</v>
      </c>
      <c r="M34" s="89" t="s">
        <v>478</v>
      </c>
      <c r="N34" s="71" t="s">
        <v>479</v>
      </c>
    </row>
    <row r="35" spans="1:14" ht="15" customHeight="1" x14ac:dyDescent="0.45">
      <c r="A35" s="75" t="s">
        <v>369</v>
      </c>
      <c r="B35" s="90">
        <v>5231.59</v>
      </c>
      <c r="C35" s="90">
        <v>5231.59</v>
      </c>
      <c r="D35" s="90">
        <v>5231.59</v>
      </c>
      <c r="E35" s="90">
        <v>6975.45</v>
      </c>
      <c r="F35" s="90">
        <v>6975.45</v>
      </c>
      <c r="G35" s="90">
        <v>9300.6</v>
      </c>
      <c r="H35" s="90">
        <v>9300.6</v>
      </c>
      <c r="I35" s="91">
        <f>H35</f>
        <v>9300.6</v>
      </c>
      <c r="J35" s="91">
        <f>I35</f>
        <v>9300.6</v>
      </c>
      <c r="K35" s="91">
        <f>J35</f>
        <v>9300.6</v>
      </c>
      <c r="L35" s="91">
        <f>K35</f>
        <v>9300.6</v>
      </c>
      <c r="M35" s="91">
        <f>L35</f>
        <v>9300.6</v>
      </c>
    </row>
    <row r="36" spans="1:14" ht="15" customHeight="1" x14ac:dyDescent="0.45">
      <c r="A36" s="75" t="s">
        <v>456</v>
      </c>
      <c r="B36" s="90">
        <v>53785.55</v>
      </c>
      <c r="C36" s="90">
        <v>59208.1</v>
      </c>
      <c r="D36" s="90">
        <v>64347.25</v>
      </c>
      <c r="E36" s="90">
        <v>69176.12</v>
      </c>
      <c r="F36" s="90">
        <v>75868.73</v>
      </c>
      <c r="G36" s="90">
        <v>77566.45</v>
      </c>
      <c r="H36" s="90">
        <v>82915.05</v>
      </c>
      <c r="I36" s="92">
        <f>H36+I25-I28</f>
        <v>91999.79199225</v>
      </c>
      <c r="J36" s="92">
        <f>I36+J25-J28</f>
        <v>102111.84608569875</v>
      </c>
      <c r="K36" s="92">
        <f>J36+K25-K28</f>
        <v>113295.46359383212</v>
      </c>
      <c r="L36" s="92">
        <f>K36+L25-L28</f>
        <v>125597.23445047341</v>
      </c>
      <c r="M36" s="92">
        <f>L36+M25-M28</f>
        <v>139066.20221379373</v>
      </c>
    </row>
    <row r="37" spans="1:14" ht="15" customHeight="1" x14ac:dyDescent="0.45">
      <c r="A37" s="77" t="s">
        <v>496</v>
      </c>
      <c r="B37" s="78">
        <v>59017.14</v>
      </c>
      <c r="C37" s="78">
        <v>64439.69</v>
      </c>
      <c r="D37" s="78">
        <v>69578.84</v>
      </c>
      <c r="E37" s="78">
        <v>76151.570000000007</v>
      </c>
      <c r="F37" s="78">
        <v>82844.179999999993</v>
      </c>
      <c r="G37" s="78">
        <v>86867.05</v>
      </c>
      <c r="H37" s="78">
        <v>92215.65</v>
      </c>
      <c r="I37" s="93">
        <f>I35+I36</f>
        <v>101300.39199225001</v>
      </c>
      <c r="J37" s="93">
        <f>J35+J36</f>
        <v>111412.44608569876</v>
      </c>
      <c r="K37" s="93">
        <f>K35+K36</f>
        <v>122596.06359383212</v>
      </c>
      <c r="L37" s="93">
        <f>L35+L36</f>
        <v>134897.8344504734</v>
      </c>
      <c r="M37" s="93">
        <f>M35+M36</f>
        <v>148366.80221379374</v>
      </c>
    </row>
    <row r="38" spans="1:14" ht="6" customHeight="1" x14ac:dyDescent="0.45">
      <c r="A38" s="3"/>
      <c r="B38" s="3"/>
      <c r="C38" s="3"/>
      <c r="D38" s="3"/>
      <c r="E38" s="3"/>
      <c r="F38" s="3"/>
      <c r="G38" s="3"/>
      <c r="H38" s="3"/>
      <c r="I38" s="3"/>
      <c r="J38" s="3"/>
      <c r="K38" s="3"/>
      <c r="L38" s="3"/>
      <c r="M38" s="3"/>
    </row>
    <row r="39" spans="1:14" ht="15" customHeight="1" x14ac:dyDescent="0.45">
      <c r="A39" s="75" t="s">
        <v>497</v>
      </c>
      <c r="B39" s="90">
        <v>131039.51</v>
      </c>
      <c r="C39" s="90">
        <v>135421.10999999999</v>
      </c>
      <c r="D39" s="90">
        <v>129080.07</v>
      </c>
      <c r="E39" s="90">
        <v>114199.4</v>
      </c>
      <c r="F39" s="90">
        <v>113891.29</v>
      </c>
      <c r="G39" s="90">
        <v>105066.95</v>
      </c>
      <c r="H39" s="90">
        <v>109857.95</v>
      </c>
      <c r="I39" s="91">
        <f>H39*0.95</f>
        <v>104365.05249999999</v>
      </c>
      <c r="J39" s="91">
        <f>I39*0.95</f>
        <v>99146.799874999982</v>
      </c>
      <c r="K39" s="91">
        <f>J39*0.95</f>
        <v>94189.459881249975</v>
      </c>
      <c r="L39" s="91">
        <f>K39*0.95</f>
        <v>89479.986887187479</v>
      </c>
      <c r="M39" s="91">
        <f>L39*0.95</f>
        <v>85005.987542828094</v>
      </c>
    </row>
    <row r="40" spans="1:14" ht="15" customHeight="1" x14ac:dyDescent="0.45">
      <c r="A40" s="75" t="s">
        <v>498</v>
      </c>
      <c r="B40" s="90">
        <v>10093.02</v>
      </c>
      <c r="C40" s="90">
        <v>11381.85</v>
      </c>
      <c r="D40" s="90">
        <v>11941.88</v>
      </c>
      <c r="E40" s="90">
        <v>11424.78</v>
      </c>
      <c r="F40" s="90">
        <v>10619.9</v>
      </c>
      <c r="G40" s="90">
        <v>9981.4</v>
      </c>
      <c r="H40" s="90">
        <v>10038.68</v>
      </c>
      <c r="I40" s="91">
        <f t="shared" ref="I40:M41" si="0">H40</f>
        <v>10038.68</v>
      </c>
      <c r="J40" s="91">
        <f t="shared" si="0"/>
        <v>10038.68</v>
      </c>
      <c r="K40" s="91">
        <f t="shared" si="0"/>
        <v>10038.68</v>
      </c>
      <c r="L40" s="91">
        <f t="shared" si="0"/>
        <v>10038.68</v>
      </c>
      <c r="M40" s="91">
        <f t="shared" si="0"/>
        <v>10038.68</v>
      </c>
    </row>
    <row r="41" spans="1:14" ht="15" customHeight="1" x14ac:dyDescent="0.45">
      <c r="A41" s="75" t="s">
        <v>499</v>
      </c>
      <c r="B41" s="90">
        <v>4384.01</v>
      </c>
      <c r="C41" s="90">
        <v>3876.67</v>
      </c>
      <c r="D41" s="90">
        <v>3914.45</v>
      </c>
      <c r="E41" s="90">
        <v>3763.89</v>
      </c>
      <c r="F41" s="90">
        <v>3761.77</v>
      </c>
      <c r="G41" s="90">
        <v>12088.36</v>
      </c>
      <c r="H41" s="90">
        <v>11489.1</v>
      </c>
      <c r="I41" s="91">
        <f t="shared" si="0"/>
        <v>11489.1</v>
      </c>
      <c r="J41" s="91">
        <f t="shared" si="0"/>
        <v>11489.1</v>
      </c>
      <c r="K41" s="91">
        <f t="shared" si="0"/>
        <v>11489.1</v>
      </c>
      <c r="L41" s="91">
        <f t="shared" si="0"/>
        <v>11489.1</v>
      </c>
      <c r="M41" s="91">
        <f t="shared" si="0"/>
        <v>11489.1</v>
      </c>
    </row>
    <row r="42" spans="1:14" ht="15" customHeight="1" x14ac:dyDescent="0.45">
      <c r="A42" s="75" t="s">
        <v>500</v>
      </c>
      <c r="B42" s="90">
        <v>368.15</v>
      </c>
      <c r="C42" s="90">
        <v>424.71</v>
      </c>
      <c r="D42" s="90">
        <v>461.93</v>
      </c>
      <c r="E42" s="90">
        <v>517.04999999999995</v>
      </c>
      <c r="F42" s="90">
        <v>577.61</v>
      </c>
      <c r="G42" s="90">
        <v>643.11</v>
      </c>
      <c r="H42" s="90">
        <v>723.77</v>
      </c>
      <c r="I42" s="91">
        <f>H42*1.05</f>
        <v>759.95849999999996</v>
      </c>
      <c r="J42" s="91">
        <f>I42*1.05</f>
        <v>797.95642499999997</v>
      </c>
      <c r="K42" s="91">
        <f>J42*1.05</f>
        <v>837.85424624999996</v>
      </c>
      <c r="L42" s="91">
        <f>K42*1.05</f>
        <v>879.74695856250003</v>
      </c>
      <c r="M42" s="91">
        <f>L42*1.05</f>
        <v>923.73430649062504</v>
      </c>
    </row>
    <row r="43" spans="1:14" ht="15" customHeight="1" x14ac:dyDescent="0.45">
      <c r="A43" s="77" t="s">
        <v>501</v>
      </c>
      <c r="B43" s="78">
        <v>145884.69</v>
      </c>
      <c r="C43" s="78">
        <v>151104.34</v>
      </c>
      <c r="D43" s="78">
        <v>145398.32999999999</v>
      </c>
      <c r="E43" s="78">
        <v>129905.12</v>
      </c>
      <c r="F43" s="78">
        <v>128850.57</v>
      </c>
      <c r="G43" s="78">
        <v>127779.82</v>
      </c>
      <c r="H43" s="78">
        <v>132109.5</v>
      </c>
      <c r="I43" s="93">
        <f>I39+I40+I41+I42</f>
        <v>126652.79099999998</v>
      </c>
      <c r="J43" s="93">
        <f>J39+J40+J41+J42</f>
        <v>121472.53629999999</v>
      </c>
      <c r="K43" s="93">
        <f>K39+K40+K41+K42</f>
        <v>116555.09412749999</v>
      </c>
      <c r="L43" s="93">
        <f>L39+L40+L41+L42</f>
        <v>111887.51384574999</v>
      </c>
      <c r="M43" s="93">
        <f>M39+M40+M41+M42</f>
        <v>107457.50184931874</v>
      </c>
    </row>
    <row r="44" spans="1:14" ht="6" customHeight="1" x14ac:dyDescent="0.45">
      <c r="A44" s="3"/>
      <c r="B44" s="3"/>
      <c r="C44" s="3"/>
      <c r="D44" s="3"/>
      <c r="E44" s="3"/>
      <c r="F44" s="3"/>
      <c r="G44" s="3"/>
      <c r="H44" s="3"/>
      <c r="I44" s="3"/>
      <c r="J44" s="3"/>
      <c r="K44" s="3"/>
      <c r="L44" s="3"/>
      <c r="M44" s="3"/>
    </row>
    <row r="45" spans="1:14" ht="15" customHeight="1" x14ac:dyDescent="0.45">
      <c r="A45" s="75" t="s">
        <v>502</v>
      </c>
      <c r="B45" s="90">
        <v>4300</v>
      </c>
      <c r="C45" s="90">
        <v>3000</v>
      </c>
      <c r="D45" s="90">
        <v>13971.41</v>
      </c>
      <c r="E45" s="90">
        <v>20465.87</v>
      </c>
      <c r="F45" s="90">
        <v>14626.22</v>
      </c>
      <c r="G45" s="90">
        <v>18381.669999999998</v>
      </c>
      <c r="H45" s="90">
        <v>21107.01</v>
      </c>
      <c r="I45" s="91">
        <f>H45*1.03</f>
        <v>21740.220299999997</v>
      </c>
      <c r="J45" s="91">
        <f>I45*1.03</f>
        <v>22392.426908999998</v>
      </c>
      <c r="K45" s="91">
        <f>J45*1.03</f>
        <v>23064.199716269999</v>
      </c>
      <c r="L45" s="91">
        <f>K45*1.03</f>
        <v>23756.125707758099</v>
      </c>
      <c r="M45" s="91">
        <f>L45*1.03</f>
        <v>24468.809478990843</v>
      </c>
    </row>
    <row r="46" spans="1:14" ht="15" customHeight="1" x14ac:dyDescent="0.45">
      <c r="A46" s="75" t="s">
        <v>137</v>
      </c>
      <c r="B46" s="90">
        <v>364.11</v>
      </c>
      <c r="C46" s="90">
        <v>225.72</v>
      </c>
      <c r="D46" s="90">
        <v>186.3</v>
      </c>
      <c r="E46" s="90">
        <v>266.14</v>
      </c>
      <c r="F46" s="90">
        <v>325.02</v>
      </c>
      <c r="G46" s="90">
        <v>354.07</v>
      </c>
      <c r="H46" s="90">
        <v>567.67999999999995</v>
      </c>
      <c r="I46" s="91">
        <f>H46*1.05</f>
        <v>596.06399999999996</v>
      </c>
      <c r="J46" s="91">
        <f>I46*1.05</f>
        <v>625.86720000000003</v>
      </c>
      <c r="K46" s="91">
        <f>J46*1.05</f>
        <v>657.16056000000003</v>
      </c>
      <c r="L46" s="91">
        <f>K46*1.05</f>
        <v>690.01858800000002</v>
      </c>
      <c r="M46" s="91">
        <f>L46*1.05</f>
        <v>724.51951740000004</v>
      </c>
    </row>
    <row r="47" spans="1:14" ht="15" customHeight="1" x14ac:dyDescent="0.45">
      <c r="A47" s="75" t="s">
        <v>503</v>
      </c>
      <c r="B47" s="90">
        <v>36206.47</v>
      </c>
      <c r="C47" s="90">
        <v>36015.18</v>
      </c>
      <c r="D47" s="90">
        <v>23854.42</v>
      </c>
      <c r="E47" s="90">
        <v>20126.849999999999</v>
      </c>
      <c r="F47" s="90">
        <v>20688.45</v>
      </c>
      <c r="G47" s="90">
        <v>11414.02</v>
      </c>
      <c r="H47" s="90">
        <v>11052</v>
      </c>
      <c r="I47" s="91">
        <f>H47*0.95</f>
        <v>10499.4</v>
      </c>
      <c r="J47" s="91">
        <f>I47*0.95</f>
        <v>9974.4299999999985</v>
      </c>
      <c r="K47" s="91">
        <f>J47*0.95</f>
        <v>9475.7084999999988</v>
      </c>
      <c r="L47" s="91">
        <f>K47*0.95</f>
        <v>9001.9230749999988</v>
      </c>
      <c r="M47" s="91">
        <f>L47*0.95</f>
        <v>8551.8269212499981</v>
      </c>
    </row>
    <row r="48" spans="1:14" ht="15" customHeight="1" x14ac:dyDescent="0.45">
      <c r="A48" s="75" t="s">
        <v>504</v>
      </c>
      <c r="B48" s="90">
        <v>700.59</v>
      </c>
      <c r="C48" s="90">
        <v>764.73</v>
      </c>
      <c r="D48" s="90">
        <v>1261.3900000000001</v>
      </c>
      <c r="E48" s="90">
        <v>932.31</v>
      </c>
      <c r="F48" s="90">
        <v>816.01</v>
      </c>
      <c r="G48" s="90">
        <v>583.36</v>
      </c>
      <c r="H48" s="90">
        <v>769.49</v>
      </c>
      <c r="I48" s="91">
        <f>H48</f>
        <v>769.49</v>
      </c>
      <c r="J48" s="91">
        <f>I48</f>
        <v>769.49</v>
      </c>
      <c r="K48" s="91">
        <f>J48</f>
        <v>769.49</v>
      </c>
      <c r="L48" s="91">
        <f>K48</f>
        <v>769.49</v>
      </c>
      <c r="M48" s="91">
        <f>L48</f>
        <v>769.49</v>
      </c>
    </row>
    <row r="49" spans="1:13" ht="15" customHeight="1" x14ac:dyDescent="0.45">
      <c r="A49" s="77" t="s">
        <v>28</v>
      </c>
      <c r="B49" s="78">
        <v>41571.17</v>
      </c>
      <c r="C49" s="78">
        <v>40005.629999999997</v>
      </c>
      <c r="D49" s="78">
        <v>39273.519999999997</v>
      </c>
      <c r="E49" s="78">
        <v>41791.17</v>
      </c>
      <c r="F49" s="78">
        <v>36455.699999999997</v>
      </c>
      <c r="G49" s="78">
        <v>30733.119999999999</v>
      </c>
      <c r="H49" s="78">
        <v>33496.18</v>
      </c>
      <c r="I49" s="93">
        <f>I45+I46+I47+I48</f>
        <v>33605.174299999991</v>
      </c>
      <c r="J49" s="93">
        <f>J45+J46+J47+J48</f>
        <v>33762.214108999993</v>
      </c>
      <c r="K49" s="93">
        <f>K45+K46+K47+K48</f>
        <v>33966.558776269994</v>
      </c>
      <c r="L49" s="93">
        <f>L45+L46+L47+L48</f>
        <v>34217.557370758099</v>
      </c>
      <c r="M49" s="93">
        <f>M45+M46+M47+M48</f>
        <v>34514.645917640839</v>
      </c>
    </row>
    <row r="50" spans="1:13" ht="23.25" customHeight="1" x14ac:dyDescent="0.45">
      <c r="A50" s="1" t="s">
        <v>820</v>
      </c>
      <c r="B50" s="132">
        <f>B39+B45-B61</f>
        <v>131007.47000000002</v>
      </c>
      <c r="C50" s="132">
        <f t="shared" ref="C50:M50" si="1">C39+C45-C61</f>
        <v>133011.71</v>
      </c>
      <c r="D50" s="132">
        <f t="shared" si="1"/>
        <v>137777.94</v>
      </c>
      <c r="E50" s="132">
        <f t="shared" si="1"/>
        <v>131694.22999999998</v>
      </c>
      <c r="F50" s="132">
        <f t="shared" si="1"/>
        <v>123783.06999999999</v>
      </c>
      <c r="G50" s="132">
        <f t="shared" si="1"/>
        <v>118421.89</v>
      </c>
      <c r="H50" s="132">
        <f t="shared" si="1"/>
        <v>124545.56</v>
      </c>
      <c r="I50" s="239">
        <f t="shared" si="1"/>
        <v>119172.32079999999</v>
      </c>
      <c r="J50" s="239">
        <f>J39+J45-J61</f>
        <v>114051.63862399998</v>
      </c>
      <c r="K50" s="239">
        <f t="shared" si="1"/>
        <v>109167.06438471997</v>
      </c>
      <c r="L50" s="239">
        <f t="shared" si="1"/>
        <v>104502.58976512158</v>
      </c>
      <c r="M50" s="239">
        <f t="shared" si="1"/>
        <v>100042.592365609</v>
      </c>
    </row>
    <row r="51" spans="1:13" ht="15" customHeight="1" x14ac:dyDescent="0.45">
      <c r="A51" s="80" t="s">
        <v>505</v>
      </c>
      <c r="B51" s="78">
        <v>246473</v>
      </c>
      <c r="C51" s="78">
        <v>255549.66</v>
      </c>
      <c r="D51" s="78">
        <v>254250.69</v>
      </c>
      <c r="E51" s="78">
        <v>247847.86</v>
      </c>
      <c r="F51" s="78">
        <v>248150.45</v>
      </c>
      <c r="G51" s="78">
        <v>245379.99</v>
      </c>
      <c r="H51" s="78">
        <v>257821.33</v>
      </c>
      <c r="I51" s="93">
        <f>I37+I43+I49</f>
        <v>261558.35729224997</v>
      </c>
      <c r="J51" s="93">
        <f>J37+J43+J49</f>
        <v>266647.19649469876</v>
      </c>
      <c r="K51" s="93">
        <f>K37+K43+K49</f>
        <v>273117.71649760212</v>
      </c>
      <c r="L51" s="93">
        <f>L37+L43+L49</f>
        <v>281002.90566698147</v>
      </c>
      <c r="M51" s="93">
        <f>M37+M43+M49</f>
        <v>290338.9499807533</v>
      </c>
    </row>
    <row r="52" spans="1:13" x14ac:dyDescent="0.45">
      <c r="A52" s="3"/>
      <c r="B52" s="3"/>
      <c r="C52" s="3"/>
      <c r="D52" s="3"/>
      <c r="E52" s="3"/>
      <c r="F52" s="3"/>
      <c r="G52" s="3"/>
      <c r="H52" s="3"/>
      <c r="I52" s="3"/>
      <c r="J52" s="3"/>
      <c r="K52" s="3"/>
      <c r="L52" s="3"/>
      <c r="M52" s="3"/>
    </row>
    <row r="53" spans="1:13" ht="15" customHeight="1" x14ac:dyDescent="0.45">
      <c r="A53" s="75" t="s">
        <v>506</v>
      </c>
      <c r="B53" s="90">
        <v>197438.06</v>
      </c>
      <c r="C53" s="90">
        <v>200236.06</v>
      </c>
      <c r="D53" s="90">
        <v>194915.03</v>
      </c>
      <c r="E53" s="90">
        <v>187107.75</v>
      </c>
      <c r="F53" s="90">
        <v>179976.76</v>
      </c>
      <c r="G53" s="90">
        <v>172372.68</v>
      </c>
      <c r="H53" s="90">
        <v>166033.9</v>
      </c>
      <c r="I53" s="91">
        <f>H53*0.975</f>
        <v>161883.05249999999</v>
      </c>
      <c r="J53" s="91">
        <f>I53*0.975</f>
        <v>157835.9761875</v>
      </c>
      <c r="K53" s="91">
        <f>J53*0.975</f>
        <v>153890.07678281248</v>
      </c>
      <c r="L53" s="91">
        <f>K53*0.975</f>
        <v>150042.82486324216</v>
      </c>
      <c r="M53" s="91">
        <f>L53*0.975</f>
        <v>146291.75424166111</v>
      </c>
    </row>
    <row r="54" spans="1:13" ht="15" customHeight="1" x14ac:dyDescent="0.45">
      <c r="A54" s="75" t="s">
        <v>507</v>
      </c>
      <c r="B54" s="90">
        <v>2756.56</v>
      </c>
      <c r="C54" s="90">
        <v>3763.69</v>
      </c>
      <c r="D54" s="90">
        <v>4265.3900000000003</v>
      </c>
      <c r="E54" s="90">
        <v>7228.53</v>
      </c>
      <c r="F54" s="90">
        <v>7414.95</v>
      </c>
      <c r="G54" s="90">
        <v>8733.4699999999993</v>
      </c>
      <c r="H54" s="90">
        <v>11314.17</v>
      </c>
      <c r="I54" s="91">
        <f>H54*1.08</f>
        <v>12219.303600000001</v>
      </c>
      <c r="J54" s="91">
        <f>I54*1.08</f>
        <v>13196.847888000002</v>
      </c>
      <c r="K54" s="91">
        <f>J54*1.08</f>
        <v>14252.595719040004</v>
      </c>
      <c r="L54" s="91">
        <f>K54*1.08</f>
        <v>15392.803376563206</v>
      </c>
      <c r="M54" s="91">
        <f>L54*1.08</f>
        <v>16624.227646688265</v>
      </c>
    </row>
    <row r="55" spans="1:13" ht="15" customHeight="1" x14ac:dyDescent="0.45">
      <c r="A55" s="75" t="s">
        <v>455</v>
      </c>
      <c r="B55" s="90">
        <v>12184.06</v>
      </c>
      <c r="C55" s="90">
        <v>13391.07</v>
      </c>
      <c r="D55" s="90">
        <v>10829.36</v>
      </c>
      <c r="E55" s="90">
        <v>14704.44</v>
      </c>
      <c r="F55" s="90">
        <v>17927.759999999998</v>
      </c>
      <c r="G55" s="90">
        <v>22399.8</v>
      </c>
      <c r="H55" s="90">
        <v>36846.86</v>
      </c>
      <c r="I55" s="91">
        <f>H55*1.1</f>
        <v>40531.546000000002</v>
      </c>
      <c r="J55" s="91">
        <f>I55*1.1</f>
        <v>44584.700600000004</v>
      </c>
      <c r="K55" s="91">
        <f>J55*1.1</f>
        <v>49043.170660000011</v>
      </c>
      <c r="L55" s="91">
        <f>K55*1.1</f>
        <v>53947.487726000014</v>
      </c>
      <c r="M55" s="91">
        <f>L55*1.1</f>
        <v>59342.236498600018</v>
      </c>
    </row>
    <row r="56" spans="1:13" ht="15" customHeight="1" x14ac:dyDescent="0.45">
      <c r="A56" s="75" t="s">
        <v>508</v>
      </c>
      <c r="B56" s="90">
        <v>8138.74</v>
      </c>
      <c r="C56" s="90">
        <v>9626.66</v>
      </c>
      <c r="D56" s="90">
        <v>8702.91</v>
      </c>
      <c r="E56" s="90">
        <v>8507.5300000000007</v>
      </c>
      <c r="F56" s="90">
        <v>9381.52</v>
      </c>
      <c r="G56" s="90">
        <v>8995.31</v>
      </c>
      <c r="H56" s="90">
        <v>8802.1</v>
      </c>
      <c r="I56" s="91">
        <f>H56</f>
        <v>8802.1</v>
      </c>
      <c r="J56" s="91">
        <f>I56</f>
        <v>8802.1</v>
      </c>
      <c r="K56" s="91">
        <f>J56</f>
        <v>8802.1</v>
      </c>
      <c r="L56" s="91">
        <f>K56</f>
        <v>8802.1</v>
      </c>
      <c r="M56" s="91">
        <f>L56</f>
        <v>8802.1</v>
      </c>
    </row>
    <row r="57" spans="1:13" ht="15" customHeight="1" x14ac:dyDescent="0.45">
      <c r="A57" s="77" t="s">
        <v>509</v>
      </c>
      <c r="B57" s="78">
        <v>220517.42</v>
      </c>
      <c r="C57" s="78">
        <v>227017.48</v>
      </c>
      <c r="D57" s="78">
        <v>218712.69</v>
      </c>
      <c r="E57" s="78">
        <v>217548.25</v>
      </c>
      <c r="F57" s="78">
        <v>214700.99</v>
      </c>
      <c r="G57" s="78">
        <v>212501.26</v>
      </c>
      <c r="H57" s="78">
        <v>222997.03</v>
      </c>
      <c r="I57" s="93">
        <f>I53+I54+I55+I56</f>
        <v>223436.00210000001</v>
      </c>
      <c r="J57" s="93">
        <f>J53+J54+J55+J56</f>
        <v>224419.6246755</v>
      </c>
      <c r="K57" s="93">
        <f>K53+K54+K55+K56</f>
        <v>225987.94316185248</v>
      </c>
      <c r="L57" s="93">
        <f>L53+L54+L55+L56</f>
        <v>228185.2159658054</v>
      </c>
      <c r="M57" s="93">
        <f>M53+M54+M55+M56</f>
        <v>231060.3183869494</v>
      </c>
    </row>
    <row r="58" spans="1:13" ht="6" customHeight="1" x14ac:dyDescent="0.45">
      <c r="A58" s="3"/>
      <c r="B58" s="3"/>
      <c r="C58" s="3"/>
      <c r="D58" s="3"/>
      <c r="E58" s="3"/>
      <c r="F58" s="3"/>
      <c r="G58" s="3"/>
      <c r="H58" s="3"/>
      <c r="I58" s="3"/>
      <c r="J58" s="3"/>
      <c r="K58" s="3"/>
      <c r="L58" s="3"/>
      <c r="M58" s="3"/>
    </row>
    <row r="59" spans="1:13" ht="15" customHeight="1" x14ac:dyDescent="0.45">
      <c r="A59" s="75" t="s">
        <v>510</v>
      </c>
      <c r="B59" s="90">
        <v>1226.28</v>
      </c>
      <c r="C59" s="90">
        <v>1400.56</v>
      </c>
      <c r="D59" s="90">
        <v>1362.82</v>
      </c>
      <c r="E59" s="90">
        <v>1352.6</v>
      </c>
      <c r="F59" s="90">
        <v>1323.55</v>
      </c>
      <c r="G59" s="90">
        <v>1303.73</v>
      </c>
      <c r="H59" s="90">
        <v>1377.82</v>
      </c>
      <c r="I59" s="91">
        <f>H59*1.02</f>
        <v>1405.3763999999999</v>
      </c>
      <c r="J59" s="91">
        <f>I59*1.02</f>
        <v>1433.4839279999999</v>
      </c>
      <c r="K59" s="91">
        <f>J59*1.02</f>
        <v>1462.1536065599998</v>
      </c>
      <c r="L59" s="91">
        <f>K59*1.02</f>
        <v>1491.3966786911999</v>
      </c>
      <c r="M59" s="91">
        <f>L59*1.02</f>
        <v>1521.224612265024</v>
      </c>
    </row>
    <row r="60" spans="1:13" ht="15" customHeight="1" x14ac:dyDescent="0.45">
      <c r="A60" s="75" t="s">
        <v>231</v>
      </c>
      <c r="B60" s="90">
        <v>4649.8</v>
      </c>
      <c r="C60" s="90">
        <v>4867.8999999999996</v>
      </c>
      <c r="D60" s="90">
        <v>8470.2000000000007</v>
      </c>
      <c r="E60" s="90">
        <v>9106.82</v>
      </c>
      <c r="F60" s="90">
        <v>14304.13</v>
      </c>
      <c r="G60" s="90">
        <v>10825.8</v>
      </c>
      <c r="H60" s="90">
        <v>7273.25</v>
      </c>
      <c r="I60" s="91">
        <f>H60*0.94</f>
        <v>6836.8549999999996</v>
      </c>
      <c r="J60" s="91">
        <f>I60*0.94</f>
        <v>6426.6436999999996</v>
      </c>
      <c r="K60" s="91">
        <f>J60*0.94</f>
        <v>6041.0450779999992</v>
      </c>
      <c r="L60" s="91">
        <f>K60*0.94</f>
        <v>5678.5823733199986</v>
      </c>
      <c r="M60" s="91">
        <f>L60*0.94</f>
        <v>5337.8674309207981</v>
      </c>
    </row>
    <row r="61" spans="1:13" ht="15" customHeight="1" x14ac:dyDescent="0.45">
      <c r="A61" s="75" t="s">
        <v>511</v>
      </c>
      <c r="B61" s="90">
        <v>4332.04</v>
      </c>
      <c r="C61" s="90">
        <v>5409.4</v>
      </c>
      <c r="D61" s="90">
        <v>5273.54</v>
      </c>
      <c r="E61" s="90">
        <v>2971.04</v>
      </c>
      <c r="F61" s="90">
        <v>4734.4399999999996</v>
      </c>
      <c r="G61" s="90">
        <v>5026.7299999999996</v>
      </c>
      <c r="H61" s="90">
        <v>6419.4</v>
      </c>
      <c r="I61" s="91">
        <f>H61*1.08</f>
        <v>6932.9520000000002</v>
      </c>
      <c r="J61" s="91">
        <f>I61*1.08</f>
        <v>7487.5881600000012</v>
      </c>
      <c r="K61" s="91">
        <f>J61*1.08</f>
        <v>8086.5952128000017</v>
      </c>
      <c r="L61" s="91">
        <f>K61*1.08</f>
        <v>8733.5228298240017</v>
      </c>
      <c r="M61" s="91">
        <f>L61*1.08</f>
        <v>9432.2046562099222</v>
      </c>
    </row>
    <row r="62" spans="1:13" ht="15" customHeight="1" x14ac:dyDescent="0.45">
      <c r="A62" s="75" t="s">
        <v>512</v>
      </c>
      <c r="B62" s="90">
        <v>7664.2</v>
      </c>
      <c r="C62" s="90">
        <v>6731.27</v>
      </c>
      <c r="D62" s="90">
        <v>9586.3700000000008</v>
      </c>
      <c r="E62" s="90">
        <v>6681.44</v>
      </c>
      <c r="F62" s="90">
        <v>2869.31</v>
      </c>
      <c r="G62" s="90">
        <v>5555.9</v>
      </c>
      <c r="H62" s="90">
        <v>9862.42</v>
      </c>
      <c r="I62" s="91">
        <f>H62*1.02</f>
        <v>10059.6684</v>
      </c>
      <c r="J62" s="91">
        <f>I62*1.02</f>
        <v>10260.861768000001</v>
      </c>
      <c r="K62" s="91">
        <f>J62*1.02</f>
        <v>10466.079003360001</v>
      </c>
      <c r="L62" s="91">
        <f>K62*1.02</f>
        <v>10675.400583427201</v>
      </c>
      <c r="M62" s="91">
        <f>L62*1.02</f>
        <v>10888.908595095745</v>
      </c>
    </row>
    <row r="63" spans="1:13" ht="15" customHeight="1" x14ac:dyDescent="0.45">
      <c r="A63" s="77" t="s">
        <v>27</v>
      </c>
      <c r="B63" s="78">
        <v>17872.32</v>
      </c>
      <c r="C63" s="78">
        <v>18409.13</v>
      </c>
      <c r="D63" s="78">
        <v>24692.93</v>
      </c>
      <c r="E63" s="78">
        <v>20111.900000000001</v>
      </c>
      <c r="F63" s="78">
        <v>23231.43</v>
      </c>
      <c r="G63" s="78">
        <v>22712.16</v>
      </c>
      <c r="H63" s="78">
        <v>24932.89</v>
      </c>
      <c r="I63" s="93">
        <f>I59+I60+I61+I62</f>
        <v>25234.851799999997</v>
      </c>
      <c r="J63" s="93">
        <f>J59+J60+J61+J62</f>
        <v>25608.577556000004</v>
      </c>
      <c r="K63" s="93">
        <f>K59+K60+K61+K62</f>
        <v>26055.872900720002</v>
      </c>
      <c r="L63" s="93">
        <f>L59+L60+L61+L62</f>
        <v>26578.902465262399</v>
      </c>
      <c r="M63" s="93">
        <f>M59+M60+M61+M62</f>
        <v>27180.20529449149</v>
      </c>
    </row>
    <row r="64" spans="1:13" ht="6" customHeight="1" x14ac:dyDescent="0.45">
      <c r="A64" s="3"/>
      <c r="B64" s="3"/>
      <c r="C64" s="3"/>
      <c r="D64" s="3"/>
      <c r="E64" s="3"/>
      <c r="F64" s="3"/>
      <c r="G64" s="3"/>
      <c r="H64" s="3"/>
      <c r="I64" s="3"/>
      <c r="J64" s="3"/>
      <c r="K64" s="3"/>
      <c r="L64" s="3"/>
      <c r="M64" s="3"/>
    </row>
    <row r="65" spans="1:14" ht="15" customHeight="1" x14ac:dyDescent="0.45">
      <c r="A65" s="80" t="s">
        <v>513</v>
      </c>
      <c r="B65" s="78">
        <v>238389.74</v>
      </c>
      <c r="C65" s="78">
        <v>245426.61</v>
      </c>
      <c r="D65" s="78">
        <v>243405.62</v>
      </c>
      <c r="E65" s="78">
        <v>237660.15</v>
      </c>
      <c r="F65" s="78">
        <v>237932.42</v>
      </c>
      <c r="G65" s="78">
        <v>235213.42</v>
      </c>
      <c r="H65" s="78">
        <v>247929.92</v>
      </c>
      <c r="I65" s="93">
        <f>I57+I63</f>
        <v>248670.85390000002</v>
      </c>
      <c r="J65" s="93">
        <f>J57+J63</f>
        <v>250028.20223150001</v>
      </c>
      <c r="K65" s="93">
        <f>K57+K63</f>
        <v>252043.81606257247</v>
      </c>
      <c r="L65" s="93">
        <f>L57+L63</f>
        <v>254764.11843106779</v>
      </c>
      <c r="M65" s="93">
        <f>M57+M63</f>
        <v>258240.52368144089</v>
      </c>
    </row>
    <row r="67" spans="1:14" ht="18" customHeight="1" x14ac:dyDescent="0.45">
      <c r="A67" s="82" t="s">
        <v>514</v>
      </c>
      <c r="B67" s="70" t="s">
        <v>414</v>
      </c>
    </row>
    <row r="68" spans="1:14" ht="6" customHeight="1" x14ac:dyDescent="0.45"/>
    <row r="69" spans="1:14" ht="15" customHeight="1" x14ac:dyDescent="0.45">
      <c r="B69" s="338" t="s">
        <v>464</v>
      </c>
      <c r="C69" s="338"/>
      <c r="D69" s="338"/>
      <c r="E69" s="338"/>
      <c r="F69" s="338"/>
      <c r="G69" s="338"/>
      <c r="H69" s="338"/>
      <c r="I69" s="339" t="s">
        <v>465</v>
      </c>
      <c r="J69" s="339"/>
      <c r="K69" s="339"/>
      <c r="L69" s="339"/>
      <c r="M69" s="339"/>
    </row>
    <row r="70" spans="1:14" ht="27.75" customHeight="1" x14ac:dyDescent="0.45">
      <c r="A70" s="74" t="s">
        <v>414</v>
      </c>
      <c r="B70" s="74" t="s">
        <v>467</v>
      </c>
      <c r="C70" s="74" t="s">
        <v>468</v>
      </c>
      <c r="D70" s="74" t="s">
        <v>469</v>
      </c>
      <c r="E70" s="74" t="s">
        <v>470</v>
      </c>
      <c r="F70" s="74" t="s">
        <v>471</v>
      </c>
      <c r="G70" s="74" t="s">
        <v>472</v>
      </c>
      <c r="H70" s="74" t="s">
        <v>473</v>
      </c>
      <c r="I70" s="89" t="s">
        <v>474</v>
      </c>
      <c r="J70" s="89" t="s">
        <v>475</v>
      </c>
      <c r="K70" s="89" t="s">
        <v>476</v>
      </c>
      <c r="L70" s="89" t="s">
        <v>477</v>
      </c>
      <c r="M70" s="89" t="s">
        <v>478</v>
      </c>
      <c r="N70" s="71" t="s">
        <v>479</v>
      </c>
    </row>
    <row r="71" spans="1:14" ht="15" customHeight="1" x14ac:dyDescent="0.45">
      <c r="A71" s="75" t="s">
        <v>100</v>
      </c>
      <c r="B71" s="76">
        <v>8962.11</v>
      </c>
      <c r="C71" s="76">
        <v>14330.75</v>
      </c>
      <c r="D71" s="76">
        <v>15024.92</v>
      </c>
      <c r="E71" s="76">
        <v>19804.82</v>
      </c>
      <c r="F71" s="76">
        <v>17471.12</v>
      </c>
      <c r="G71" s="76">
        <v>18106.59</v>
      </c>
      <c r="H71" s="76">
        <v>18619.43</v>
      </c>
      <c r="I71" s="84">
        <f>I21</f>
        <v>20884.464350000002</v>
      </c>
      <c r="J71" s="84">
        <f>J21</f>
        <v>23246.101364250007</v>
      </c>
      <c r="K71" s="84">
        <f>K21</f>
        <v>25709.465535938754</v>
      </c>
      <c r="L71" s="84">
        <f>L21</f>
        <v>28279.933003773065</v>
      </c>
      <c r="M71" s="84">
        <f>M21</f>
        <v>30963.144283495007</v>
      </c>
    </row>
    <row r="72" spans="1:14" ht="15" customHeight="1" x14ac:dyDescent="0.45">
      <c r="A72" s="75" t="s">
        <v>515</v>
      </c>
      <c r="B72" s="76">
        <v>10200.67</v>
      </c>
      <c r="C72" s="76">
        <v>11073.18</v>
      </c>
      <c r="D72" s="76">
        <v>11711.68</v>
      </c>
      <c r="E72" s="76">
        <v>12550.58</v>
      </c>
      <c r="F72" s="76">
        <v>12939.88</v>
      </c>
      <c r="G72" s="76">
        <v>12558.19</v>
      </c>
      <c r="H72" s="76">
        <v>12352.23</v>
      </c>
      <c r="I72" s="84">
        <f>I17</f>
        <v>12290.468849999999</v>
      </c>
      <c r="J72" s="84">
        <f>J17</f>
        <v>12229.01650575</v>
      </c>
      <c r="K72" s="84">
        <f>K17</f>
        <v>12167.87142322125</v>
      </c>
      <c r="L72" s="84">
        <f>L17</f>
        <v>12107.032066105143</v>
      </c>
      <c r="M72" s="84">
        <f>M17</f>
        <v>12046.496905774617</v>
      </c>
    </row>
    <row r="73" spans="1:14" ht="15" customHeight="1" x14ac:dyDescent="0.45">
      <c r="A73" s="75" t="s">
        <v>516</v>
      </c>
      <c r="B73" s="76">
        <v>9091.42</v>
      </c>
      <c r="C73" s="76">
        <v>9813.6200000000008</v>
      </c>
      <c r="D73" s="76">
        <v>8501.01</v>
      </c>
      <c r="E73" s="76">
        <v>8210.94</v>
      </c>
      <c r="F73" s="76">
        <v>9744.25</v>
      </c>
      <c r="G73" s="76">
        <v>9046.8700000000008</v>
      </c>
      <c r="H73" s="76">
        <v>9479.32</v>
      </c>
      <c r="I73" s="84">
        <f>I20</f>
        <v>9289.7335999999996</v>
      </c>
      <c r="J73" s="84">
        <f>J20</f>
        <v>9103.9389279999996</v>
      </c>
      <c r="K73" s="84">
        <f>K20</f>
        <v>8921.8601494399991</v>
      </c>
      <c r="L73" s="84">
        <f>L20</f>
        <v>8743.4229464511991</v>
      </c>
      <c r="M73" s="84">
        <f>M20</f>
        <v>8568.5544875221749</v>
      </c>
    </row>
    <row r="74" spans="1:14" ht="15" customHeight="1" x14ac:dyDescent="0.45">
      <c r="A74" s="77" t="s">
        <v>517</v>
      </c>
      <c r="B74" s="78">
        <v>28254.2</v>
      </c>
      <c r="C74" s="78">
        <v>35217.550000000003</v>
      </c>
      <c r="D74" s="78">
        <v>35237.61</v>
      </c>
      <c r="E74" s="78">
        <v>40566.339999999997</v>
      </c>
      <c r="F74" s="78">
        <v>40155.25</v>
      </c>
      <c r="G74" s="78">
        <v>39711.65</v>
      </c>
      <c r="H74" s="78">
        <v>40450.980000000003</v>
      </c>
      <c r="I74" s="85">
        <f>I71+I72+I73</f>
        <v>42464.666799999999</v>
      </c>
      <c r="J74" s="85">
        <f>J71+J72+J73</f>
        <v>44579.056798000005</v>
      </c>
      <c r="K74" s="85">
        <f>K71+K72+K73</f>
        <v>46799.197108600005</v>
      </c>
      <c r="L74" s="85">
        <f>L71+L72+L73</f>
        <v>49130.388016329409</v>
      </c>
      <c r="M74" s="85">
        <f>M71+M72+M73</f>
        <v>51578.195676791795</v>
      </c>
    </row>
    <row r="75" spans="1:14" ht="6" customHeight="1" x14ac:dyDescent="0.45">
      <c r="A75" s="3"/>
      <c r="B75" s="3"/>
      <c r="C75" s="3"/>
      <c r="D75" s="3"/>
      <c r="E75" s="3"/>
      <c r="F75" s="3"/>
      <c r="G75" s="3"/>
      <c r="H75" s="3"/>
      <c r="I75" s="86"/>
      <c r="J75" s="86"/>
      <c r="K75" s="86"/>
      <c r="L75" s="86"/>
      <c r="M75" s="86"/>
    </row>
    <row r="76" spans="1:14" ht="15" customHeight="1" x14ac:dyDescent="0.45">
      <c r="A76" s="77" t="s">
        <v>518</v>
      </c>
      <c r="B76" s="3"/>
      <c r="C76" s="3"/>
      <c r="D76" s="3"/>
      <c r="E76" s="3"/>
      <c r="F76" s="3"/>
      <c r="G76" s="3"/>
      <c r="H76" s="3"/>
      <c r="I76" s="86"/>
      <c r="J76" s="86"/>
      <c r="K76" s="86"/>
      <c r="L76" s="86"/>
      <c r="M76" s="86"/>
    </row>
    <row r="77" spans="1:14" ht="15" customHeight="1" x14ac:dyDescent="0.45">
      <c r="A77" s="75" t="s">
        <v>519</v>
      </c>
      <c r="B77" s="76">
        <v>0</v>
      </c>
      <c r="C77" s="76">
        <v>0</v>
      </c>
      <c r="D77" s="76">
        <v>0</v>
      </c>
      <c r="E77" s="76">
        <v>0</v>
      </c>
      <c r="F77" s="76">
        <v>0</v>
      </c>
      <c r="G77" s="76">
        <v>0</v>
      </c>
      <c r="H77" s="76">
        <v>0</v>
      </c>
      <c r="I77" s="84">
        <f>-(I60-H60)</f>
        <v>436.39500000000044</v>
      </c>
      <c r="J77" s="84">
        <f>-(J60-I60)</f>
        <v>410.21129999999994</v>
      </c>
      <c r="K77" s="84">
        <f>-(K60-J60)</f>
        <v>385.59862200000043</v>
      </c>
      <c r="L77" s="84">
        <f>-(L60-K60)</f>
        <v>362.46270468000057</v>
      </c>
      <c r="M77" s="84">
        <f>-(M60-L60)</f>
        <v>340.71494239920048</v>
      </c>
    </row>
    <row r="78" spans="1:14" ht="15" customHeight="1" x14ac:dyDescent="0.45">
      <c r="A78" s="75" t="s">
        <v>520</v>
      </c>
      <c r="B78" s="76">
        <v>0</v>
      </c>
      <c r="C78" s="76">
        <v>0</v>
      </c>
      <c r="D78" s="76">
        <v>0</v>
      </c>
      <c r="E78" s="76">
        <v>0</v>
      </c>
      <c r="F78" s="76">
        <v>0</v>
      </c>
      <c r="G78" s="76">
        <v>0</v>
      </c>
      <c r="H78" s="76">
        <v>0</v>
      </c>
      <c r="I78" s="84">
        <f>-(I59-H59)</f>
        <v>-27.55639999999994</v>
      </c>
      <c r="J78" s="84">
        <f>-(J59-I59)</f>
        <v>-28.107528000000002</v>
      </c>
      <c r="K78" s="84">
        <f>-(K59-J59)</f>
        <v>-28.669678559999966</v>
      </c>
      <c r="L78" s="84">
        <f>-(L59-K59)</f>
        <v>-29.243072131200051</v>
      </c>
      <c r="M78" s="84">
        <f>-(M59-L59)</f>
        <v>-29.827933573824112</v>
      </c>
    </row>
    <row r="79" spans="1:14" ht="15" customHeight="1" x14ac:dyDescent="0.45">
      <c r="A79" s="75" t="s">
        <v>521</v>
      </c>
      <c r="B79" s="76">
        <v>0</v>
      </c>
      <c r="C79" s="76">
        <v>0</v>
      </c>
      <c r="D79" s="76">
        <v>0</v>
      </c>
      <c r="E79" s="76">
        <v>0</v>
      </c>
      <c r="F79" s="76">
        <v>0</v>
      </c>
      <c r="G79" s="76">
        <v>0</v>
      </c>
      <c r="H79" s="76">
        <v>0</v>
      </c>
      <c r="I79" s="84">
        <f t="shared" ref="I79:M80" si="2">I46-H46</f>
        <v>28.384000000000015</v>
      </c>
      <c r="J79" s="84">
        <f t="shared" si="2"/>
        <v>29.803200000000061</v>
      </c>
      <c r="K79" s="84">
        <f t="shared" si="2"/>
        <v>31.293360000000007</v>
      </c>
      <c r="L79" s="84">
        <f t="shared" si="2"/>
        <v>32.85802799999999</v>
      </c>
      <c r="M79" s="84">
        <f t="shared" si="2"/>
        <v>34.500929400000018</v>
      </c>
    </row>
    <row r="80" spans="1:14" ht="15" customHeight="1" x14ac:dyDescent="0.45">
      <c r="A80" s="75" t="s">
        <v>522</v>
      </c>
      <c r="B80" s="76">
        <v>0</v>
      </c>
      <c r="C80" s="76">
        <v>0</v>
      </c>
      <c r="D80" s="76">
        <v>0</v>
      </c>
      <c r="E80" s="76">
        <v>0</v>
      </c>
      <c r="F80" s="76">
        <v>0</v>
      </c>
      <c r="G80" s="76">
        <v>0</v>
      </c>
      <c r="H80" s="76">
        <v>0</v>
      </c>
      <c r="I80" s="84">
        <f t="shared" si="2"/>
        <v>-552.60000000000036</v>
      </c>
      <c r="J80" s="84">
        <f t="shared" si="2"/>
        <v>-524.97000000000116</v>
      </c>
      <c r="K80" s="84">
        <f t="shared" si="2"/>
        <v>-498.72149999999965</v>
      </c>
      <c r="L80" s="84">
        <f t="shared" si="2"/>
        <v>-473.78542500000003</v>
      </c>
      <c r="M80" s="84">
        <f t="shared" si="2"/>
        <v>-450.09615375000067</v>
      </c>
    </row>
    <row r="81" spans="1:13" ht="15" customHeight="1" x14ac:dyDescent="0.45">
      <c r="A81" s="77" t="s">
        <v>523</v>
      </c>
      <c r="B81" s="78">
        <v>0</v>
      </c>
      <c r="C81" s="78">
        <v>0</v>
      </c>
      <c r="D81" s="78">
        <v>0</v>
      </c>
      <c r="E81" s="78">
        <v>0</v>
      </c>
      <c r="F81" s="78">
        <v>0</v>
      </c>
      <c r="G81" s="78">
        <v>0</v>
      </c>
      <c r="H81" s="78">
        <v>0</v>
      </c>
      <c r="I81" s="85">
        <f>I77+I78+I79+I80</f>
        <v>-115.37739999999985</v>
      </c>
      <c r="J81" s="85">
        <f>J77+J78+J79+J80</f>
        <v>-113.06302800000117</v>
      </c>
      <c r="K81" s="85">
        <f>K77+K78+K79+K80</f>
        <v>-110.49919655999918</v>
      </c>
      <c r="L81" s="85">
        <f>L77+L78+L79+L80</f>
        <v>-107.70776445119952</v>
      </c>
      <c r="M81" s="85">
        <f>M77+M78+M79+M80</f>
        <v>-104.70821552462428</v>
      </c>
    </row>
    <row r="82" spans="1:13" ht="15" customHeight="1" x14ac:dyDescent="0.45">
      <c r="A82" s="75" t="s">
        <v>524</v>
      </c>
      <c r="B82" s="76">
        <v>-2489.4299999999998</v>
      </c>
      <c r="C82" s="76">
        <v>-2230.7399999999998</v>
      </c>
      <c r="D82" s="76">
        <v>-2529.11</v>
      </c>
      <c r="E82" s="76">
        <v>-3282.06</v>
      </c>
      <c r="F82" s="76">
        <v>-2913.67</v>
      </c>
      <c r="G82" s="76">
        <v>-3236.43</v>
      </c>
      <c r="H82" s="76">
        <v>-3177.83</v>
      </c>
      <c r="I82" s="84">
        <f>-I23</f>
        <v>-5221.1160875000005</v>
      </c>
      <c r="J82" s="84">
        <f>-J23</f>
        <v>-5811.5253410625019</v>
      </c>
      <c r="K82" s="84">
        <f>-K23</f>
        <v>-6427.3663839846886</v>
      </c>
      <c r="L82" s="84">
        <f>-L23</f>
        <v>-7069.9832509432663</v>
      </c>
      <c r="M82" s="84">
        <f>-M23</f>
        <v>-7740.7860708737517</v>
      </c>
    </row>
    <row r="83" spans="1:13" ht="15" customHeight="1" x14ac:dyDescent="0.45">
      <c r="A83" s="77" t="s">
        <v>525</v>
      </c>
      <c r="B83" s="78">
        <v>23148.92</v>
      </c>
      <c r="C83" s="78">
        <v>29239.47</v>
      </c>
      <c r="D83" s="78">
        <v>27613.73</v>
      </c>
      <c r="E83" s="78">
        <v>24640.2</v>
      </c>
      <c r="F83" s="78">
        <v>35268.25</v>
      </c>
      <c r="G83" s="78">
        <v>34790.129999999997</v>
      </c>
      <c r="H83" s="78">
        <v>31356.87</v>
      </c>
      <c r="I83" s="85">
        <f>I74+I81+I82</f>
        <v>37128.173312500003</v>
      </c>
      <c r="J83" s="85">
        <f>J74+J81+J82</f>
        <v>38654.4684289375</v>
      </c>
      <c r="K83" s="85">
        <f>K74+K81+K82</f>
        <v>40261.331528055322</v>
      </c>
      <c r="L83" s="85">
        <f>L74+L81+L82</f>
        <v>41952.697000934939</v>
      </c>
      <c r="M83" s="85">
        <f>M74+M81+M82</f>
        <v>43732.70139039342</v>
      </c>
    </row>
    <row r="84" spans="1:13" ht="6" customHeight="1" x14ac:dyDescent="0.45">
      <c r="A84" s="3"/>
      <c r="B84" s="3"/>
      <c r="C84" s="3"/>
      <c r="D84" s="3"/>
      <c r="E84" s="3"/>
      <c r="F84" s="3"/>
      <c r="G84" s="3"/>
      <c r="H84" s="3"/>
      <c r="I84" s="86"/>
      <c r="J84" s="86"/>
      <c r="K84" s="86"/>
      <c r="L84" s="86"/>
      <c r="M84" s="86"/>
    </row>
    <row r="85" spans="1:13" ht="15" customHeight="1" x14ac:dyDescent="0.45">
      <c r="A85" s="75" t="s">
        <v>447</v>
      </c>
      <c r="B85" s="76">
        <v>-19462.03</v>
      </c>
      <c r="C85" s="76">
        <v>-8006.12</v>
      </c>
      <c r="D85" s="76">
        <v>-6389.23</v>
      </c>
      <c r="E85" s="76">
        <v>-3645.32</v>
      </c>
      <c r="F85" s="76">
        <v>-3064.54</v>
      </c>
      <c r="G85" s="76">
        <v>-5517.74</v>
      </c>
      <c r="H85" s="76">
        <v>-5142.74</v>
      </c>
      <c r="I85" s="84">
        <f>H85*(1+INDEX(AA$3:AA$5,MATCH($B$3,S$3:S$5,0)))</f>
        <v>-5399.8770000000004</v>
      </c>
      <c r="J85" s="84">
        <f>I85*(1+INDEX(AA$3:AA$5,MATCH($B$3,S$3:S$5,0)))</f>
        <v>-5669.8708500000002</v>
      </c>
      <c r="K85" s="84">
        <f>J85*(1+INDEX(AA$3:AA$5,MATCH($B$3,S$3:S$5,0)))</f>
        <v>-5953.3643925000006</v>
      </c>
      <c r="L85" s="84">
        <f>K85*(1+INDEX(AA$3:AA$5,MATCH($B$3,S$3:S$5,0)))</f>
        <v>-6251.0326121250009</v>
      </c>
      <c r="M85" s="84">
        <f>L85*(1+INDEX(AA$3:AA$5,MATCH($B$3,S$3:S$5,0)))</f>
        <v>-6563.5842427312509</v>
      </c>
    </row>
    <row r="86" spans="1:13" ht="15" customHeight="1" x14ac:dyDescent="0.45">
      <c r="A86" s="77" t="s">
        <v>526</v>
      </c>
      <c r="B86" s="78">
        <v>-18648.45</v>
      </c>
      <c r="C86" s="78">
        <v>-9368.0400000000009</v>
      </c>
      <c r="D86" s="78">
        <v>-7802.99</v>
      </c>
      <c r="E86" s="78">
        <v>2188.54</v>
      </c>
      <c r="F86" s="78">
        <v>-4315.83</v>
      </c>
      <c r="G86" s="78">
        <v>-10433.540000000001</v>
      </c>
      <c r="H86" s="78">
        <v>-17896.810000000001</v>
      </c>
      <c r="I86" s="85">
        <f>I85</f>
        <v>-5399.8770000000004</v>
      </c>
      <c r="J86" s="85">
        <f>J85</f>
        <v>-5669.8708500000002</v>
      </c>
      <c r="K86" s="85">
        <f>K85</f>
        <v>-5953.3643925000006</v>
      </c>
      <c r="L86" s="85">
        <f>L85</f>
        <v>-6251.0326121250009</v>
      </c>
      <c r="M86" s="85">
        <f>M85</f>
        <v>-6563.5842427312509</v>
      </c>
    </row>
    <row r="87" spans="1:13" ht="6" customHeight="1" x14ac:dyDescent="0.45">
      <c r="A87" s="3"/>
      <c r="B87" s="3"/>
      <c r="C87" s="3"/>
      <c r="D87" s="3"/>
      <c r="E87" s="3"/>
      <c r="F87" s="3"/>
      <c r="G87" s="3"/>
      <c r="H87" s="3"/>
      <c r="I87" s="86"/>
      <c r="J87" s="86"/>
      <c r="K87" s="86"/>
      <c r="L87" s="86"/>
      <c r="M87" s="86"/>
    </row>
    <row r="88" spans="1:13" ht="15" customHeight="1" x14ac:dyDescent="0.45">
      <c r="A88" s="75" t="s">
        <v>527</v>
      </c>
      <c r="B88" s="76">
        <v>-9091.42</v>
      </c>
      <c r="C88" s="76">
        <v>-9813.6200000000008</v>
      </c>
      <c r="D88" s="76">
        <v>-8501.01</v>
      </c>
      <c r="E88" s="76">
        <v>-8210.94</v>
      </c>
      <c r="F88" s="76">
        <v>-9744.25</v>
      </c>
      <c r="G88" s="76">
        <v>-9046.8700000000008</v>
      </c>
      <c r="H88" s="76">
        <v>-9479.32</v>
      </c>
      <c r="I88" s="84">
        <f>-I20</f>
        <v>-9289.7335999999996</v>
      </c>
      <c r="J88" s="84">
        <f>-J20</f>
        <v>-9103.9389279999996</v>
      </c>
      <c r="K88" s="84">
        <f>-K20</f>
        <v>-8921.8601494399991</v>
      </c>
      <c r="L88" s="84">
        <f>-L20</f>
        <v>-8743.4229464511991</v>
      </c>
      <c r="M88" s="84">
        <f>-M20</f>
        <v>-8568.5544875221749</v>
      </c>
    </row>
    <row r="89" spans="1:13" ht="15" customHeight="1" x14ac:dyDescent="0.45">
      <c r="A89" s="75" t="s">
        <v>189</v>
      </c>
      <c r="B89" s="76">
        <v>-3050.02</v>
      </c>
      <c r="C89" s="76">
        <v>-3118.02</v>
      </c>
      <c r="D89" s="76">
        <v>-4708.43</v>
      </c>
      <c r="E89" s="76">
        <v>-8719.32</v>
      </c>
      <c r="F89" s="76">
        <v>-6975.45</v>
      </c>
      <c r="G89" s="76">
        <v>-7905.51</v>
      </c>
      <c r="H89" s="76">
        <v>-7207.97</v>
      </c>
      <c r="I89" s="84">
        <f>-I28</f>
        <v>-6578.6062702500003</v>
      </c>
      <c r="J89" s="84">
        <f>-J28</f>
        <v>-7322.5219297387521</v>
      </c>
      <c r="K89" s="84">
        <f>-K28</f>
        <v>-8098.4816438207072</v>
      </c>
      <c r="L89" s="84">
        <f>-L28</f>
        <v>-8908.178896188514</v>
      </c>
      <c r="M89" s="84">
        <f>-M28</f>
        <v>-9753.3904493009268</v>
      </c>
    </row>
    <row r="90" spans="1:13" ht="15" customHeight="1" x14ac:dyDescent="0.45">
      <c r="A90" s="77" t="s">
        <v>528</v>
      </c>
      <c r="B90" s="78">
        <v>-2373.54</v>
      </c>
      <c r="C90" s="78">
        <v>-18711.990000000002</v>
      </c>
      <c r="D90" s="78">
        <v>-20185.830000000002</v>
      </c>
      <c r="E90" s="78">
        <v>-28801.32</v>
      </c>
      <c r="F90" s="78">
        <v>-29263.65</v>
      </c>
      <c r="G90" s="78">
        <v>-25882.28</v>
      </c>
      <c r="H90" s="78">
        <v>-12357.08</v>
      </c>
      <c r="I90" s="85">
        <f>I88+I89</f>
        <v>-15868.33987025</v>
      </c>
      <c r="J90" s="85">
        <f>J88+J89</f>
        <v>-16426.460857738752</v>
      </c>
      <c r="K90" s="85">
        <f>K88+K89</f>
        <v>-17020.341793260704</v>
      </c>
      <c r="L90" s="85">
        <f>L88+L89</f>
        <v>-17651.601842639713</v>
      </c>
      <c r="M90" s="85">
        <f>M88+M89</f>
        <v>-18321.9449368231</v>
      </c>
    </row>
    <row r="91" spans="1:13" ht="6" customHeight="1" x14ac:dyDescent="0.45">
      <c r="A91" s="3"/>
      <c r="B91" s="3"/>
      <c r="C91" s="3"/>
      <c r="D91" s="3"/>
      <c r="E91" s="3"/>
      <c r="F91" s="3"/>
      <c r="G91" s="3"/>
      <c r="H91" s="3"/>
      <c r="I91" s="86"/>
      <c r="J91" s="86"/>
      <c r="K91" s="86"/>
      <c r="L91" s="86"/>
      <c r="M91" s="86"/>
    </row>
    <row r="92" spans="1:13" ht="15" customHeight="1" x14ac:dyDescent="0.45">
      <c r="A92" s="77" t="s">
        <v>529</v>
      </c>
      <c r="B92" s="78">
        <v>2126.9299999999998</v>
      </c>
      <c r="C92" s="78">
        <v>1159.44</v>
      </c>
      <c r="D92" s="78">
        <v>-375.09000000000401</v>
      </c>
      <c r="E92" s="78">
        <v>-1972.58</v>
      </c>
      <c r="F92" s="78">
        <v>1688.77</v>
      </c>
      <c r="G92" s="78">
        <v>-1525.69</v>
      </c>
      <c r="H92" s="78">
        <v>1102.98</v>
      </c>
      <c r="I92" s="85">
        <f>I83+I86+I90</f>
        <v>15859.956442250003</v>
      </c>
      <c r="J92" s="85">
        <f>J83+J86+J90</f>
        <v>16558.136721198749</v>
      </c>
      <c r="K92" s="85">
        <f>K83+K86+K90</f>
        <v>17287.625342294617</v>
      </c>
      <c r="L92" s="85">
        <f>L83+L86+L90</f>
        <v>18050.062546170222</v>
      </c>
      <c r="M92" s="85">
        <f>M83+M86+M90</f>
        <v>18847.172210839068</v>
      </c>
    </row>
    <row r="93" spans="1:13" ht="15" customHeight="1" x14ac:dyDescent="0.45">
      <c r="A93" s="75" t="s">
        <v>530</v>
      </c>
      <c r="B93" s="76">
        <v>4332.04</v>
      </c>
      <c r="C93" s="76">
        <v>5409.4</v>
      </c>
      <c r="D93" s="76">
        <v>5273.54</v>
      </c>
      <c r="E93" s="76">
        <v>2971.04</v>
      </c>
      <c r="F93" s="76">
        <v>4734.4399999999996</v>
      </c>
      <c r="G93" s="76">
        <v>5026.7299999999996</v>
      </c>
      <c r="H93" s="76">
        <v>6419.4</v>
      </c>
      <c r="I93" s="113">
        <f>H94</f>
        <v>6419.4</v>
      </c>
      <c r="J93" s="113">
        <f>I94</f>
        <v>22279.356442250002</v>
      </c>
      <c r="K93" s="113">
        <f>J94</f>
        <v>38837.493163448751</v>
      </c>
      <c r="L93" s="113">
        <f>K94</f>
        <v>56125.118505743369</v>
      </c>
      <c r="M93" s="113">
        <f>L94</f>
        <v>74175.181051913591</v>
      </c>
    </row>
    <row r="94" spans="1:13" ht="15" customHeight="1" x14ac:dyDescent="0.45">
      <c r="A94" s="80" t="s">
        <v>531</v>
      </c>
      <c r="B94" s="78">
        <v>4332.04</v>
      </c>
      <c r="C94" s="78">
        <v>5409.4</v>
      </c>
      <c r="D94" s="78">
        <v>5273.54</v>
      </c>
      <c r="E94" s="78">
        <v>2971.04</v>
      </c>
      <c r="F94" s="78">
        <v>4734.4399999999996</v>
      </c>
      <c r="G94" s="78">
        <v>5026.7299999999996</v>
      </c>
      <c r="H94" s="78">
        <v>6419.4</v>
      </c>
      <c r="I94" s="85">
        <f>I93+I92</f>
        <v>22279.356442250002</v>
      </c>
      <c r="J94" s="85">
        <f>J93+J92</f>
        <v>38837.493163448751</v>
      </c>
      <c r="K94" s="85">
        <f>K93+K92</f>
        <v>56125.118505743369</v>
      </c>
      <c r="L94" s="85">
        <f>L93+L92</f>
        <v>74175.181051913591</v>
      </c>
      <c r="M94" s="85">
        <f>M93+M92</f>
        <v>93022.353262752658</v>
      </c>
    </row>
  </sheetData>
  <mergeCells count="7">
    <mergeCell ref="B69:H69"/>
    <mergeCell ref="I69:M69"/>
    <mergeCell ref="A1:G1"/>
    <mergeCell ref="B4:H4"/>
    <mergeCell ref="I4:M4"/>
    <mergeCell ref="B33:H33"/>
    <mergeCell ref="I33:M33"/>
  </mergeCells>
  <dataValidations count="1">
    <dataValidation type="list" sqref="B3" xr:uid="{89821928-F6B3-45A7-A427-C138B8D67AE9}">
      <formula1>"Case 1,Case 2,Case 3"</formula1>
      <formula2>0</formula2>
    </dataValidation>
  </dataValidation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ABBF849A-B08E-4804-A3D8-FA67304B2C5F}">
          <x14:colorSeries rgb="FF376092"/>
          <x14:colorNegative rgb="FFD00000"/>
          <x14:colorAxis rgb="FF000000"/>
          <x14:colorMarkers rgb="FFD00000"/>
          <x14:colorFirst rgb="FFD00000"/>
          <x14:colorLast rgb="FFD00000"/>
          <x14:colorHigh rgb="FFD00000"/>
          <x14:colorLow rgb="FFD00000"/>
          <x14:sparklines>
            <x14:sparkline>
              <xm:f>'Financial Statement'!I77:M77</xm:f>
              <xm:sqref>N77</xm:sqref>
            </x14:sparkline>
            <x14:sparkline>
              <xm:f>'Financial Statement'!I78:M78</xm:f>
              <xm:sqref>N78</xm:sqref>
            </x14:sparkline>
            <x14:sparkline>
              <xm:f>'Financial Statement'!I79:M79</xm:f>
              <xm:sqref>N79</xm:sqref>
            </x14:sparkline>
            <x14:sparkline>
              <xm:f>'Financial Statement'!I80:M80</xm:f>
              <xm:sqref>N80</xm:sqref>
            </x14:sparkline>
            <x14:sparkline>
              <xm:f>'Financial Statement'!I81:M81</xm:f>
              <xm:sqref>N81</xm:sqref>
            </x14:sparkline>
            <x14:sparkline>
              <xm:f>'Financial Statement'!I82:M82</xm:f>
              <xm:sqref>N82</xm:sqref>
            </x14:sparkline>
            <x14:sparkline>
              <xm:f>'Financial Statement'!I83:M83</xm:f>
              <xm:sqref>N83</xm:sqref>
            </x14:sparkline>
            <x14:sparkline>
              <xm:f>'Financial Statement'!I84:M84</xm:f>
              <xm:sqref>N84</xm:sqref>
            </x14:sparkline>
            <x14:sparkline>
              <xm:f>'Financial Statement'!I85:M85</xm:f>
              <xm:sqref>N85</xm:sqref>
            </x14:sparkline>
            <x14:sparkline>
              <xm:f>'Financial Statement'!I86:M86</xm:f>
              <xm:sqref>N86</xm:sqref>
            </x14:sparkline>
            <x14:sparkline>
              <xm:f>'Financial Statement'!I87:M87</xm:f>
              <xm:sqref>N87</xm:sqref>
            </x14:sparkline>
            <x14:sparkline>
              <xm:f>'Financial Statement'!I88:M88</xm:f>
              <xm:sqref>N88</xm:sqref>
            </x14:sparkline>
            <x14:sparkline>
              <xm:f>'Financial Statement'!I89:M89</xm:f>
              <xm:sqref>N89</xm:sqref>
            </x14:sparkline>
            <x14:sparkline>
              <xm:f>'Financial Statement'!I90:M90</xm:f>
              <xm:sqref>N90</xm:sqref>
            </x14:sparkline>
            <x14:sparkline>
              <xm:f>'Financial Statement'!I91:M91</xm:f>
              <xm:sqref>N91</xm:sqref>
            </x14:sparkline>
            <x14:sparkline>
              <xm:f>'Financial Statement'!I92:M92</xm:f>
              <xm:sqref>N92</xm:sqref>
            </x14:sparkline>
            <x14:sparkline>
              <xm:f>'Financial Statement'!I93:M93</xm:f>
              <xm:sqref>N93</xm:sqref>
            </x14:sparkline>
            <x14:sparkline>
              <xm:f>'Financial Statement'!I94:M94</xm:f>
              <xm:sqref>N94</xm:sqref>
            </x14:sparkline>
          </x14:sparklines>
        </x14:sparklineGroup>
        <x14:sparklineGroup displayEmptyCellsAs="gap" xr2:uid="{BD88A66A-5B14-4E99-ABA5-0A2C8A698E15}">
          <x14:colorSeries rgb="FF376092"/>
          <x14:colorNegative rgb="FFD00000"/>
          <x14:colorAxis rgb="FF000000"/>
          <x14:colorMarkers rgb="FFD00000"/>
          <x14:colorFirst rgb="FFD00000"/>
          <x14:colorLast rgb="FFD00000"/>
          <x14:colorHigh rgb="FFD00000"/>
          <x14:colorLow rgb="FFD00000"/>
          <x14:sparklines>
            <x14:sparkline>
              <xm:f>'Financial Statement'!I71:M71</xm:f>
              <xm:sqref>N71</xm:sqref>
            </x14:sparkline>
            <x14:sparkline>
              <xm:f>'Financial Statement'!I72:M72</xm:f>
              <xm:sqref>N72</xm:sqref>
            </x14:sparkline>
            <x14:sparkline>
              <xm:f>'Financial Statement'!I73:M73</xm:f>
              <xm:sqref>N73</xm:sqref>
            </x14:sparkline>
            <x14:sparkline>
              <xm:f>'Financial Statement'!I74:M74</xm:f>
              <xm:sqref>N74</xm:sqref>
            </x14:sparkline>
          </x14:sparklines>
        </x14:sparklineGroup>
      </x14:sparklineGroup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9C880-CD06-4DD1-9725-23BD737DA6B2}">
  <dimension ref="A1:M20"/>
  <sheetViews>
    <sheetView workbookViewId="0">
      <selection activeCell="I12" sqref="I12"/>
    </sheetView>
  </sheetViews>
  <sheetFormatPr defaultColWidth="8.6640625" defaultRowHeight="14.25" x14ac:dyDescent="0.45"/>
  <cols>
    <col min="1" max="1" width="40.46484375" customWidth="1"/>
    <col min="2" max="13" width="13" customWidth="1"/>
  </cols>
  <sheetData>
    <row r="1" spans="1:13" ht="22.5" x14ac:dyDescent="0.45">
      <c r="A1" s="128" t="s">
        <v>533</v>
      </c>
    </row>
    <row r="2" spans="1:13" ht="15" x14ac:dyDescent="0.45">
      <c r="B2" s="271" t="s">
        <v>464</v>
      </c>
      <c r="C2" s="271"/>
      <c r="D2" s="271"/>
      <c r="E2" s="271"/>
      <c r="F2" s="271"/>
      <c r="G2" s="271"/>
      <c r="H2" s="271"/>
      <c r="I2" s="272" t="s">
        <v>465</v>
      </c>
      <c r="J2" s="272"/>
      <c r="K2" s="272"/>
      <c r="L2" s="272"/>
      <c r="M2" s="272"/>
    </row>
    <row r="3" spans="1:13" ht="6" customHeight="1" x14ac:dyDescent="0.45"/>
    <row r="4" spans="1:13" ht="26.25" x14ac:dyDescent="0.45">
      <c r="A4" s="115" t="s">
        <v>414</v>
      </c>
      <c r="B4" s="116" t="s">
        <v>467</v>
      </c>
      <c r="C4" s="116" t="s">
        <v>468</v>
      </c>
      <c r="D4" s="116" t="s">
        <v>469</v>
      </c>
      <c r="E4" s="116" t="s">
        <v>470</v>
      </c>
      <c r="F4" s="116" t="s">
        <v>471</v>
      </c>
      <c r="G4" s="116" t="s">
        <v>472</v>
      </c>
      <c r="H4" s="116" t="s">
        <v>473</v>
      </c>
      <c r="I4" s="117" t="s">
        <v>474</v>
      </c>
      <c r="J4" s="117" t="s">
        <v>475</v>
      </c>
      <c r="K4" s="117" t="s">
        <v>476</v>
      </c>
      <c r="L4" s="117" t="s">
        <v>477</v>
      </c>
      <c r="M4" s="117" t="s">
        <v>478</v>
      </c>
    </row>
    <row r="5" spans="1:13" ht="18" customHeight="1" x14ac:dyDescent="0.45">
      <c r="A5" s="127" t="s">
        <v>534</v>
      </c>
      <c r="B5" s="119">
        <f>'Financial Statement'!B9</f>
        <v>34119.120000000003</v>
      </c>
      <c r="C5" s="119">
        <f>'Financial Statement'!C9</f>
        <v>36185.54</v>
      </c>
      <c r="D5" s="119">
        <f>'Financial Statement'!D9</f>
        <v>37665.65</v>
      </c>
      <c r="E5" s="119">
        <f>'Financial Statement'!E9</f>
        <v>39933.39</v>
      </c>
      <c r="F5" s="119">
        <f>'Financial Statement'!F9</f>
        <v>43343.05</v>
      </c>
      <c r="G5" s="119">
        <f>'Financial Statement'!G9</f>
        <v>42391.16</v>
      </c>
      <c r="H5" s="119">
        <f>'Financial Statement'!H9</f>
        <v>41431.49</v>
      </c>
      <c r="I5" s="235">
        <f>'Financial Statement'!I9</f>
        <v>43503.0645</v>
      </c>
      <c r="J5" s="235">
        <f>'Financial Statement'!J9</f>
        <v>45678.217725000002</v>
      </c>
      <c r="K5" s="235">
        <f>'Financial Statement'!K9</f>
        <v>47962.128611250002</v>
      </c>
      <c r="L5" s="235">
        <f>'Financial Statement'!L9</f>
        <v>50360.235041812506</v>
      </c>
      <c r="M5" s="235">
        <f>'Financial Statement'!M9</f>
        <v>52878.246793903134</v>
      </c>
    </row>
    <row r="6" spans="1:13" ht="18" customHeight="1" x14ac:dyDescent="0.45">
      <c r="A6" s="127" t="s">
        <v>535</v>
      </c>
      <c r="B6" s="119">
        <f>Assumptions!B48</f>
        <v>197438.06</v>
      </c>
      <c r="C6" s="119">
        <f>Assumptions!C48</f>
        <v>200236.06</v>
      </c>
      <c r="D6" s="119">
        <f>Assumptions!D48</f>
        <v>194915.03</v>
      </c>
      <c r="E6" s="119">
        <f>Assumptions!E48</f>
        <v>187107.75</v>
      </c>
      <c r="F6" s="119">
        <f>Assumptions!F48</f>
        <v>179976.76</v>
      </c>
      <c r="G6" s="119">
        <f>Assumptions!G48</f>
        <v>172372.68</v>
      </c>
      <c r="H6" s="119">
        <f>Assumptions!H48</f>
        <v>166033.9</v>
      </c>
      <c r="I6" s="235">
        <f>Assumptions!I48</f>
        <v>165203.73050000001</v>
      </c>
      <c r="J6" s="235">
        <f>Assumptions!J48</f>
        <v>164377.7118475</v>
      </c>
      <c r="K6" s="235">
        <f>Assumptions!K48</f>
        <v>163555.8232882625</v>
      </c>
      <c r="L6" s="235">
        <f>Assumptions!L48</f>
        <v>162738.04417182118</v>
      </c>
      <c r="M6" s="235">
        <f>Assumptions!M48</f>
        <v>161924.35395096208</v>
      </c>
    </row>
    <row r="7" spans="1:13" ht="18" customHeight="1" x14ac:dyDescent="0.45">
      <c r="A7" s="120" t="s">
        <v>536</v>
      </c>
      <c r="B7" s="121">
        <f>'Financial Statement'!B85</f>
        <v>-19462.03</v>
      </c>
      <c r="C7" s="121">
        <f>'Financial Statement'!C85</f>
        <v>-8006.12</v>
      </c>
      <c r="D7" s="121">
        <f>'Financial Statement'!D85</f>
        <v>-6389.23</v>
      </c>
      <c r="E7" s="121">
        <f>'Financial Statement'!E85</f>
        <v>-3645.32</v>
      </c>
      <c r="F7" s="121">
        <f>'Financial Statement'!F85</f>
        <v>-3064.54</v>
      </c>
      <c r="G7" s="121">
        <f>'Financial Statement'!G85</f>
        <v>-5517.74</v>
      </c>
      <c r="H7" s="121">
        <f>'Financial Statement'!H85</f>
        <v>-5142.74</v>
      </c>
      <c r="I7" s="94">
        <f>'Financial Statement'!I85</f>
        <v>-5399.8770000000004</v>
      </c>
      <c r="J7" s="94">
        <f>'Financial Statement'!J85</f>
        <v>-5669.8708500000002</v>
      </c>
      <c r="K7" s="94">
        <f>'Financial Statement'!K85</f>
        <v>-5953.3643925000006</v>
      </c>
      <c r="L7" s="94">
        <f>'Financial Statement'!L85</f>
        <v>-6251.0326121250009</v>
      </c>
      <c r="M7" s="94">
        <f>'Financial Statement'!M85</f>
        <v>-6563.5842427312509</v>
      </c>
    </row>
    <row r="8" spans="1:13" ht="18" customHeight="1" x14ac:dyDescent="0.45">
      <c r="A8" s="120" t="s">
        <v>537</v>
      </c>
      <c r="B8" s="122">
        <f>B7/B5</f>
        <v>-0.57041418418763434</v>
      </c>
      <c r="C8" s="122">
        <f t="shared" ref="C8:H8" si="0">C7/C5</f>
        <v>-0.22125191443875095</v>
      </c>
      <c r="D8" s="122">
        <f t="shared" si="0"/>
        <v>-0.16963015373423795</v>
      </c>
      <c r="E8" s="122">
        <f t="shared" si="0"/>
        <v>-9.1285012366843887E-2</v>
      </c>
      <c r="F8" s="122">
        <f t="shared" si="0"/>
        <v>-7.0704299766629244E-2</v>
      </c>
      <c r="G8" s="122">
        <f t="shared" si="0"/>
        <v>-0.1301625150149229</v>
      </c>
      <c r="H8" s="122">
        <f t="shared" si="0"/>
        <v>-0.12412635896029807</v>
      </c>
      <c r="I8" s="123">
        <v>0.13</v>
      </c>
      <c r="J8" s="123">
        <v>0.13</v>
      </c>
      <c r="K8" s="123">
        <v>0.13</v>
      </c>
      <c r="L8" s="123">
        <v>0.13</v>
      </c>
      <c r="M8" s="123">
        <v>0.13</v>
      </c>
    </row>
    <row r="9" spans="1:13" ht="18" customHeight="1" x14ac:dyDescent="0.45">
      <c r="A9" s="120" t="s">
        <v>99</v>
      </c>
      <c r="B9" s="119">
        <f>'Financial Statement'!B17</f>
        <v>10200.67</v>
      </c>
      <c r="C9" s="119">
        <f>'Financial Statement'!C17</f>
        <v>11073.18</v>
      </c>
      <c r="D9" s="119">
        <f>'Financial Statement'!D17</f>
        <v>11711.68</v>
      </c>
      <c r="E9" s="119">
        <f>'Financial Statement'!E17</f>
        <v>12550.58</v>
      </c>
      <c r="F9" s="119">
        <f>'Financial Statement'!F17</f>
        <v>12939.88</v>
      </c>
      <c r="G9" s="119">
        <f>'Financial Statement'!G17</f>
        <v>12558.19</v>
      </c>
      <c r="H9" s="119">
        <f>'Financial Statement'!H17</f>
        <v>12352.23</v>
      </c>
      <c r="I9" s="235">
        <f>'Financial Statement'!I17</f>
        <v>12290.468849999999</v>
      </c>
      <c r="J9" s="235">
        <f>'Financial Statement'!J17</f>
        <v>12229.01650575</v>
      </c>
      <c r="K9" s="235">
        <f>'Financial Statement'!K17</f>
        <v>12167.87142322125</v>
      </c>
      <c r="L9" s="235">
        <f>'Financial Statement'!L17</f>
        <v>12107.032066105143</v>
      </c>
      <c r="M9" s="235">
        <f>'Financial Statement'!M17</f>
        <v>12046.496905774617</v>
      </c>
    </row>
    <row r="10" spans="1:13" ht="18" customHeight="1" x14ac:dyDescent="0.45">
      <c r="A10" s="120" t="s">
        <v>538</v>
      </c>
      <c r="B10" s="122">
        <f>B9/(B6+(B7*0.5))</f>
        <v>5.4343564995123127E-2</v>
      </c>
      <c r="C10" s="122">
        <f t="shared" ref="C10:J10" si="1">C9/(C6+(C7*0.5))</f>
        <v>5.6428735228019757E-2</v>
      </c>
      <c r="D10" s="122">
        <f t="shared" si="1"/>
        <v>6.108728692246989E-2</v>
      </c>
      <c r="E10" s="122">
        <f t="shared" si="1"/>
        <v>6.7736589058515179E-2</v>
      </c>
      <c r="F10" s="122">
        <f t="shared" si="1"/>
        <v>7.2514875634433984E-2</v>
      </c>
      <c r="G10" s="122">
        <f t="shared" si="1"/>
        <v>7.4039902764993018E-2</v>
      </c>
      <c r="H10" s="122">
        <f t="shared" si="1"/>
        <v>7.5566125154186703E-2</v>
      </c>
      <c r="I10" s="126">
        <f t="shared" si="1"/>
        <v>7.563188956230632E-2</v>
      </c>
      <c r="J10" s="126">
        <f t="shared" si="1"/>
        <v>7.5701413437182438E-2</v>
      </c>
      <c r="K10" s="126">
        <f t="shared" ref="K10" si="2">K9/(K6+(K7*0.5))</f>
        <v>7.577491908646472E-2</v>
      </c>
      <c r="L10" s="126">
        <f t="shared" ref="L10:M10" si="3">L9/(L6+(L7*0.5))</f>
        <v>7.5852642821919974E-2</v>
      </c>
      <c r="M10" s="126">
        <f t="shared" si="3"/>
        <v>7.5934835940900794E-2</v>
      </c>
    </row>
    <row r="11" spans="1:13" ht="19.5" customHeight="1" x14ac:dyDescent="0.45">
      <c r="A11" s="118" t="s">
        <v>539</v>
      </c>
      <c r="B11" s="124">
        <v>197438.06</v>
      </c>
      <c r="C11" s="124">
        <v>200236.06</v>
      </c>
      <c r="D11" s="124">
        <v>194915.03</v>
      </c>
      <c r="E11" s="124">
        <v>187107.75</v>
      </c>
      <c r="F11" s="124">
        <v>179976.76</v>
      </c>
      <c r="G11" s="124">
        <v>172372.68</v>
      </c>
      <c r="H11" s="124">
        <v>166033.9</v>
      </c>
      <c r="I11" s="125">
        <f>I6+I7-I9</f>
        <v>147513.38464999999</v>
      </c>
      <c r="J11" s="125">
        <f>J6+J7-J9</f>
        <v>146478.82449174998</v>
      </c>
      <c r="K11" s="125">
        <f>K6+K7-K9</f>
        <v>145434.58747254126</v>
      </c>
      <c r="L11" s="125">
        <f>L6+L7-L9</f>
        <v>144379.97949359103</v>
      </c>
      <c r="M11" s="125">
        <f>M6+M7-M9</f>
        <v>143314.27280245622</v>
      </c>
    </row>
    <row r="12" spans="1:13" ht="6" customHeight="1" x14ac:dyDescent="0.45"/>
    <row r="13" spans="1:13" ht="13.5" customHeight="1" x14ac:dyDescent="0.45">
      <c r="A13" s="273" t="s">
        <v>540</v>
      </c>
      <c r="B13" s="273"/>
      <c r="C13" s="273"/>
      <c r="D13" s="273"/>
      <c r="E13" s="273"/>
      <c r="F13" s="273"/>
      <c r="G13" s="273"/>
      <c r="H13" s="273"/>
      <c r="I13" s="273"/>
      <c r="J13" s="273"/>
      <c r="K13" s="273"/>
      <c r="L13" s="273"/>
      <c r="M13" s="273"/>
    </row>
    <row r="14" spans="1:13" ht="13.5" customHeight="1" x14ac:dyDescent="0.45">
      <c r="A14" s="274" t="s">
        <v>541</v>
      </c>
      <c r="B14" s="274"/>
      <c r="C14" s="274"/>
      <c r="D14" s="274"/>
      <c r="E14" s="274"/>
      <c r="F14" s="274"/>
      <c r="G14" s="274"/>
      <c r="H14" s="274"/>
      <c r="I14" s="274"/>
      <c r="J14" s="274"/>
      <c r="K14" s="274"/>
      <c r="L14" s="274"/>
      <c r="M14" s="274"/>
    </row>
    <row r="15" spans="1:13" ht="13.5" customHeight="1" x14ac:dyDescent="0.45">
      <c r="A15" s="274" t="s">
        <v>542</v>
      </c>
      <c r="B15" s="274"/>
      <c r="C15" s="274"/>
      <c r="D15" s="274"/>
      <c r="E15" s="274"/>
      <c r="F15" s="274"/>
      <c r="G15" s="274"/>
      <c r="H15" s="274"/>
      <c r="I15" s="274"/>
      <c r="J15" s="274"/>
      <c r="K15" s="274"/>
      <c r="L15" s="274"/>
      <c r="M15" s="274"/>
    </row>
    <row r="16" spans="1:13" ht="13.5" customHeight="1" x14ac:dyDescent="0.45">
      <c r="A16" s="275" t="s">
        <v>543</v>
      </c>
      <c r="B16" s="274"/>
      <c r="C16" s="274"/>
      <c r="D16" s="274"/>
      <c r="E16" s="274"/>
      <c r="F16" s="274"/>
      <c r="G16" s="274"/>
      <c r="H16" s="274"/>
      <c r="I16" s="274"/>
      <c r="J16" s="274"/>
      <c r="K16" s="274"/>
      <c r="L16" s="274"/>
      <c r="M16" s="274"/>
    </row>
    <row r="17" spans="1:13" ht="13.5" customHeight="1" x14ac:dyDescent="0.45">
      <c r="A17" s="274" t="s">
        <v>544</v>
      </c>
      <c r="B17" s="274"/>
      <c r="C17" s="274"/>
      <c r="D17" s="274"/>
      <c r="E17" s="274"/>
      <c r="F17" s="274"/>
      <c r="G17" s="274"/>
      <c r="H17" s="274"/>
      <c r="I17" s="274"/>
      <c r="J17" s="274"/>
      <c r="K17" s="274"/>
      <c r="L17" s="274"/>
      <c r="M17" s="274"/>
    </row>
    <row r="18" spans="1:13" ht="13.5" customHeight="1" x14ac:dyDescent="0.45">
      <c r="A18" s="274" t="s">
        <v>545</v>
      </c>
      <c r="B18" s="274"/>
      <c r="C18" s="274"/>
      <c r="D18" s="274"/>
      <c r="E18" s="274"/>
      <c r="F18" s="274"/>
      <c r="G18" s="274"/>
      <c r="H18" s="274"/>
      <c r="I18" s="274"/>
      <c r="J18" s="274"/>
      <c r="K18" s="274"/>
      <c r="L18" s="274"/>
      <c r="M18" s="274"/>
    </row>
    <row r="19" spans="1:13" ht="13.5" customHeight="1" x14ac:dyDescent="0.45">
      <c r="A19" s="274" t="s">
        <v>546</v>
      </c>
      <c r="B19" s="274"/>
      <c r="C19" s="274"/>
      <c r="D19" s="274"/>
      <c r="E19" s="274"/>
      <c r="F19" s="274"/>
      <c r="G19" s="274"/>
      <c r="H19" s="274"/>
      <c r="I19" s="274"/>
      <c r="J19" s="274"/>
      <c r="K19" s="274"/>
      <c r="L19" s="274"/>
      <c r="M19" s="274"/>
    </row>
    <row r="20" spans="1:13" ht="13.5" customHeight="1" x14ac:dyDescent="0.45">
      <c r="A20" s="274" t="s">
        <v>547</v>
      </c>
      <c r="B20" s="274"/>
      <c r="C20" s="274"/>
      <c r="D20" s="274"/>
      <c r="E20" s="274"/>
      <c r="F20" s="274"/>
      <c r="G20" s="274"/>
      <c r="H20" s="274"/>
      <c r="I20" s="274"/>
      <c r="J20" s="274"/>
      <c r="K20" s="274"/>
      <c r="L20" s="274"/>
      <c r="M20" s="274"/>
    </row>
  </sheetData>
  <mergeCells count="10">
    <mergeCell ref="B2:H2"/>
    <mergeCell ref="I2:M2"/>
    <mergeCell ref="A13:M13"/>
    <mergeCell ref="A14:M14"/>
    <mergeCell ref="A20:M20"/>
    <mergeCell ref="A15:M15"/>
    <mergeCell ref="A16:M16"/>
    <mergeCell ref="A17:M17"/>
    <mergeCell ref="A18:M18"/>
    <mergeCell ref="A19:M1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9FF7B-EB37-4A74-9492-4929A5F8D2D9}">
  <dimension ref="A1:J32"/>
  <sheetViews>
    <sheetView topLeftCell="A11" workbookViewId="0">
      <selection activeCell="A29" sqref="A29:G29"/>
    </sheetView>
  </sheetViews>
  <sheetFormatPr defaultColWidth="8.6640625" defaultRowHeight="14.25" x14ac:dyDescent="0.45"/>
  <cols>
    <col min="1" max="1" width="26" customWidth="1"/>
    <col min="2" max="2" width="16" customWidth="1"/>
    <col min="3" max="3" width="4" customWidth="1"/>
    <col min="4" max="6" width="16" customWidth="1"/>
    <col min="7" max="7" width="14" customWidth="1"/>
    <col min="8" max="8" width="2" customWidth="1"/>
    <col min="9" max="9" width="14" customWidth="1"/>
    <col min="10" max="10" width="10" customWidth="1"/>
  </cols>
  <sheetData>
    <row r="1" spans="1:10" ht="16.899999999999999" x14ac:dyDescent="0.45">
      <c r="A1" s="346" t="s">
        <v>554</v>
      </c>
      <c r="B1" s="346"/>
      <c r="I1" s="130" t="s">
        <v>555</v>
      </c>
      <c r="J1" s="130" t="s">
        <v>556</v>
      </c>
    </row>
    <row r="2" spans="1:10" x14ac:dyDescent="0.45">
      <c r="I2" s="3" t="s">
        <v>551</v>
      </c>
      <c r="J2" s="131">
        <f>B8</f>
        <v>0.58681155141568986</v>
      </c>
    </row>
    <row r="3" spans="1:10" x14ac:dyDescent="0.45">
      <c r="I3" s="3" t="s">
        <v>552</v>
      </c>
      <c r="J3" s="131">
        <f>B9</f>
        <v>0.41318844858431025</v>
      </c>
    </row>
    <row r="4" spans="1:10" x14ac:dyDescent="0.45">
      <c r="A4" s="345" t="s">
        <v>548</v>
      </c>
      <c r="B4" s="345"/>
    </row>
    <row r="5" spans="1:10" x14ac:dyDescent="0.45">
      <c r="A5" s="3" t="s">
        <v>549</v>
      </c>
      <c r="B5" s="3">
        <v>130964.96</v>
      </c>
    </row>
    <row r="6" spans="1:10" x14ac:dyDescent="0.45">
      <c r="A6" s="3" t="s">
        <v>496</v>
      </c>
      <c r="B6" s="132">
        <f>'Financial Statement'!H37</f>
        <v>92215.65</v>
      </c>
    </row>
    <row r="7" spans="1:10" x14ac:dyDescent="0.45">
      <c r="A7" s="3" t="s">
        <v>550</v>
      </c>
      <c r="B7" s="3">
        <f>B5+B6</f>
        <v>223180.61</v>
      </c>
    </row>
    <row r="8" spans="1:10" x14ac:dyDescent="0.45">
      <c r="A8" s="3" t="s">
        <v>551</v>
      </c>
      <c r="B8" s="3">
        <f>B5/B7</f>
        <v>0.58681155141568986</v>
      </c>
    </row>
    <row r="9" spans="1:10" x14ac:dyDescent="0.45">
      <c r="A9" s="3" t="s">
        <v>552</v>
      </c>
      <c r="B9" s="3">
        <f>B6/B7</f>
        <v>0.41318844858431025</v>
      </c>
    </row>
    <row r="10" spans="1:10" x14ac:dyDescent="0.45">
      <c r="A10" s="3" t="s">
        <v>553</v>
      </c>
      <c r="B10" s="3">
        <f>B5/B6</f>
        <v>1.4202031867692742</v>
      </c>
    </row>
    <row r="14" spans="1:10" x14ac:dyDescent="0.45">
      <c r="A14" s="345" t="s">
        <v>557</v>
      </c>
      <c r="B14" s="345"/>
      <c r="D14" s="345" t="s">
        <v>558</v>
      </c>
      <c r="E14" s="345"/>
      <c r="F14" s="345"/>
      <c r="G14" s="345"/>
    </row>
    <row r="15" spans="1:10" x14ac:dyDescent="0.45">
      <c r="A15" s="3" t="s">
        <v>559</v>
      </c>
      <c r="B15" s="3">
        <v>7.0999999999999994E-2</v>
      </c>
      <c r="D15" s="343" t="s">
        <v>560</v>
      </c>
      <c r="E15" s="343"/>
      <c r="F15" s="343"/>
      <c r="G15" s="3" t="s">
        <v>561</v>
      </c>
    </row>
    <row r="16" spans="1:10" x14ac:dyDescent="0.45">
      <c r="A16" s="3" t="s">
        <v>562</v>
      </c>
      <c r="B16" s="3">
        <v>0.65</v>
      </c>
      <c r="D16" s="343" t="s">
        <v>563</v>
      </c>
      <c r="E16" s="343"/>
      <c r="F16" s="343"/>
      <c r="G16" s="238">
        <v>7.9000000000000001E-2</v>
      </c>
    </row>
    <row r="17" spans="1:7" x14ac:dyDescent="0.45">
      <c r="A17" s="3" t="s">
        <v>564</v>
      </c>
      <c r="B17" s="238">
        <v>6.8500000000000005E-2</v>
      </c>
      <c r="D17" s="343" t="s">
        <v>210</v>
      </c>
      <c r="E17" s="343"/>
      <c r="F17" s="343"/>
      <c r="G17" s="238">
        <v>0.25</v>
      </c>
    </row>
    <row r="18" spans="1:7" x14ac:dyDescent="0.45">
      <c r="A18" s="130" t="s">
        <v>565</v>
      </c>
      <c r="B18" s="236">
        <f>B15+B16*B17</f>
        <v>0.11552499999999999</v>
      </c>
      <c r="D18" s="342" t="s">
        <v>566</v>
      </c>
      <c r="E18" s="342"/>
      <c r="F18" s="342"/>
      <c r="G18" s="236">
        <f>G16*(1-G17)</f>
        <v>5.9249999999999997E-2</v>
      </c>
    </row>
    <row r="21" spans="1:7" x14ac:dyDescent="0.45">
      <c r="A21" s="344" t="s">
        <v>567</v>
      </c>
      <c r="B21" s="344"/>
      <c r="C21" s="344"/>
      <c r="D21" s="344"/>
      <c r="E21" s="344"/>
      <c r="F21" s="344"/>
      <c r="G21" s="344"/>
    </row>
    <row r="22" spans="1:7" x14ac:dyDescent="0.45">
      <c r="A22" s="343" t="s">
        <v>560</v>
      </c>
      <c r="B22" s="343"/>
      <c r="C22" s="343" t="s">
        <v>568</v>
      </c>
      <c r="D22" s="343"/>
      <c r="E22" s="343" t="s">
        <v>561</v>
      </c>
      <c r="F22" s="343"/>
      <c r="G22" s="3" t="s">
        <v>569</v>
      </c>
    </row>
    <row r="23" spans="1:7" x14ac:dyDescent="0.45">
      <c r="A23" s="343" t="s">
        <v>570</v>
      </c>
      <c r="B23" s="343"/>
      <c r="C23" s="343">
        <f>B8</f>
        <v>0.58681155141568986</v>
      </c>
      <c r="D23" s="343"/>
      <c r="E23" s="343">
        <f>G18</f>
        <v>5.9249999999999997E-2</v>
      </c>
      <c r="F23" s="343"/>
      <c r="G23" s="238">
        <f>C23*E23</f>
        <v>3.4768584421379624E-2</v>
      </c>
    </row>
    <row r="24" spans="1:7" x14ac:dyDescent="0.45">
      <c r="A24" s="343" t="s">
        <v>571</v>
      </c>
      <c r="B24" s="343"/>
      <c r="C24" s="343">
        <f>B9</f>
        <v>0.41318844858431025</v>
      </c>
      <c r="D24" s="343"/>
      <c r="E24" s="343">
        <f>B18</f>
        <v>0.11552499999999999</v>
      </c>
      <c r="F24" s="343"/>
      <c r="G24" s="238">
        <f>C24*E24</f>
        <v>4.7733595522702441E-2</v>
      </c>
    </row>
    <row r="25" spans="1:7" x14ac:dyDescent="0.45">
      <c r="A25" s="342" t="s">
        <v>567</v>
      </c>
      <c r="B25" s="342"/>
      <c r="C25" s="342"/>
      <c r="D25" s="342"/>
      <c r="E25" s="342"/>
      <c r="F25" s="342"/>
      <c r="G25" s="236">
        <f>G23+G24</f>
        <v>8.2502179944082071E-2</v>
      </c>
    </row>
    <row r="27" spans="1:7" x14ac:dyDescent="0.45">
      <c r="A27" s="341" t="s">
        <v>572</v>
      </c>
      <c r="B27" s="341"/>
      <c r="C27" s="341"/>
      <c r="D27" s="341"/>
      <c r="E27" s="341"/>
      <c r="F27" s="341"/>
      <c r="G27" s="341"/>
    </row>
    <row r="28" spans="1:7" x14ac:dyDescent="0.45">
      <c r="A28" s="341" t="s">
        <v>573</v>
      </c>
      <c r="B28" s="341"/>
      <c r="C28" s="341"/>
      <c r="D28" s="341"/>
      <c r="E28" s="341"/>
      <c r="F28" s="341"/>
      <c r="G28" s="341"/>
    </row>
    <row r="29" spans="1:7" x14ac:dyDescent="0.45">
      <c r="A29" s="341" t="s">
        <v>574</v>
      </c>
      <c r="B29" s="341"/>
      <c r="C29" s="341"/>
      <c r="D29" s="341"/>
      <c r="E29" s="341"/>
      <c r="F29" s="341"/>
      <c r="G29" s="341"/>
    </row>
    <row r="30" spans="1:7" x14ac:dyDescent="0.45">
      <c r="A30" s="341" t="s">
        <v>575</v>
      </c>
      <c r="B30" s="341"/>
      <c r="C30" s="341"/>
      <c r="D30" s="341"/>
      <c r="E30" s="341"/>
      <c r="F30" s="341"/>
      <c r="G30" s="341"/>
    </row>
    <row r="31" spans="1:7" x14ac:dyDescent="0.45">
      <c r="A31" s="341" t="s">
        <v>576</v>
      </c>
      <c r="B31" s="341"/>
      <c r="C31" s="341"/>
      <c r="D31" s="341"/>
      <c r="E31" s="341"/>
      <c r="F31" s="341"/>
      <c r="G31" s="341"/>
    </row>
    <row r="32" spans="1:7" x14ac:dyDescent="0.45">
      <c r="A32" s="341" t="s">
        <v>577</v>
      </c>
      <c r="B32" s="341"/>
      <c r="C32" s="341"/>
      <c r="D32" s="341"/>
      <c r="E32" s="341"/>
      <c r="F32" s="341"/>
      <c r="G32" s="341"/>
    </row>
  </sheetData>
  <mergeCells count="25">
    <mergeCell ref="A4:B4"/>
    <mergeCell ref="A14:B14"/>
    <mergeCell ref="D14:G14"/>
    <mergeCell ref="A1:B1"/>
    <mergeCell ref="D15:F15"/>
    <mergeCell ref="D16:F16"/>
    <mergeCell ref="D17:F17"/>
    <mergeCell ref="D18:F18"/>
    <mergeCell ref="A21:G21"/>
    <mergeCell ref="A22:B22"/>
    <mergeCell ref="C22:D22"/>
    <mergeCell ref="E22:F22"/>
    <mergeCell ref="A23:B23"/>
    <mergeCell ref="C23:D23"/>
    <mergeCell ref="E23:F23"/>
    <mergeCell ref="A24:B24"/>
    <mergeCell ref="C24:D24"/>
    <mergeCell ref="E24:F24"/>
    <mergeCell ref="A31:G31"/>
    <mergeCell ref="A32:G32"/>
    <mergeCell ref="A25:F25"/>
    <mergeCell ref="A27:G27"/>
    <mergeCell ref="A28:G28"/>
    <mergeCell ref="A29:G29"/>
    <mergeCell ref="A30:G3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A6E7B-2DA1-4E34-A26A-50052D4172EA}">
  <dimension ref="A1:L54"/>
  <sheetViews>
    <sheetView topLeftCell="A13" workbookViewId="0">
      <selection activeCell="J22" sqref="J22"/>
    </sheetView>
  </sheetViews>
  <sheetFormatPr defaultColWidth="8.6640625" defaultRowHeight="14.25" x14ac:dyDescent="0.45"/>
  <cols>
    <col min="1" max="1" width="42.1328125" customWidth="1"/>
    <col min="2" max="8" width="14" customWidth="1"/>
    <col min="9" max="9" width="11.1328125" customWidth="1"/>
    <col min="10" max="10" width="24.33203125" customWidth="1"/>
    <col min="11" max="11" width="19" customWidth="1"/>
    <col min="12" max="12" width="22.53125" customWidth="1"/>
    <col min="13" max="15" width="14" customWidth="1"/>
  </cols>
  <sheetData>
    <row r="1" spans="1:12" ht="21.75" customHeight="1" x14ac:dyDescent="0.45">
      <c r="A1" s="348" t="s">
        <v>578</v>
      </c>
      <c r="B1" s="348"/>
      <c r="C1" s="348"/>
      <c r="D1" s="348"/>
      <c r="E1" s="348"/>
      <c r="K1" s="130" t="s">
        <v>555</v>
      </c>
      <c r="L1" s="130" t="s">
        <v>556</v>
      </c>
    </row>
    <row r="2" spans="1:12" ht="19.899999999999999" customHeight="1" x14ac:dyDescent="0.45">
      <c r="K2" s="3" t="s">
        <v>579</v>
      </c>
      <c r="L2" s="132">
        <f>C9</f>
        <v>330</v>
      </c>
    </row>
    <row r="3" spans="1:12" ht="16.5" customHeight="1" x14ac:dyDescent="0.45">
      <c r="A3" s="366" t="s">
        <v>580</v>
      </c>
      <c r="B3" s="366"/>
      <c r="C3" s="366"/>
      <c r="D3" s="366"/>
      <c r="K3" s="3" t="s">
        <v>581</v>
      </c>
      <c r="L3" s="133">
        <f>C33</f>
        <v>640.58711467853402</v>
      </c>
    </row>
    <row r="4" spans="1:12" ht="16.5" customHeight="1" x14ac:dyDescent="0.45">
      <c r="A4" s="357" t="s">
        <v>210</v>
      </c>
      <c r="B4" s="357"/>
      <c r="C4" s="367">
        <f>WACC!G17</f>
        <v>0.25</v>
      </c>
      <c r="D4" s="365"/>
      <c r="K4" s="3" t="s">
        <v>582</v>
      </c>
      <c r="L4" s="3" t="str">
        <f>J24</f>
        <v>Intrinsic Value of Share</v>
      </c>
    </row>
    <row r="5" spans="1:12" ht="16.5" customHeight="1" x14ac:dyDescent="0.45">
      <c r="A5" s="357" t="s">
        <v>583</v>
      </c>
      <c r="B5" s="357"/>
      <c r="C5" s="368">
        <f>WACC!G25</f>
        <v>8.2502179944082071E-2</v>
      </c>
      <c r="D5" s="368"/>
    </row>
    <row r="6" spans="1:12" ht="16.5" customHeight="1" x14ac:dyDescent="0.45">
      <c r="A6" s="357" t="s">
        <v>584</v>
      </c>
      <c r="B6" s="357"/>
      <c r="C6" s="365" t="s">
        <v>585</v>
      </c>
      <c r="D6" s="365"/>
    </row>
    <row r="7" spans="1:12" ht="16.5" customHeight="1" x14ac:dyDescent="0.45">
      <c r="A7" s="357" t="s">
        <v>586</v>
      </c>
      <c r="B7" s="357"/>
      <c r="C7" s="365" t="s">
        <v>587</v>
      </c>
      <c r="D7" s="365"/>
    </row>
    <row r="8" spans="1:12" ht="16.5" customHeight="1" x14ac:dyDescent="0.45">
      <c r="A8" s="357" t="s">
        <v>588</v>
      </c>
      <c r="B8" s="357"/>
      <c r="C8" s="365" t="s">
        <v>589</v>
      </c>
      <c r="D8" s="365"/>
    </row>
    <row r="9" spans="1:12" ht="16.5" customHeight="1" x14ac:dyDescent="0.45">
      <c r="A9" s="357" t="s">
        <v>590</v>
      </c>
      <c r="B9" s="357"/>
      <c r="C9" s="358">
        <v>330</v>
      </c>
      <c r="D9" s="358"/>
    </row>
    <row r="10" spans="1:12" ht="16.5" customHeight="1" x14ac:dyDescent="0.45">
      <c r="A10" s="357" t="s">
        <v>591</v>
      </c>
      <c r="B10" s="357"/>
      <c r="C10" s="358">
        <v>930.06</v>
      </c>
      <c r="D10" s="358"/>
    </row>
    <row r="11" spans="1:12" ht="16.5" customHeight="1" x14ac:dyDescent="0.45">
      <c r="A11" s="357" t="s">
        <v>592</v>
      </c>
      <c r="B11" s="357"/>
      <c r="C11" s="358">
        <v>130964.96</v>
      </c>
      <c r="D11" s="358"/>
    </row>
    <row r="12" spans="1:12" ht="16.5" customHeight="1" x14ac:dyDescent="0.45">
      <c r="A12" s="357" t="s">
        <v>593</v>
      </c>
      <c r="B12" s="357"/>
      <c r="C12" s="358">
        <v>6419.4</v>
      </c>
      <c r="D12" s="358"/>
    </row>
    <row r="13" spans="1:12" ht="7.5" customHeight="1" x14ac:dyDescent="0.45"/>
    <row r="14" spans="1:12" ht="16.5" customHeight="1" x14ac:dyDescent="0.45">
      <c r="H14" s="70" t="s">
        <v>594</v>
      </c>
    </row>
    <row r="15" spans="1:12" ht="16.5" customHeight="1" x14ac:dyDescent="0.45">
      <c r="A15" s="359" t="s">
        <v>595</v>
      </c>
      <c r="B15" s="359"/>
      <c r="C15" s="359"/>
      <c r="D15" s="359"/>
      <c r="E15" s="359"/>
      <c r="F15" s="359"/>
      <c r="G15" s="359"/>
      <c r="H15" s="359"/>
      <c r="J15" s="360" t="s">
        <v>596</v>
      </c>
      <c r="K15" s="360"/>
    </row>
    <row r="16" spans="1:12" ht="32.65" customHeight="1" x14ac:dyDescent="0.45">
      <c r="A16" s="134" t="s">
        <v>597</v>
      </c>
      <c r="B16" s="135" t="s">
        <v>598</v>
      </c>
      <c r="C16" s="135" t="s">
        <v>599</v>
      </c>
      <c r="D16" s="135" t="s">
        <v>600</v>
      </c>
      <c r="E16" s="135" t="s">
        <v>601</v>
      </c>
      <c r="F16" s="135" t="s">
        <v>602</v>
      </c>
      <c r="G16" s="361" t="s">
        <v>603</v>
      </c>
      <c r="H16" s="361"/>
      <c r="J16" s="3" t="s">
        <v>604</v>
      </c>
      <c r="K16" s="3">
        <f>SUM(B28:F28)</f>
        <v>125461.86351038012</v>
      </c>
    </row>
    <row r="17" spans="1:11" ht="16.5" customHeight="1" x14ac:dyDescent="0.45">
      <c r="A17" s="134" t="s">
        <v>229</v>
      </c>
      <c r="B17" s="136">
        <v>2026</v>
      </c>
      <c r="C17" s="136">
        <v>2027</v>
      </c>
      <c r="D17" s="136">
        <v>2028</v>
      </c>
      <c r="E17" s="136">
        <v>2029</v>
      </c>
      <c r="F17" s="136">
        <v>2030</v>
      </c>
      <c r="G17" s="361"/>
      <c r="H17" s="361"/>
      <c r="J17" s="3" t="s">
        <v>610</v>
      </c>
      <c r="K17" s="3">
        <f>G24</f>
        <v>1313605.2407115409</v>
      </c>
    </row>
    <row r="18" spans="1:11" ht="16.5" customHeight="1" x14ac:dyDescent="0.45">
      <c r="A18" s="3" t="s">
        <v>486</v>
      </c>
      <c r="B18" s="132">
        <f>'Financial Statement'!I18</f>
        <v>30174.197950000002</v>
      </c>
      <c r="C18" s="132">
        <f>'Financial Statement'!J18</f>
        <v>32350.040292250007</v>
      </c>
      <c r="D18" s="132">
        <f>'Financial Statement'!K18</f>
        <v>34631.325685378753</v>
      </c>
      <c r="E18" s="132">
        <f>'Financial Statement'!L18</f>
        <v>37023.355950224264</v>
      </c>
      <c r="F18" s="132">
        <f>'Financial Statement'!M18</f>
        <v>39531.698771017182</v>
      </c>
      <c r="G18" s="3"/>
      <c r="H18" s="3"/>
      <c r="J18" s="3" t="s">
        <v>611</v>
      </c>
      <c r="K18" s="3">
        <f>G28</f>
        <v>883732.80024545442</v>
      </c>
    </row>
    <row r="19" spans="1:11" ht="16.5" customHeight="1" x14ac:dyDescent="0.45">
      <c r="A19" s="3" t="s">
        <v>210</v>
      </c>
      <c r="B19" s="237">
        <f>C4</f>
        <v>0.25</v>
      </c>
      <c r="C19" s="237">
        <f>C4</f>
        <v>0.25</v>
      </c>
      <c r="D19" s="237">
        <f>C4</f>
        <v>0.25</v>
      </c>
      <c r="E19" s="237">
        <f>C4</f>
        <v>0.25</v>
      </c>
      <c r="F19" s="237">
        <f>C4</f>
        <v>0.25</v>
      </c>
      <c r="G19" s="3"/>
      <c r="H19" s="3"/>
      <c r="J19" s="141" t="s">
        <v>612</v>
      </c>
      <c r="K19" s="142">
        <f>K16+K18</f>
        <v>1009194.6637558346</v>
      </c>
    </row>
    <row r="20" spans="1:11" ht="16.5" customHeight="1" x14ac:dyDescent="0.45">
      <c r="A20" s="3" t="s">
        <v>613</v>
      </c>
      <c r="B20" s="3">
        <f>B18*(1-C4)</f>
        <v>22630.648462500001</v>
      </c>
      <c r="C20" s="3">
        <f>C18*(1-C4)</f>
        <v>24262.530219187505</v>
      </c>
      <c r="D20" s="3">
        <f>D18*(1-C4)</f>
        <v>25973.494264034067</v>
      </c>
      <c r="E20" s="3">
        <f>E18*(1-C4)</f>
        <v>27767.516962668196</v>
      </c>
      <c r="F20" s="3">
        <f>F18*(1-C4)</f>
        <v>29648.774078262886</v>
      </c>
      <c r="G20" s="3"/>
      <c r="H20" s="3"/>
      <c r="J20" s="3" t="s">
        <v>614</v>
      </c>
      <c r="K20" s="3">
        <f>C11</f>
        <v>130964.96</v>
      </c>
    </row>
    <row r="21" spans="1:11" ht="16.5" customHeight="1" x14ac:dyDescent="0.45">
      <c r="A21" s="3" t="s">
        <v>515</v>
      </c>
      <c r="B21" s="132">
        <f>'Financial Statement'!I17</f>
        <v>12290.468849999999</v>
      </c>
      <c r="C21" s="132">
        <f>'Financial Statement'!J17</f>
        <v>12229.01650575</v>
      </c>
      <c r="D21" s="132">
        <f>'Financial Statement'!K17</f>
        <v>12167.87142322125</v>
      </c>
      <c r="E21" s="132">
        <f>'Financial Statement'!L17</f>
        <v>12107.032066105143</v>
      </c>
      <c r="F21" s="132">
        <f>'Financial Statement'!M17</f>
        <v>12046.496905774617</v>
      </c>
      <c r="G21" s="3"/>
      <c r="H21" s="3"/>
      <c r="J21" s="3" t="s">
        <v>615</v>
      </c>
      <c r="K21" s="3">
        <f>C12</f>
        <v>6419.4</v>
      </c>
    </row>
    <row r="22" spans="1:11" ht="16.5" customHeight="1" x14ac:dyDescent="0.45">
      <c r="A22" s="3" t="s">
        <v>616</v>
      </c>
      <c r="B22" s="3">
        <v>5554.16</v>
      </c>
      <c r="C22" s="3">
        <v>5998.49</v>
      </c>
      <c r="D22" s="3">
        <v>6478.37</v>
      </c>
      <c r="E22" s="3">
        <v>6996.64</v>
      </c>
      <c r="F22" s="3">
        <v>7556.37</v>
      </c>
      <c r="G22" s="3"/>
      <c r="H22" s="3"/>
      <c r="J22" s="141" t="s">
        <v>617</v>
      </c>
      <c r="K22" s="142">
        <f>K19-K20+K21</f>
        <v>884649.10375583463</v>
      </c>
    </row>
    <row r="23" spans="1:11" ht="16.5" customHeight="1" x14ac:dyDescent="0.45">
      <c r="A23" s="3" t="s">
        <v>618</v>
      </c>
      <c r="B23" s="132">
        <f>'Financial Statement'!I81</f>
        <v>-115.37739999999985</v>
      </c>
      <c r="C23" s="132">
        <f>'Financial Statement'!J81</f>
        <v>-113.06302800000117</v>
      </c>
      <c r="D23" s="132">
        <f>'Financial Statement'!K81</f>
        <v>-110.49919655999918</v>
      </c>
      <c r="E23" s="132">
        <f>'Financial Statement'!L81</f>
        <v>-107.70776445119952</v>
      </c>
      <c r="F23" s="132">
        <f>'Financial Statement'!M81</f>
        <v>-104.70821552462428</v>
      </c>
      <c r="G23" s="3"/>
      <c r="H23" s="3"/>
      <c r="J23" s="3" t="s">
        <v>619</v>
      </c>
      <c r="K23" s="3">
        <f>C10</f>
        <v>930.06</v>
      </c>
    </row>
    <row r="24" spans="1:11" ht="16.5" customHeight="1" x14ac:dyDescent="0.45">
      <c r="A24" s="137" t="s">
        <v>620</v>
      </c>
      <c r="B24" s="138">
        <f>B20+B21-B22-B23</f>
        <v>29482.3347125</v>
      </c>
      <c r="C24" s="138">
        <f>C20+C21-C22-C23</f>
        <v>30606.119752937509</v>
      </c>
      <c r="D24" s="138">
        <f>D20+D21-D22-D23</f>
        <v>31773.494883815318</v>
      </c>
      <c r="E24" s="138">
        <f>E20+E21-E22-E23</f>
        <v>32985.616793224544</v>
      </c>
      <c r="F24" s="138">
        <f>F20+F21-F22-F23</f>
        <v>34243.609199562125</v>
      </c>
      <c r="G24" s="362">
        <f>F24*(1+C6)/(C5-C6)</f>
        <v>1313605.2407115409</v>
      </c>
      <c r="H24" s="362"/>
      <c r="J24" s="141" t="s">
        <v>621</v>
      </c>
      <c r="K24" s="142">
        <f>K22/K23</f>
        <v>951.17422935706804</v>
      </c>
    </row>
    <row r="25" spans="1:11" ht="16.5" customHeight="1" x14ac:dyDescent="0.45">
      <c r="A25" s="3" t="s">
        <v>567</v>
      </c>
      <c r="B25" s="238">
        <f>C5</f>
        <v>8.2502179944082071E-2</v>
      </c>
      <c r="C25" s="238">
        <f>C5</f>
        <v>8.2502179944082071E-2</v>
      </c>
      <c r="D25" s="238">
        <f>C5</f>
        <v>8.2502179944082071E-2</v>
      </c>
      <c r="E25" s="238">
        <f>C5</f>
        <v>8.2502179944082071E-2</v>
      </c>
      <c r="F25" s="238">
        <f>C5</f>
        <v>8.2502179944082071E-2</v>
      </c>
      <c r="G25" s="363">
        <f>C5</f>
        <v>8.2502179944082071E-2</v>
      </c>
      <c r="H25" s="363"/>
      <c r="J25" s="3" t="s">
        <v>622</v>
      </c>
      <c r="K25" s="3">
        <f>C9</f>
        <v>330</v>
      </c>
    </row>
    <row r="26" spans="1:11" ht="16.5" customHeight="1" x14ac:dyDescent="0.45">
      <c r="A26" s="3" t="s">
        <v>584</v>
      </c>
      <c r="B26" s="3"/>
      <c r="C26" s="3"/>
      <c r="D26" s="3"/>
      <c r="E26" s="3"/>
      <c r="F26" s="3"/>
      <c r="G26" s="343" t="str">
        <f>C6</f>
        <v>5.50%</v>
      </c>
      <c r="H26" s="343"/>
      <c r="J26" s="3" t="s">
        <v>345</v>
      </c>
      <c r="K26" s="3">
        <f>C10</f>
        <v>930.06</v>
      </c>
    </row>
    <row r="27" spans="1:11" ht="16.5" customHeight="1" x14ac:dyDescent="0.45">
      <c r="A27" s="3" t="s">
        <v>623</v>
      </c>
      <c r="B27" s="238">
        <f>1/(1+C5)^1</f>
        <v>0.92378566854401722</v>
      </c>
      <c r="C27" s="238">
        <f>1/(1+C5)^2</f>
        <v>0.85337996140731687</v>
      </c>
      <c r="D27" s="238">
        <f>1/(1+C5)^3</f>
        <v>0.78834017817072588</v>
      </c>
      <c r="E27" s="238">
        <f>1/(1+C5)^4</f>
        <v>0.72825735853155371</v>
      </c>
      <c r="F27" s="238">
        <f>1/(1+C5)^5</f>
        <v>0.67275371082317137</v>
      </c>
      <c r="G27" s="363">
        <f>1/(1+C5)^5</f>
        <v>0.67275371082317137</v>
      </c>
      <c r="H27" s="363"/>
      <c r="J27" s="3" t="s">
        <v>624</v>
      </c>
      <c r="K27" s="3">
        <f>K25*K26</f>
        <v>306919.8</v>
      </c>
    </row>
    <row r="28" spans="1:11" ht="16.5" customHeight="1" x14ac:dyDescent="0.45">
      <c r="A28" s="139" t="s">
        <v>625</v>
      </c>
      <c r="B28" s="140">
        <f t="shared" ref="B28:G28" si="0">B24*B27</f>
        <v>27235.358282625297</v>
      </c>
      <c r="C28" s="140">
        <f t="shared" si="0"/>
        <v>26118.649293589529</v>
      </c>
      <c r="D28" s="140">
        <f t="shared" si="0"/>
        <v>25048.322617813614</v>
      </c>
      <c r="E28" s="140">
        <f t="shared" si="0"/>
        <v>24022.018155367765</v>
      </c>
      <c r="F28" s="140">
        <f t="shared" si="0"/>
        <v>23037.515160983909</v>
      </c>
      <c r="G28" s="364">
        <f t="shared" si="0"/>
        <v>883732.80024545442</v>
      </c>
      <c r="H28" s="364"/>
    </row>
    <row r="29" spans="1:11" ht="7.5" customHeight="1" x14ac:dyDescent="0.45"/>
    <row r="30" spans="1:11" ht="16.5" customHeight="1" x14ac:dyDescent="0.45"/>
    <row r="31" spans="1:11" ht="16.5" customHeight="1" x14ac:dyDescent="0.45">
      <c r="A31" s="356" t="s">
        <v>626</v>
      </c>
      <c r="B31" s="356"/>
      <c r="C31" s="356"/>
      <c r="D31" s="356"/>
      <c r="F31" s="349" t="s">
        <v>627</v>
      </c>
      <c r="G31" s="350"/>
      <c r="H31" s="350"/>
      <c r="I31" s="350"/>
      <c r="J31" s="350"/>
      <c r="K31" s="351"/>
    </row>
    <row r="32" spans="1:11" ht="16.5" customHeight="1" x14ac:dyDescent="0.45">
      <c r="A32" s="343" t="s">
        <v>579</v>
      </c>
      <c r="B32" s="343"/>
      <c r="C32" s="343">
        <f>C9</f>
        <v>330</v>
      </c>
      <c r="D32" s="343"/>
      <c r="F32" s="343"/>
      <c r="G32" s="343"/>
      <c r="H32" s="354" t="s">
        <v>567</v>
      </c>
      <c r="I32" s="355"/>
      <c r="J32" s="355"/>
      <c r="K32" s="355"/>
    </row>
    <row r="33" spans="1:12" ht="16.5" customHeight="1" x14ac:dyDescent="0.45">
      <c r="A33" s="343" t="s">
        <v>581</v>
      </c>
      <c r="B33" s="343"/>
      <c r="C33" s="343">
        <f>(K24+C9)/2</f>
        <v>640.58711467853402</v>
      </c>
      <c r="D33" s="343"/>
      <c r="F33" s="343">
        <f>K24</f>
        <v>951.17422935706804</v>
      </c>
      <c r="G33" s="343"/>
      <c r="H33" s="157">
        <v>7.2599999999999998E-2</v>
      </c>
      <c r="I33" s="158">
        <v>8.2600000000000007E-2</v>
      </c>
      <c r="J33" s="158">
        <v>9.2600000000000002E-2</v>
      </c>
      <c r="K33" s="158">
        <v>0.1026</v>
      </c>
    </row>
    <row r="34" spans="1:12" ht="16.5" customHeight="1" x14ac:dyDescent="0.45">
      <c r="A34" s="343" t="s">
        <v>582</v>
      </c>
      <c r="B34" s="343"/>
      <c r="C34" s="343" t="str">
        <f>J24</f>
        <v>Intrinsic Value of Share</v>
      </c>
      <c r="D34" s="343"/>
      <c r="F34" s="353" t="s">
        <v>628</v>
      </c>
      <c r="G34" s="3">
        <v>0.03</v>
      </c>
      <c r="H34" s="3">
        <v>657.23</v>
      </c>
      <c r="I34" s="3">
        <v>506.09</v>
      </c>
      <c r="J34" s="3">
        <v>403.27</v>
      </c>
      <c r="K34" s="3">
        <v>328.79</v>
      </c>
    </row>
    <row r="35" spans="1:12" ht="16.5" customHeight="1" x14ac:dyDescent="0.45">
      <c r="A35" s="343" t="s">
        <v>629</v>
      </c>
      <c r="B35" s="343"/>
      <c r="C35" s="343">
        <f>(K24-C9)/C9</f>
        <v>1.882346149566873</v>
      </c>
      <c r="D35" s="343"/>
      <c r="F35" s="353"/>
      <c r="G35" s="3">
        <v>0.04</v>
      </c>
      <c r="H35" s="3">
        <v>864.7</v>
      </c>
      <c r="I35" s="3">
        <v>629.99</v>
      </c>
      <c r="J35" s="3">
        <v>484.54</v>
      </c>
      <c r="K35" s="3">
        <v>385.56</v>
      </c>
    </row>
    <row r="36" spans="1:12" ht="16.5" customHeight="1" x14ac:dyDescent="0.45">
      <c r="A36" s="343" t="s">
        <v>630</v>
      </c>
      <c r="B36" s="343"/>
      <c r="C36" s="343" t="str">
        <f>IF(J24&gt;C9,"Undervalued","Overvalued")</f>
        <v>Undervalued</v>
      </c>
      <c r="D36" s="343"/>
      <c r="F36" s="353"/>
      <c r="G36" s="3">
        <v>0.05</v>
      </c>
      <c r="H36" s="3">
        <v>1255.78</v>
      </c>
      <c r="I36" s="3">
        <v>829.91</v>
      </c>
      <c r="J36" s="3">
        <v>603.96</v>
      </c>
      <c r="K36" s="3">
        <v>463.92</v>
      </c>
    </row>
    <row r="37" spans="1:12" ht="16.5" customHeight="1" x14ac:dyDescent="0.45">
      <c r="A37" s="343" t="s">
        <v>631</v>
      </c>
      <c r="B37" s="343"/>
      <c r="C37" s="343" t="str">
        <f>IF(K24/C9&gt;1.2,"Strong Buy Signal",IF(K24/C9&gt;1,"Buy Signal","Hold / Sell"))</f>
        <v>Strong Buy Signal</v>
      </c>
      <c r="D37" s="343"/>
      <c r="F37" s="353"/>
      <c r="G37" s="3">
        <v>5.5E-2</v>
      </c>
      <c r="H37" s="3">
        <v>1617.98</v>
      </c>
      <c r="I37" s="151">
        <v>984.19</v>
      </c>
      <c r="J37" s="3">
        <v>687.5</v>
      </c>
      <c r="K37" s="3">
        <v>515.45000000000005</v>
      </c>
    </row>
    <row r="38" spans="1:12" ht="24.4" customHeight="1" x14ac:dyDescent="0.45">
      <c r="F38" s="353"/>
      <c r="G38" s="3">
        <v>0.06</v>
      </c>
      <c r="H38" s="3">
        <v>2267.62</v>
      </c>
      <c r="I38" s="3">
        <v>1206.74</v>
      </c>
      <c r="J38" s="3">
        <v>796.66</v>
      </c>
      <c r="K38" s="3">
        <v>579.08000000000004</v>
      </c>
    </row>
    <row r="39" spans="1:12" ht="16.5" customHeight="1" x14ac:dyDescent="0.45">
      <c r="F39" s="353"/>
      <c r="G39" s="3">
        <v>7.0000000000000007E-2</v>
      </c>
      <c r="H39" s="3">
        <v>11062.83</v>
      </c>
      <c r="I39" s="3">
        <v>2181.6999999999998</v>
      </c>
      <c r="J39" s="3">
        <v>1159.8800000000001</v>
      </c>
      <c r="K39" s="3">
        <v>764.87</v>
      </c>
    </row>
    <row r="40" spans="1:12" ht="16.5" customHeight="1" x14ac:dyDescent="0.45"/>
    <row r="41" spans="1:12" ht="16.5" customHeight="1" x14ac:dyDescent="0.45"/>
    <row r="42" spans="1:12" ht="13.5" customHeight="1" x14ac:dyDescent="0.45">
      <c r="A42" s="352" t="s">
        <v>632</v>
      </c>
      <c r="B42" s="352"/>
      <c r="C42" s="352"/>
      <c r="D42" s="352"/>
      <c r="E42" s="352"/>
      <c r="F42" s="352"/>
      <c r="G42" s="352"/>
      <c r="H42" s="352"/>
      <c r="I42" s="352"/>
      <c r="J42" s="352"/>
      <c r="K42" s="352"/>
      <c r="L42" s="352"/>
    </row>
    <row r="43" spans="1:12" ht="13.5" customHeight="1" x14ac:dyDescent="0.45">
      <c r="A43" s="347" t="s">
        <v>633</v>
      </c>
      <c r="B43" s="347"/>
      <c r="C43" s="347"/>
      <c r="D43" s="347"/>
      <c r="E43" s="347"/>
      <c r="F43" s="347"/>
      <c r="G43" s="347"/>
      <c r="H43" s="347"/>
      <c r="I43" s="347"/>
      <c r="J43" s="347"/>
      <c r="K43" s="347"/>
      <c r="L43" s="347"/>
    </row>
    <row r="44" spans="1:12" ht="13.5" customHeight="1" x14ac:dyDescent="0.45">
      <c r="A44" s="347" t="s">
        <v>634</v>
      </c>
      <c r="B44" s="347"/>
      <c r="C44" s="347"/>
      <c r="D44" s="347"/>
      <c r="E44" s="347"/>
      <c r="F44" s="347"/>
      <c r="G44" s="347"/>
      <c r="H44" s="347"/>
      <c r="I44" s="347"/>
      <c r="J44" s="347"/>
      <c r="K44" s="347"/>
      <c r="L44" s="347"/>
    </row>
    <row r="45" spans="1:12" ht="13.5" customHeight="1" x14ac:dyDescent="0.45">
      <c r="A45" s="347" t="s">
        <v>635</v>
      </c>
      <c r="B45" s="347"/>
      <c r="C45" s="347"/>
      <c r="D45" s="347"/>
      <c r="E45" s="347"/>
      <c r="F45" s="347"/>
      <c r="G45" s="347"/>
      <c r="H45" s="347"/>
      <c r="I45" s="347"/>
      <c r="J45" s="347"/>
      <c r="K45" s="347"/>
      <c r="L45" s="347"/>
    </row>
    <row r="46" spans="1:12" ht="13.5" customHeight="1" x14ac:dyDescent="0.45">
      <c r="A46" s="347" t="s">
        <v>636</v>
      </c>
      <c r="B46" s="347"/>
      <c r="C46" s="347"/>
      <c r="D46" s="347"/>
      <c r="E46" s="347"/>
      <c r="F46" s="347"/>
      <c r="G46" s="347"/>
      <c r="H46" s="347"/>
      <c r="I46" s="347"/>
      <c r="J46" s="347"/>
      <c r="K46" s="347"/>
      <c r="L46" s="347"/>
    </row>
    <row r="47" spans="1:12" ht="13.5" customHeight="1" x14ac:dyDescent="0.45">
      <c r="A47" s="347" t="s">
        <v>637</v>
      </c>
      <c r="B47" s="347"/>
      <c r="C47" s="347"/>
      <c r="D47" s="347"/>
      <c r="E47" s="347"/>
      <c r="F47" s="347"/>
      <c r="G47" s="347"/>
      <c r="H47" s="347"/>
      <c r="I47" s="347"/>
      <c r="J47" s="347"/>
      <c r="K47" s="347"/>
      <c r="L47" s="347"/>
    </row>
    <row r="48" spans="1:12" ht="13.5" customHeight="1" x14ac:dyDescent="0.45">
      <c r="A48" s="347" t="s">
        <v>638</v>
      </c>
      <c r="B48" s="347"/>
      <c r="C48" s="347"/>
      <c r="D48" s="347"/>
      <c r="E48" s="347"/>
      <c r="F48" s="347"/>
      <c r="G48" s="347"/>
      <c r="H48" s="347"/>
      <c r="I48" s="347"/>
      <c r="J48" s="347"/>
      <c r="K48" s="347"/>
      <c r="L48" s="347"/>
    </row>
    <row r="49" spans="1:12" ht="13.5" customHeight="1" x14ac:dyDescent="0.45">
      <c r="A49" s="347" t="s">
        <v>639</v>
      </c>
      <c r="B49" s="347"/>
      <c r="C49" s="347"/>
      <c r="D49" s="347"/>
      <c r="E49" s="347"/>
      <c r="F49" s="347"/>
      <c r="G49" s="347"/>
      <c r="H49" s="347"/>
      <c r="I49" s="347"/>
      <c r="J49" s="347"/>
      <c r="K49" s="347"/>
      <c r="L49" s="347"/>
    </row>
    <row r="50" spans="1:12" ht="13.5" customHeight="1" x14ac:dyDescent="0.45">
      <c r="A50" s="347" t="s">
        <v>640</v>
      </c>
      <c r="B50" s="347"/>
      <c r="C50" s="347"/>
      <c r="D50" s="347"/>
      <c r="E50" s="347"/>
      <c r="F50" s="347"/>
      <c r="G50" s="347"/>
      <c r="H50" s="347"/>
      <c r="I50" s="347"/>
      <c r="J50" s="347"/>
      <c r="K50" s="347"/>
      <c r="L50" s="347"/>
    </row>
    <row r="51" spans="1:12" ht="16.5" customHeight="1" x14ac:dyDescent="0.45"/>
    <row r="52" spans="1:12" ht="16.5" customHeight="1" x14ac:dyDescent="0.45"/>
    <row r="53" spans="1:12" ht="16.5" customHeight="1" x14ac:dyDescent="0.45"/>
    <row r="54" spans="1:12" ht="16.5" customHeight="1" x14ac:dyDescent="0.45"/>
  </sheetData>
  <mergeCells count="56">
    <mergeCell ref="A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31:D31"/>
    <mergeCell ref="A12:B12"/>
    <mergeCell ref="C12:D12"/>
    <mergeCell ref="A15:H15"/>
    <mergeCell ref="J15:K15"/>
    <mergeCell ref="G16:H16"/>
    <mergeCell ref="G17:H17"/>
    <mergeCell ref="G24:H24"/>
    <mergeCell ref="G25:H25"/>
    <mergeCell ref="G26:H26"/>
    <mergeCell ref="G27:H27"/>
    <mergeCell ref="G28:H28"/>
    <mergeCell ref="F32:G32"/>
    <mergeCell ref="H32:K32"/>
    <mergeCell ref="A33:B33"/>
    <mergeCell ref="C33:D33"/>
    <mergeCell ref="F33:G33"/>
    <mergeCell ref="A36:B36"/>
    <mergeCell ref="C36:D36"/>
    <mergeCell ref="A37:B37"/>
    <mergeCell ref="C37:D37"/>
    <mergeCell ref="A32:B32"/>
    <mergeCell ref="C32:D32"/>
    <mergeCell ref="A48:L48"/>
    <mergeCell ref="A49:L49"/>
    <mergeCell ref="A50:L50"/>
    <mergeCell ref="A1:E1"/>
    <mergeCell ref="F31:K31"/>
    <mergeCell ref="A42:L42"/>
    <mergeCell ref="A43:L43"/>
    <mergeCell ref="A44:L44"/>
    <mergeCell ref="A45:L45"/>
    <mergeCell ref="A46:L46"/>
    <mergeCell ref="A47:L47"/>
    <mergeCell ref="A34:B34"/>
    <mergeCell ref="C34:D34"/>
    <mergeCell ref="F34:F39"/>
    <mergeCell ref="A35:B35"/>
    <mergeCell ref="C35:D3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BEB7F-EE89-44AF-8419-82A4C8F4646E}">
  <dimension ref="A1:H74"/>
  <sheetViews>
    <sheetView workbookViewId="0">
      <selection activeCell="D6" sqref="D6"/>
    </sheetView>
  </sheetViews>
  <sheetFormatPr defaultColWidth="8.6640625" defaultRowHeight="14.25" x14ac:dyDescent="0.45"/>
  <cols>
    <col min="1" max="1" width="6" customWidth="1"/>
    <col min="2" max="2" width="26" customWidth="1"/>
    <col min="3" max="3" width="22" customWidth="1"/>
    <col min="4" max="4" width="26.46484375" customWidth="1"/>
    <col min="5" max="8" width="14" customWidth="1"/>
  </cols>
  <sheetData>
    <row r="1" spans="1:8" ht="25.5" customHeight="1" x14ac:dyDescent="0.45">
      <c r="A1" s="373" t="s">
        <v>738</v>
      </c>
      <c r="B1" s="373"/>
      <c r="C1" s="373"/>
      <c r="D1" s="373"/>
    </row>
    <row r="2" spans="1:8" ht="18.399999999999999" customHeight="1" x14ac:dyDescent="0.45"/>
    <row r="3" spans="1:8" ht="16.5" customHeight="1" x14ac:dyDescent="0.45">
      <c r="A3" s="369" t="s">
        <v>707</v>
      </c>
      <c r="B3" s="370"/>
      <c r="C3" s="370"/>
      <c r="D3" s="370"/>
      <c r="E3" s="370"/>
      <c r="F3" s="370"/>
      <c r="G3" s="370"/>
      <c r="H3" s="370"/>
    </row>
    <row r="4" spans="1:8" ht="16.5" customHeight="1" x14ac:dyDescent="0.45">
      <c r="B4" s="371" t="s">
        <v>708</v>
      </c>
      <c r="C4" s="371"/>
      <c r="D4" s="152">
        <v>0.08</v>
      </c>
    </row>
    <row r="5" spans="1:8" ht="16.5" customHeight="1" x14ac:dyDescent="0.45">
      <c r="B5" s="371" t="s">
        <v>709</v>
      </c>
      <c r="C5" s="371"/>
      <c r="D5" s="152">
        <v>0.11550000000000001</v>
      </c>
    </row>
    <row r="6" spans="1:8" ht="16.5" customHeight="1" x14ac:dyDescent="0.45">
      <c r="B6" s="371" t="s">
        <v>710</v>
      </c>
      <c r="C6" s="371"/>
      <c r="D6" s="152">
        <v>5.5E-2</v>
      </c>
    </row>
    <row r="7" spans="1:8" ht="16.5" customHeight="1" x14ac:dyDescent="0.45">
      <c r="B7" s="371" t="s">
        <v>590</v>
      </c>
      <c r="C7" s="371"/>
      <c r="D7" s="153">
        <v>330</v>
      </c>
    </row>
    <row r="8" spans="1:8" ht="7.5" customHeight="1" x14ac:dyDescent="0.45"/>
    <row r="9" spans="1:8" ht="16.5" customHeight="1" x14ac:dyDescent="0.45">
      <c r="A9" s="370" t="s">
        <v>711</v>
      </c>
      <c r="B9" s="370"/>
      <c r="C9" s="370"/>
      <c r="D9" s="370"/>
      <c r="E9" s="370"/>
      <c r="F9" s="370"/>
      <c r="G9" s="370"/>
      <c r="H9" s="370"/>
    </row>
    <row r="10" spans="1:8" ht="27.75" customHeight="1" x14ac:dyDescent="0.45">
      <c r="A10" s="230" t="s">
        <v>25</v>
      </c>
      <c r="B10" s="230" t="s">
        <v>671</v>
      </c>
      <c r="C10" s="230" t="s">
        <v>712</v>
      </c>
      <c r="D10" s="230" t="s">
        <v>713</v>
      </c>
      <c r="E10" s="230" t="s">
        <v>714</v>
      </c>
      <c r="F10" s="230" t="s">
        <v>715</v>
      </c>
    </row>
    <row r="11" spans="1:8" ht="16.5" customHeight="1" x14ac:dyDescent="0.45">
      <c r="A11" s="3">
        <v>2019</v>
      </c>
      <c r="B11" s="3">
        <v>8.33</v>
      </c>
      <c r="C11" s="3">
        <v>19</v>
      </c>
      <c r="D11" s="3" t="s">
        <v>716</v>
      </c>
      <c r="E11" s="3">
        <f>(1/1+$D$5)^1</f>
        <v>1.1154999999999999</v>
      </c>
      <c r="F11" s="3" t="s">
        <v>716</v>
      </c>
    </row>
    <row r="12" spans="1:8" ht="16.5" customHeight="1" x14ac:dyDescent="0.45">
      <c r="A12" s="3">
        <v>2020</v>
      </c>
      <c r="B12" s="3">
        <v>10</v>
      </c>
      <c r="C12" s="3">
        <v>20.67</v>
      </c>
      <c r="D12" s="3">
        <f t="shared" ref="D12:D17" si="0">(B12-B11)/B11</f>
        <v>0.20048019207683071</v>
      </c>
      <c r="E12" s="3">
        <f>(1/1+$D$5)^2</f>
        <v>1.2443402499999998</v>
      </c>
      <c r="F12" s="3" t="s">
        <v>716</v>
      </c>
    </row>
    <row r="13" spans="1:8" ht="16.5" customHeight="1" x14ac:dyDescent="0.45">
      <c r="A13" s="3">
        <v>2021</v>
      </c>
      <c r="B13" s="3">
        <v>12</v>
      </c>
      <c r="C13" s="3">
        <v>22.81</v>
      </c>
      <c r="D13" s="3">
        <f t="shared" si="0"/>
        <v>0.2</v>
      </c>
      <c r="E13" s="3">
        <f>(1/1+$D$5)^3</f>
        <v>1.3880615488749997</v>
      </c>
      <c r="F13" s="3" t="s">
        <v>716</v>
      </c>
    </row>
    <row r="14" spans="1:8" ht="16.5" customHeight="1" x14ac:dyDescent="0.45">
      <c r="A14" s="3">
        <v>2022</v>
      </c>
      <c r="B14" s="3">
        <v>14.75</v>
      </c>
      <c r="C14" s="3">
        <v>24.51</v>
      </c>
      <c r="D14" s="3">
        <f t="shared" si="0"/>
        <v>0.22916666666666666</v>
      </c>
      <c r="E14" s="3">
        <f>(1/1+$D$5)^4</f>
        <v>1.5483826577700621</v>
      </c>
      <c r="F14" s="3" t="s">
        <v>716</v>
      </c>
    </row>
    <row r="15" spans="1:8" ht="16.5" customHeight="1" x14ac:dyDescent="0.45">
      <c r="A15" s="3">
        <v>2023</v>
      </c>
      <c r="B15" s="3">
        <v>14.75</v>
      </c>
      <c r="C15" s="3">
        <v>21.98</v>
      </c>
      <c r="D15" s="3">
        <f t="shared" si="0"/>
        <v>0</v>
      </c>
      <c r="E15" s="3">
        <f>(1/1+$D$5)^5</f>
        <v>1.7272208547425041</v>
      </c>
      <c r="F15" s="3" t="s">
        <v>716</v>
      </c>
    </row>
    <row r="16" spans="1:8" ht="16.5" customHeight="1" x14ac:dyDescent="0.45">
      <c r="A16" s="3">
        <v>2024</v>
      </c>
      <c r="B16" s="3">
        <v>11.25</v>
      </c>
      <c r="C16" s="3">
        <v>16.64</v>
      </c>
      <c r="D16" s="3">
        <f t="shared" si="0"/>
        <v>-0.23728813559322035</v>
      </c>
      <c r="E16" s="3">
        <f>(1/1+$D$5)^6</f>
        <v>1.9267148634652633</v>
      </c>
      <c r="F16" s="3" t="s">
        <v>716</v>
      </c>
    </row>
    <row r="17" spans="1:8" ht="16.5" customHeight="1" x14ac:dyDescent="0.45">
      <c r="A17" s="3">
        <v>2025</v>
      </c>
      <c r="B17" s="3">
        <v>9</v>
      </c>
      <c r="C17" s="3">
        <v>16.510000000000002</v>
      </c>
      <c r="D17" s="3">
        <f t="shared" si="0"/>
        <v>-0.2</v>
      </c>
      <c r="E17" s="3">
        <f>(1/1+$D$5)^7</f>
        <v>2.1492504301955009</v>
      </c>
      <c r="F17" s="3" t="s">
        <v>716</v>
      </c>
    </row>
    <row r="18" spans="1:8" ht="16.5" customHeight="1" x14ac:dyDescent="0.45">
      <c r="A18" s="161">
        <v>2026</v>
      </c>
      <c r="B18" s="162">
        <f>B17*(1+D4)</f>
        <v>9.7200000000000006</v>
      </c>
      <c r="C18" s="162">
        <f>C17*(1+D4)</f>
        <v>17.830800000000004</v>
      </c>
      <c r="D18" s="163">
        <f>D4</f>
        <v>0.08</v>
      </c>
      <c r="E18" s="164">
        <f>1/(1+D5)^1</f>
        <v>0.89645898700134474</v>
      </c>
      <c r="F18" s="162">
        <f>B18*E18</f>
        <v>8.7135813536530708</v>
      </c>
    </row>
    <row r="19" spans="1:8" ht="16.5" customHeight="1" x14ac:dyDescent="0.45">
      <c r="A19" s="161">
        <v>2027</v>
      </c>
      <c r="B19" s="162">
        <f>B18*(1+D4)</f>
        <v>10.497600000000002</v>
      </c>
      <c r="C19" s="162">
        <f>C18*(1+D4)</f>
        <v>19.257264000000006</v>
      </c>
      <c r="D19" s="163">
        <f>D4</f>
        <v>0.08</v>
      </c>
      <c r="E19" s="164">
        <f>1/(1+D5)^2</f>
        <v>0.80363871537547715</v>
      </c>
      <c r="F19" s="162">
        <f>B19*E19</f>
        <v>8.4362777785256107</v>
      </c>
    </row>
    <row r="20" spans="1:8" ht="16.5" customHeight="1" x14ac:dyDescent="0.45">
      <c r="A20" s="161">
        <v>2028</v>
      </c>
      <c r="B20" s="162">
        <f>B19*(1+D4)</f>
        <v>11.337408000000003</v>
      </c>
      <c r="C20" s="162">
        <f>C19*(1+D4)</f>
        <v>20.797845120000009</v>
      </c>
      <c r="D20" s="163">
        <f>D4</f>
        <v>0.08</v>
      </c>
      <c r="E20" s="164">
        <f>1/(1+D5)^3</f>
        <v>0.72042914870056229</v>
      </c>
      <c r="F20" s="162">
        <f>B20*E20</f>
        <v>8.1677991939109464</v>
      </c>
    </row>
    <row r="21" spans="1:8" ht="16.5" customHeight="1" x14ac:dyDescent="0.45">
      <c r="A21" s="161">
        <v>2029</v>
      </c>
      <c r="B21" s="162">
        <f>B20*(1+D4)</f>
        <v>12.244400640000004</v>
      </c>
      <c r="C21" s="162">
        <f>C20*(1+D4)</f>
        <v>22.461672729600011</v>
      </c>
      <c r="D21" s="163">
        <f>D4</f>
        <v>0.08</v>
      </c>
      <c r="E21" s="164">
        <f>1/(1+D5)^4</f>
        <v>0.64583518485034719</v>
      </c>
      <c r="F21" s="162">
        <f>B21*E21</f>
        <v>7.9078647507161115</v>
      </c>
    </row>
    <row r="22" spans="1:8" ht="16.5" customHeight="1" x14ac:dyDescent="0.45">
      <c r="A22" s="161">
        <v>2030</v>
      </c>
      <c r="B22" s="162">
        <f>B21*(1+D4)</f>
        <v>13.223952691200004</v>
      </c>
      <c r="C22" s="162">
        <f>C21*(1+D4)</f>
        <v>24.258606547968014</v>
      </c>
      <c r="D22" s="163">
        <f>D4</f>
        <v>0.08</v>
      </c>
      <c r="E22" s="164">
        <f>1/(1+D5)^5</f>
        <v>0.57896475558076854</v>
      </c>
      <c r="F22" s="162">
        <f>B22*E22</f>
        <v>7.6562025376722573</v>
      </c>
    </row>
    <row r="23" spans="1:8" ht="7.5" customHeight="1" x14ac:dyDescent="0.45"/>
    <row r="24" spans="1:8" ht="16.5" customHeight="1" x14ac:dyDescent="0.45">
      <c r="B24" s="372" t="s">
        <v>717</v>
      </c>
      <c r="C24" s="372"/>
      <c r="D24" s="372"/>
      <c r="F24" s="155">
        <f>SUM(F18:F22)</f>
        <v>40.881725614478</v>
      </c>
    </row>
    <row r="25" spans="1:8" ht="9.75" customHeight="1" x14ac:dyDescent="0.45"/>
    <row r="26" spans="1:8" ht="16.5" customHeight="1" x14ac:dyDescent="0.45">
      <c r="A26" s="370" t="s">
        <v>718</v>
      </c>
      <c r="B26" s="370"/>
      <c r="C26" s="370"/>
      <c r="D26" s="370"/>
      <c r="E26" s="370"/>
      <c r="F26" s="370"/>
      <c r="G26" s="370"/>
      <c r="H26" s="370"/>
    </row>
    <row r="27" spans="1:8" ht="16.5" customHeight="1" x14ac:dyDescent="0.45">
      <c r="B27" s="371" t="s">
        <v>719</v>
      </c>
      <c r="C27" s="371"/>
      <c r="D27" s="165">
        <f>B22</f>
        <v>13.223952691200004</v>
      </c>
    </row>
    <row r="28" spans="1:8" ht="16.5" customHeight="1" x14ac:dyDescent="0.45">
      <c r="B28" s="371" t="s">
        <v>720</v>
      </c>
      <c r="C28" s="371"/>
      <c r="D28" s="166">
        <f>D6</f>
        <v>5.5E-2</v>
      </c>
    </row>
    <row r="29" spans="1:8" ht="16.5" customHeight="1" x14ac:dyDescent="0.45">
      <c r="B29" s="371" t="s">
        <v>721</v>
      </c>
      <c r="C29" s="371"/>
      <c r="D29" s="165">
        <f>D27*(1+D6)</f>
        <v>13.951270089216004</v>
      </c>
    </row>
    <row r="30" spans="1:8" ht="16.5" customHeight="1" x14ac:dyDescent="0.45">
      <c r="B30" s="371" t="s">
        <v>709</v>
      </c>
      <c r="C30" s="371"/>
      <c r="D30" s="166">
        <f>D5</f>
        <v>0.11550000000000001</v>
      </c>
    </row>
    <row r="31" spans="1:8" ht="16.5" customHeight="1" x14ac:dyDescent="0.45">
      <c r="B31" s="372" t="s">
        <v>722</v>
      </c>
      <c r="C31" s="372"/>
      <c r="D31" s="171">
        <f>D29/(D5-D6)</f>
        <v>230.59950560687608</v>
      </c>
    </row>
    <row r="32" spans="1:8" ht="7.5" customHeight="1" x14ac:dyDescent="0.45"/>
    <row r="33" spans="1:8" ht="16.5" customHeight="1" x14ac:dyDescent="0.45">
      <c r="A33" s="370" t="s">
        <v>723</v>
      </c>
      <c r="B33" s="370"/>
      <c r="C33" s="370"/>
      <c r="D33" s="370"/>
      <c r="E33" s="370"/>
      <c r="F33" s="370"/>
      <c r="G33" s="370"/>
      <c r="H33" s="370"/>
    </row>
    <row r="34" spans="1:8" ht="16.5" customHeight="1" x14ac:dyDescent="0.45">
      <c r="B34" s="371" t="s">
        <v>724</v>
      </c>
      <c r="C34" s="371"/>
      <c r="D34" s="165">
        <f>D31</f>
        <v>230.59950560687608</v>
      </c>
    </row>
    <row r="35" spans="1:8" ht="16.5" customHeight="1" x14ac:dyDescent="0.45">
      <c r="B35" s="371" t="s">
        <v>725</v>
      </c>
      <c r="C35" s="371"/>
      <c r="D35" s="167">
        <v>5</v>
      </c>
    </row>
    <row r="36" spans="1:8" ht="16.5" customHeight="1" x14ac:dyDescent="0.45">
      <c r="B36" s="371" t="s">
        <v>726</v>
      </c>
      <c r="C36" s="371"/>
      <c r="D36" s="168">
        <f>1/(1+D5)^5</f>
        <v>0.57896475558076854</v>
      </c>
    </row>
    <row r="37" spans="1:8" ht="16.5" customHeight="1" x14ac:dyDescent="0.45">
      <c r="B37" s="372" t="s">
        <v>727</v>
      </c>
      <c r="C37" s="372"/>
      <c r="D37" s="170">
        <f>D34*D36</f>
        <v>133.50898640073106</v>
      </c>
    </row>
    <row r="38" spans="1:8" ht="7.5" customHeight="1" x14ac:dyDescent="0.45"/>
    <row r="39" spans="1:8" ht="16.5" customHeight="1" x14ac:dyDescent="0.45">
      <c r="A39" s="370" t="s">
        <v>728</v>
      </c>
      <c r="B39" s="370"/>
      <c r="C39" s="370"/>
      <c r="D39" s="370"/>
      <c r="E39" s="370"/>
      <c r="F39" s="370"/>
      <c r="G39" s="370"/>
      <c r="H39" s="370"/>
    </row>
    <row r="40" spans="1:8" ht="16.5" customHeight="1" x14ac:dyDescent="0.45">
      <c r="B40" s="371" t="s">
        <v>729</v>
      </c>
      <c r="C40" s="371"/>
      <c r="D40" s="165">
        <f>F24</f>
        <v>40.881725614478</v>
      </c>
    </row>
    <row r="41" spans="1:8" ht="16.5" customHeight="1" x14ac:dyDescent="0.45">
      <c r="B41" s="371" t="s">
        <v>727</v>
      </c>
      <c r="C41" s="371"/>
      <c r="D41" s="165">
        <f>D37</f>
        <v>133.50898640073106</v>
      </c>
    </row>
    <row r="42" spans="1:8" ht="16.5" customHeight="1" x14ac:dyDescent="0.45">
      <c r="B42" s="372" t="s">
        <v>730</v>
      </c>
      <c r="C42" s="372"/>
      <c r="D42" s="171">
        <f>D40+D41</f>
        <v>174.39071201520906</v>
      </c>
    </row>
    <row r="43" spans="1:8" ht="7.5" customHeight="1" x14ac:dyDescent="0.45"/>
    <row r="44" spans="1:8" ht="16.5" customHeight="1" x14ac:dyDescent="0.45">
      <c r="A44" s="370" t="s">
        <v>731</v>
      </c>
      <c r="B44" s="370"/>
      <c r="C44" s="370"/>
      <c r="D44" s="370"/>
      <c r="E44" s="370"/>
      <c r="F44" s="370"/>
      <c r="G44" s="370"/>
      <c r="H44" s="370"/>
    </row>
    <row r="45" spans="1:8" ht="16.5" customHeight="1" x14ac:dyDescent="0.45">
      <c r="B45" s="371" t="s">
        <v>732</v>
      </c>
      <c r="C45" s="371"/>
      <c r="D45" s="165">
        <f>D7</f>
        <v>330</v>
      </c>
    </row>
    <row r="46" spans="1:8" ht="16.5" customHeight="1" x14ac:dyDescent="0.45">
      <c r="B46" s="371" t="s">
        <v>733</v>
      </c>
      <c r="C46" s="371"/>
      <c r="D46" s="165">
        <f>D42</f>
        <v>174.39071201520906</v>
      </c>
    </row>
    <row r="47" spans="1:8" ht="16.5" customHeight="1" x14ac:dyDescent="0.45">
      <c r="B47" s="371" t="s">
        <v>734</v>
      </c>
      <c r="C47" s="371"/>
      <c r="D47" s="166">
        <f>(D42-D7)/D7</f>
        <v>-0.47154329692360891</v>
      </c>
    </row>
    <row r="48" spans="1:8" ht="16.5" customHeight="1" x14ac:dyDescent="0.45">
      <c r="B48" s="371" t="s">
        <v>735</v>
      </c>
      <c r="C48" s="371"/>
      <c r="D48" s="169" t="str">
        <f>IF(D42&gt;D7,"CMP &lt; IV","CMP &gt; IV")</f>
        <v>CMP &gt; IV</v>
      </c>
    </row>
    <row r="49" spans="1:8" ht="16.5" customHeight="1" x14ac:dyDescent="0.45">
      <c r="B49" s="371" t="s">
        <v>630</v>
      </c>
      <c r="C49" s="371"/>
      <c r="D49" s="169" t="str">
        <f>IF(D42&gt;D7,"Stock is Undervalued","Stock is Overvalued")</f>
        <v>Stock is Overvalued</v>
      </c>
    </row>
    <row r="50" spans="1:8" ht="16.5" customHeight="1" x14ac:dyDescent="0.45">
      <c r="B50" s="372" t="s">
        <v>631</v>
      </c>
      <c r="C50" s="372"/>
      <c r="D50" s="172" t="str">
        <f>IF(D42/D7&gt;1.2,"Strong Buy – Significantly Undervalued",IF(D42/D7&gt;1.05,"Buy Signal",IF(D42/D7&gt;0.95,"Hold","Sell – Stock Overvalued")))</f>
        <v>Sell – Stock Overvalued</v>
      </c>
    </row>
    <row r="51" spans="1:8" ht="9.75" customHeight="1" x14ac:dyDescent="0.45"/>
    <row r="52" spans="1:8" ht="16.5" customHeight="1" x14ac:dyDescent="0.45">
      <c r="A52" s="370" t="s">
        <v>736</v>
      </c>
      <c r="B52" s="370"/>
      <c r="C52" s="370"/>
      <c r="D52" s="370"/>
      <c r="E52" s="370"/>
      <c r="F52" s="370"/>
      <c r="G52" s="370"/>
      <c r="H52" s="370"/>
    </row>
    <row r="53" spans="1:8" ht="16.5" customHeight="1" x14ac:dyDescent="0.45">
      <c r="A53" s="3"/>
      <c r="B53" s="374" t="s">
        <v>737</v>
      </c>
      <c r="C53" s="374"/>
      <c r="D53" s="173">
        <v>0.09</v>
      </c>
      <c r="E53" s="173">
        <v>0.1</v>
      </c>
      <c r="F53" s="173">
        <v>0.11550000000000001</v>
      </c>
      <c r="G53" s="173">
        <v>0.13</v>
      </c>
      <c r="H53" s="173">
        <v>0.14000000000000001</v>
      </c>
    </row>
    <row r="54" spans="1:8" ht="16.5" customHeight="1" x14ac:dyDescent="0.45">
      <c r="A54" s="375" t="s">
        <v>769</v>
      </c>
      <c r="B54" s="377"/>
      <c r="C54" s="377"/>
      <c r="D54" s="176">
        <v>205.51</v>
      </c>
      <c r="E54" s="176">
        <v>173.35</v>
      </c>
      <c r="F54" s="176">
        <v>139.32</v>
      </c>
      <c r="G54" s="176">
        <v>117.56</v>
      </c>
      <c r="H54" s="176">
        <v>106.07</v>
      </c>
    </row>
    <row r="55" spans="1:8" ht="16.5" customHeight="1" x14ac:dyDescent="0.45">
      <c r="A55" s="376"/>
      <c r="B55" s="377"/>
      <c r="C55" s="377"/>
      <c r="D55" s="176">
        <v>222.55</v>
      </c>
      <c r="E55" s="176">
        <v>184.93</v>
      </c>
      <c r="F55" s="176">
        <v>146.35</v>
      </c>
      <c r="G55" s="176">
        <v>122.31</v>
      </c>
      <c r="H55" s="176">
        <v>109.8</v>
      </c>
    </row>
    <row r="56" spans="1:8" ht="16.5" customHeight="1" x14ac:dyDescent="0.45">
      <c r="A56" s="376"/>
      <c r="B56" s="377"/>
      <c r="C56" s="377"/>
      <c r="D56" s="176">
        <v>243.36</v>
      </c>
      <c r="E56" s="176">
        <v>198.61</v>
      </c>
      <c r="F56" s="176">
        <v>154.37</v>
      </c>
      <c r="G56" s="176">
        <v>127.61</v>
      </c>
      <c r="H56" s="176">
        <v>113.92</v>
      </c>
    </row>
    <row r="57" spans="1:8" ht="16.5" customHeight="1" x14ac:dyDescent="0.45">
      <c r="A57" s="376"/>
      <c r="B57" s="377"/>
      <c r="C57" s="377"/>
      <c r="D57" s="176">
        <v>269.39</v>
      </c>
      <c r="E57" s="176">
        <v>215.04</v>
      </c>
      <c r="F57" s="176">
        <v>163.62</v>
      </c>
      <c r="G57" s="176">
        <v>133.57</v>
      </c>
      <c r="H57" s="176">
        <v>118.5</v>
      </c>
    </row>
    <row r="58" spans="1:8" ht="16.5" customHeight="1" x14ac:dyDescent="0.45">
      <c r="A58" s="376"/>
      <c r="B58" s="377"/>
      <c r="C58" s="377"/>
      <c r="D58" s="176">
        <v>302.85000000000002</v>
      </c>
      <c r="E58" s="176">
        <v>235.11</v>
      </c>
      <c r="F58" s="174">
        <v>174.39</v>
      </c>
      <c r="G58" s="176">
        <v>140.33000000000001</v>
      </c>
      <c r="H58" s="176">
        <v>123.62</v>
      </c>
    </row>
    <row r="59" spans="1:8" ht="16.5" customHeight="1" x14ac:dyDescent="0.45">
      <c r="A59" s="376"/>
      <c r="B59" s="377"/>
      <c r="C59" s="377"/>
      <c r="D59" s="175">
        <v>347.46</v>
      </c>
      <c r="E59" s="176">
        <v>260.2</v>
      </c>
      <c r="F59" s="176">
        <v>187.11</v>
      </c>
      <c r="G59" s="176">
        <v>148.05000000000001</v>
      </c>
      <c r="H59" s="176">
        <v>129.38</v>
      </c>
    </row>
    <row r="60" spans="1:8" ht="16.5" customHeight="1" x14ac:dyDescent="0.45"/>
    <row r="61" spans="1:8" ht="16.5" customHeight="1" x14ac:dyDescent="0.45">
      <c r="B61" s="341" t="s">
        <v>768</v>
      </c>
      <c r="C61" s="341"/>
      <c r="D61" s="341"/>
      <c r="E61" s="341"/>
      <c r="F61" s="341"/>
      <c r="G61" s="341"/>
      <c r="H61" s="341"/>
    </row>
    <row r="62" spans="1:8" ht="16.5" customHeight="1" x14ac:dyDescent="0.45"/>
    <row r="63" spans="1:8" ht="13.5" customHeight="1" x14ac:dyDescent="0.45"/>
    <row r="64" spans="1:8" ht="13.5" customHeight="1" x14ac:dyDescent="0.45"/>
    <row r="65" ht="13.5" customHeight="1" x14ac:dyDescent="0.45"/>
    <row r="66" ht="13.5" customHeight="1" x14ac:dyDescent="0.45"/>
    <row r="67" ht="13.5" customHeight="1" x14ac:dyDescent="0.45"/>
    <row r="68" ht="13.5" customHeight="1" x14ac:dyDescent="0.45"/>
    <row r="69" ht="13.5" customHeight="1" x14ac:dyDescent="0.45"/>
    <row r="70" ht="13.5" customHeight="1" x14ac:dyDescent="0.45"/>
    <row r="71" ht="16.5" customHeight="1" x14ac:dyDescent="0.45"/>
    <row r="72" ht="16.5" customHeight="1" x14ac:dyDescent="0.45"/>
    <row r="73" ht="16.5" customHeight="1" x14ac:dyDescent="0.45"/>
    <row r="74" ht="16.5" customHeight="1" x14ac:dyDescent="0.45"/>
  </sheetData>
  <mergeCells count="40">
    <mergeCell ref="A1:D1"/>
    <mergeCell ref="B61:H61"/>
    <mergeCell ref="A52:H52"/>
    <mergeCell ref="B53:C53"/>
    <mergeCell ref="A54:A59"/>
    <mergeCell ref="B54:C54"/>
    <mergeCell ref="B55:C55"/>
    <mergeCell ref="B56:C56"/>
    <mergeCell ref="B57:C57"/>
    <mergeCell ref="B58:C58"/>
    <mergeCell ref="B59:C59"/>
    <mergeCell ref="B45:C45"/>
    <mergeCell ref="B46:C46"/>
    <mergeCell ref="B47:C47"/>
    <mergeCell ref="B48:C48"/>
    <mergeCell ref="B49:C49"/>
    <mergeCell ref="B50:C50"/>
    <mergeCell ref="B37:C37"/>
    <mergeCell ref="A39:H39"/>
    <mergeCell ref="B40:C40"/>
    <mergeCell ref="B41:C41"/>
    <mergeCell ref="B42:C42"/>
    <mergeCell ref="A44:H44"/>
    <mergeCell ref="B36:C36"/>
    <mergeCell ref="A9:H9"/>
    <mergeCell ref="B24:D24"/>
    <mergeCell ref="A26:H26"/>
    <mergeCell ref="B27:C27"/>
    <mergeCell ref="B28:C28"/>
    <mergeCell ref="B29:C29"/>
    <mergeCell ref="B30:C30"/>
    <mergeCell ref="B31:C31"/>
    <mergeCell ref="A33:H33"/>
    <mergeCell ref="B34:C34"/>
    <mergeCell ref="B35:C35"/>
    <mergeCell ref="A3:H3"/>
    <mergeCell ref="B4:C4"/>
    <mergeCell ref="B5:C5"/>
    <mergeCell ref="B6:C6"/>
    <mergeCell ref="B7:C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361F-822A-4AED-91FD-A906F4FBB9C7}">
  <dimension ref="A1:H59"/>
  <sheetViews>
    <sheetView workbookViewId="0">
      <selection activeCell="K14" sqref="K14"/>
    </sheetView>
  </sheetViews>
  <sheetFormatPr defaultColWidth="8.6640625" defaultRowHeight="14.25" x14ac:dyDescent="0.45"/>
  <cols>
    <col min="1" max="1" width="40.46484375" customWidth="1"/>
    <col min="2" max="8" width="14" customWidth="1"/>
  </cols>
  <sheetData>
    <row r="1" spans="1:8" ht="24" customHeight="1" x14ac:dyDescent="0.45">
      <c r="A1" s="378" t="s">
        <v>765</v>
      </c>
      <c r="B1" s="378"/>
      <c r="C1" s="378"/>
      <c r="D1" s="378"/>
      <c r="E1" s="378"/>
      <c r="F1" s="378"/>
      <c r="G1" s="378"/>
      <c r="H1" s="378"/>
    </row>
    <row r="2" spans="1:8" ht="24.4" customHeight="1" x14ac:dyDescent="0.45">
      <c r="A2" s="381" t="s">
        <v>766</v>
      </c>
      <c r="B2" s="381"/>
    </row>
    <row r="3" spans="1:8" ht="16.5" customHeight="1" x14ac:dyDescent="0.45">
      <c r="A3" s="379" t="s">
        <v>740</v>
      </c>
      <c r="B3" s="379"/>
      <c r="C3" s="379"/>
      <c r="D3" s="379"/>
      <c r="E3" s="379"/>
      <c r="F3" s="379"/>
      <c r="G3" s="379"/>
      <c r="H3" s="379"/>
    </row>
    <row r="4" spans="1:8" ht="16.5" customHeight="1" x14ac:dyDescent="0.45">
      <c r="A4" s="177" t="s">
        <v>767</v>
      </c>
      <c r="B4" s="178" t="s">
        <v>415</v>
      </c>
      <c r="C4" s="178" t="s">
        <v>416</v>
      </c>
      <c r="D4" s="178" t="s">
        <v>417</v>
      </c>
      <c r="E4" s="178" t="s">
        <v>418</v>
      </c>
      <c r="F4" s="178" t="s">
        <v>419</v>
      </c>
      <c r="G4" s="178" t="s">
        <v>420</v>
      </c>
      <c r="H4" s="178" t="s">
        <v>421</v>
      </c>
    </row>
    <row r="5" spans="1:8" ht="16.5" customHeight="1" x14ac:dyDescent="0.45">
      <c r="A5" s="182" t="s">
        <v>670</v>
      </c>
      <c r="B5" s="183">
        <v>28254.2</v>
      </c>
      <c r="C5" s="183">
        <v>35217.550000000003</v>
      </c>
      <c r="D5" s="183">
        <v>35237.61</v>
      </c>
      <c r="E5" s="183">
        <v>40566.339999999997</v>
      </c>
      <c r="F5" s="183">
        <v>40155.25</v>
      </c>
      <c r="G5" s="183">
        <v>39711.65</v>
      </c>
      <c r="H5" s="183">
        <v>40450.980000000003</v>
      </c>
    </row>
    <row r="6" spans="1:8" ht="16.5" customHeight="1" x14ac:dyDescent="0.45">
      <c r="A6" s="182" t="s">
        <v>741</v>
      </c>
      <c r="B6" s="184">
        <v>0.27777275663878298</v>
      </c>
      <c r="C6" s="184">
        <v>0.15566107845018601</v>
      </c>
      <c r="D6" s="184">
        <v>0.16832768493942099</v>
      </c>
      <c r="E6" s="184">
        <v>0.16572026405693199</v>
      </c>
      <c r="F6" s="184">
        <v>0.166770647789037</v>
      </c>
      <c r="G6" s="184">
        <v>0.17874320896425</v>
      </c>
      <c r="H6" s="184">
        <v>0.170672786438683</v>
      </c>
    </row>
    <row r="7" spans="1:8" ht="16.5" customHeight="1" x14ac:dyDescent="0.45">
      <c r="A7" s="179" t="s">
        <v>742</v>
      </c>
      <c r="B7" s="180">
        <f t="shared" ref="B7:H7" si="0">B5*(1-B6)</f>
        <v>20405.9529793765</v>
      </c>
      <c r="C7" s="180">
        <f t="shared" si="0"/>
        <v>29735.548186626656</v>
      </c>
      <c r="D7" s="180">
        <f t="shared" si="0"/>
        <v>29306.144685901811</v>
      </c>
      <c r="E7" s="180">
        <f t="shared" si="0"/>
        <v>33843.675423376713</v>
      </c>
      <c r="F7" s="180">
        <f t="shared" si="0"/>
        <v>33458.532945369276</v>
      </c>
      <c r="G7" s="180">
        <f t="shared" si="0"/>
        <v>32613.462245734841</v>
      </c>
      <c r="H7" s="180">
        <f t="shared" si="0"/>
        <v>33547.098529224568</v>
      </c>
    </row>
    <row r="8" spans="1:8" ht="7.5" customHeight="1" x14ac:dyDescent="0.45"/>
    <row r="9" spans="1:8" ht="16.5" customHeight="1" x14ac:dyDescent="0.45">
      <c r="A9" s="379" t="s">
        <v>743</v>
      </c>
      <c r="B9" s="379"/>
      <c r="C9" s="379"/>
      <c r="D9" s="379"/>
      <c r="E9" s="379"/>
      <c r="F9" s="379"/>
      <c r="G9" s="379"/>
      <c r="H9" s="379"/>
    </row>
    <row r="10" spans="1:8" ht="16.5" customHeight="1" x14ac:dyDescent="0.45">
      <c r="B10" s="178" t="s">
        <v>415</v>
      </c>
      <c r="C10" s="178" t="s">
        <v>416</v>
      </c>
      <c r="D10" s="178" t="s">
        <v>417</v>
      </c>
      <c r="E10" s="178" t="s">
        <v>418</v>
      </c>
      <c r="F10" s="178" t="s">
        <v>419</v>
      </c>
      <c r="G10" s="178" t="s">
        <v>420</v>
      </c>
      <c r="H10" s="178" t="s">
        <v>421</v>
      </c>
    </row>
    <row r="11" spans="1:8" ht="16.5" customHeight="1" x14ac:dyDescent="0.45">
      <c r="A11" s="182" t="s">
        <v>744</v>
      </c>
      <c r="B11" s="183">
        <v>59017.14</v>
      </c>
      <c r="C11" s="183">
        <v>64439.69</v>
      </c>
      <c r="D11" s="183">
        <v>69578.84</v>
      </c>
      <c r="E11" s="183">
        <v>76151.570000000007</v>
      </c>
      <c r="F11" s="183">
        <v>82844.179999999993</v>
      </c>
      <c r="G11" s="183">
        <v>86867.05</v>
      </c>
      <c r="H11" s="183">
        <v>92215.65</v>
      </c>
    </row>
    <row r="12" spans="1:8" ht="16.5" customHeight="1" x14ac:dyDescent="0.45">
      <c r="A12" s="182" t="s">
        <v>745</v>
      </c>
      <c r="B12" s="183">
        <v>135339.51</v>
      </c>
      <c r="C12" s="183">
        <v>138421.10999999999</v>
      </c>
      <c r="D12" s="183">
        <v>143051.48000000001</v>
      </c>
      <c r="E12" s="183">
        <v>134665.26999999999</v>
      </c>
      <c r="F12" s="183">
        <v>128517.51</v>
      </c>
      <c r="G12" s="183">
        <v>123448.62</v>
      </c>
      <c r="H12" s="183">
        <v>130964.96</v>
      </c>
    </row>
    <row r="13" spans="1:8" ht="16.5" customHeight="1" x14ac:dyDescent="0.45">
      <c r="A13" s="182" t="s">
        <v>746</v>
      </c>
      <c r="B13" s="183">
        <v>0</v>
      </c>
      <c r="C13" s="183">
        <v>0</v>
      </c>
      <c r="D13" s="183">
        <v>0</v>
      </c>
      <c r="E13" s="183">
        <v>0</v>
      </c>
      <c r="F13" s="183">
        <v>0</v>
      </c>
      <c r="G13" s="183">
        <v>0</v>
      </c>
      <c r="H13" s="183">
        <v>0</v>
      </c>
    </row>
    <row r="14" spans="1:8" ht="16.5" customHeight="1" x14ac:dyDescent="0.45">
      <c r="A14" s="179" t="s">
        <v>747</v>
      </c>
      <c r="B14" s="180">
        <f t="shared" ref="B14:H14" si="1">B11+B12+B13</f>
        <v>194356.65000000002</v>
      </c>
      <c r="C14" s="180">
        <f t="shared" si="1"/>
        <v>202860.79999999999</v>
      </c>
      <c r="D14" s="180">
        <f t="shared" si="1"/>
        <v>212630.32</v>
      </c>
      <c r="E14" s="180">
        <f t="shared" si="1"/>
        <v>210816.84</v>
      </c>
      <c r="F14" s="180">
        <f t="shared" si="1"/>
        <v>211361.69</v>
      </c>
      <c r="G14" s="180">
        <f t="shared" si="1"/>
        <v>210315.66999999998</v>
      </c>
      <c r="H14" s="180">
        <f t="shared" si="1"/>
        <v>223180.61</v>
      </c>
    </row>
    <row r="15" spans="1:8" ht="7.5" customHeight="1" x14ac:dyDescent="0.45"/>
    <row r="16" spans="1:8" ht="16.5" customHeight="1" x14ac:dyDescent="0.45">
      <c r="A16" s="379" t="s">
        <v>748</v>
      </c>
      <c r="B16" s="379"/>
      <c r="C16" s="379"/>
      <c r="D16" s="379"/>
      <c r="E16" s="379"/>
      <c r="F16" s="379"/>
      <c r="G16" s="379"/>
      <c r="H16" s="379"/>
    </row>
    <row r="17" spans="1:8" ht="16.5" customHeight="1" x14ac:dyDescent="0.45">
      <c r="A17" s="382" t="s">
        <v>749</v>
      </c>
      <c r="B17" s="382"/>
      <c r="C17" s="382"/>
      <c r="D17" s="382"/>
    </row>
    <row r="18" spans="1:8" ht="16.5" customHeight="1" x14ac:dyDescent="0.45">
      <c r="A18" s="159" t="s">
        <v>750</v>
      </c>
      <c r="B18" s="185">
        <v>7.0999999999999994E-2</v>
      </c>
    </row>
    <row r="19" spans="1:8" ht="16.5" customHeight="1" x14ac:dyDescent="0.45">
      <c r="A19" s="159" t="s">
        <v>751</v>
      </c>
      <c r="B19" s="186">
        <f>'Company Beta'!J5</f>
        <v>0.63115187377088366</v>
      </c>
    </row>
    <row r="20" spans="1:8" ht="16.5" customHeight="1" x14ac:dyDescent="0.45">
      <c r="A20" s="159" t="s">
        <v>752</v>
      </c>
      <c r="B20" s="185">
        <v>6.8500000000000005E-2</v>
      </c>
    </row>
    <row r="21" spans="1:8" ht="16.5" customHeight="1" x14ac:dyDescent="0.45">
      <c r="A21" s="179" t="s">
        <v>565</v>
      </c>
      <c r="B21" s="181">
        <f>B18+B19*B20</f>
        <v>0.11423390335330552</v>
      </c>
    </row>
    <row r="22" spans="1:8" ht="16.5" customHeight="1" x14ac:dyDescent="0.45">
      <c r="A22" s="159" t="s">
        <v>753</v>
      </c>
      <c r="B22" s="185">
        <v>7.9000000000000001E-2</v>
      </c>
    </row>
    <row r="23" spans="1:8" ht="7.5" customHeight="1" x14ac:dyDescent="0.45"/>
    <row r="24" spans="1:8" ht="16.5" customHeight="1" x14ac:dyDescent="0.45">
      <c r="A24" s="383" t="s">
        <v>754</v>
      </c>
      <c r="B24" s="383"/>
      <c r="C24" s="383"/>
      <c r="D24" s="383"/>
      <c r="E24" s="383"/>
      <c r="F24" s="383"/>
      <c r="G24" s="383"/>
      <c r="H24" s="383"/>
    </row>
    <row r="25" spans="1:8" ht="16.5" customHeight="1" x14ac:dyDescent="0.45">
      <c r="B25" s="178" t="s">
        <v>415</v>
      </c>
      <c r="C25" s="178" t="s">
        <v>416</v>
      </c>
      <c r="D25" s="178" t="s">
        <v>417</v>
      </c>
      <c r="E25" s="178" t="s">
        <v>418</v>
      </c>
      <c r="F25" s="178" t="s">
        <v>419</v>
      </c>
      <c r="G25" s="178" t="s">
        <v>420</v>
      </c>
      <c r="H25" s="178" t="s">
        <v>421</v>
      </c>
    </row>
    <row r="26" spans="1:8" ht="16.5" customHeight="1" x14ac:dyDescent="0.45">
      <c r="A26" s="182" t="s">
        <v>571</v>
      </c>
      <c r="B26" s="183">
        <f t="shared" ref="B26:H27" si="2">B11</f>
        <v>59017.14</v>
      </c>
      <c r="C26" s="183">
        <f t="shared" si="2"/>
        <v>64439.69</v>
      </c>
      <c r="D26" s="183">
        <f t="shared" si="2"/>
        <v>69578.84</v>
      </c>
      <c r="E26" s="183">
        <f t="shared" si="2"/>
        <v>76151.570000000007</v>
      </c>
      <c r="F26" s="183">
        <f t="shared" si="2"/>
        <v>82844.179999999993</v>
      </c>
      <c r="G26" s="183">
        <f t="shared" si="2"/>
        <v>86867.05</v>
      </c>
      <c r="H26" s="183">
        <f t="shared" si="2"/>
        <v>92215.65</v>
      </c>
    </row>
    <row r="27" spans="1:8" ht="16.5" customHeight="1" x14ac:dyDescent="0.45">
      <c r="A27" s="182" t="s">
        <v>570</v>
      </c>
      <c r="B27" s="183">
        <f t="shared" si="2"/>
        <v>135339.51</v>
      </c>
      <c r="C27" s="183">
        <f t="shared" si="2"/>
        <v>138421.10999999999</v>
      </c>
      <c r="D27" s="183">
        <f t="shared" si="2"/>
        <v>143051.48000000001</v>
      </c>
      <c r="E27" s="183">
        <f t="shared" si="2"/>
        <v>134665.26999999999</v>
      </c>
      <c r="F27" s="183">
        <f t="shared" si="2"/>
        <v>128517.51</v>
      </c>
      <c r="G27" s="183">
        <f t="shared" si="2"/>
        <v>123448.62</v>
      </c>
      <c r="H27" s="183">
        <f t="shared" si="2"/>
        <v>130964.96</v>
      </c>
    </row>
    <row r="28" spans="1:8" ht="16.5" customHeight="1" x14ac:dyDescent="0.45">
      <c r="A28" s="187" t="s">
        <v>755</v>
      </c>
      <c r="B28" s="188">
        <f t="shared" ref="B28:H28" si="3">B26+B27</f>
        <v>194356.65000000002</v>
      </c>
      <c r="C28" s="188">
        <f t="shared" si="3"/>
        <v>202860.79999999999</v>
      </c>
      <c r="D28" s="188">
        <f t="shared" si="3"/>
        <v>212630.32</v>
      </c>
      <c r="E28" s="188">
        <f t="shared" si="3"/>
        <v>210816.84</v>
      </c>
      <c r="F28" s="188">
        <f t="shared" si="3"/>
        <v>211361.69</v>
      </c>
      <c r="G28" s="188">
        <f t="shared" si="3"/>
        <v>210315.66999999998</v>
      </c>
      <c r="H28" s="188">
        <f t="shared" si="3"/>
        <v>223180.61</v>
      </c>
    </row>
    <row r="29" spans="1:8" ht="16.5" customHeight="1" x14ac:dyDescent="0.45">
      <c r="A29" s="182" t="s">
        <v>756</v>
      </c>
      <c r="B29" s="189">
        <f t="shared" ref="B29:H29" si="4">B26/B28</f>
        <v>0.30365382403946556</v>
      </c>
      <c r="C29" s="189">
        <f t="shared" si="4"/>
        <v>0.31765471692904695</v>
      </c>
      <c r="D29" s="189">
        <f t="shared" si="4"/>
        <v>0.32722915527757279</v>
      </c>
      <c r="E29" s="189">
        <f t="shared" si="4"/>
        <v>0.36122147547605782</v>
      </c>
      <c r="F29" s="189">
        <f t="shared" si="4"/>
        <v>0.39195456849346727</v>
      </c>
      <c r="G29" s="189">
        <f t="shared" si="4"/>
        <v>0.41303175364916939</v>
      </c>
      <c r="H29" s="189">
        <f t="shared" si="4"/>
        <v>0.41318844858431025</v>
      </c>
    </row>
    <row r="30" spans="1:8" ht="16.5" customHeight="1" x14ac:dyDescent="0.45">
      <c r="A30" s="182" t="s">
        <v>757</v>
      </c>
      <c r="B30" s="189">
        <f t="shared" ref="B30:H30" si="5">B27/B28</f>
        <v>0.69634617596053439</v>
      </c>
      <c r="C30" s="189">
        <f t="shared" si="5"/>
        <v>0.6823452830709531</v>
      </c>
      <c r="D30" s="189">
        <f t="shared" si="5"/>
        <v>0.67277084472242721</v>
      </c>
      <c r="E30" s="189">
        <f t="shared" si="5"/>
        <v>0.63877852452394213</v>
      </c>
      <c r="F30" s="189">
        <f t="shared" si="5"/>
        <v>0.60804543150653267</v>
      </c>
      <c r="G30" s="189">
        <f t="shared" si="5"/>
        <v>0.58696824635083067</v>
      </c>
      <c r="H30" s="189">
        <f t="shared" si="5"/>
        <v>0.58681155141568986</v>
      </c>
    </row>
    <row r="31" spans="1:8" ht="16.5" customHeight="1" x14ac:dyDescent="0.45">
      <c r="A31" s="182" t="s">
        <v>758</v>
      </c>
      <c r="B31" s="184">
        <f t="shared" ref="B31:H31" si="6">B6</f>
        <v>0.27777275663878298</v>
      </c>
      <c r="C31" s="184">
        <f t="shared" si="6"/>
        <v>0.15566107845018601</v>
      </c>
      <c r="D31" s="184">
        <f t="shared" si="6"/>
        <v>0.16832768493942099</v>
      </c>
      <c r="E31" s="184">
        <f t="shared" si="6"/>
        <v>0.16572026405693199</v>
      </c>
      <c r="F31" s="184">
        <f t="shared" si="6"/>
        <v>0.166770647789037</v>
      </c>
      <c r="G31" s="184">
        <f t="shared" si="6"/>
        <v>0.17874320896425</v>
      </c>
      <c r="H31" s="184">
        <f t="shared" si="6"/>
        <v>0.170672786438683</v>
      </c>
    </row>
    <row r="32" spans="1:8" ht="16.5" customHeight="1" x14ac:dyDescent="0.45">
      <c r="A32" s="179" t="s">
        <v>759</v>
      </c>
      <c r="B32" s="181">
        <f>B21*B29+B22*B30*(1-B31)</f>
        <v>7.4418255736224986E-2</v>
      </c>
      <c r="C32" s="181">
        <f>B21*C29+B22*C30*(1-C31)</f>
        <v>8.1801261987580129E-2</v>
      </c>
      <c r="D32" s="181">
        <f>B21*D29+B22*D30*(1-D31)</f>
        <v>8.1583129687271494E-2</v>
      </c>
      <c r="E32" s="181">
        <f>B21*E29+B22*E30*(1-E31)</f>
        <v>8.3364417441179436E-2</v>
      </c>
      <c r="F32" s="181">
        <f>B21*F29+B22*F30*(1-F31)</f>
        <v>8.4799163075882172E-2</v>
      </c>
      <c r="G32" s="181">
        <f>B21*G29+B22*G30*(1-G31)</f>
        <v>8.5264310444804731E-2</v>
      </c>
      <c r="H32" s="181">
        <f>B21*H29+B22*H30*(1-H31)</f>
        <v>8.5646173619154581E-2</v>
      </c>
    </row>
    <row r="33" spans="1:8" ht="7.5" customHeight="1" x14ac:dyDescent="0.45"/>
    <row r="34" spans="1:8" ht="16.5" customHeight="1" x14ac:dyDescent="0.45">
      <c r="A34" s="379" t="s">
        <v>760</v>
      </c>
      <c r="B34" s="379"/>
      <c r="C34" s="379"/>
      <c r="D34" s="379"/>
      <c r="E34" s="379"/>
      <c r="F34" s="379"/>
      <c r="G34" s="379"/>
      <c r="H34" s="379"/>
    </row>
    <row r="35" spans="1:8" ht="16.5" customHeight="1" x14ac:dyDescent="0.45">
      <c r="B35" s="178" t="s">
        <v>415</v>
      </c>
      <c r="C35" s="178" t="s">
        <v>416</v>
      </c>
      <c r="D35" s="178" t="s">
        <v>417</v>
      </c>
      <c r="E35" s="178" t="s">
        <v>418</v>
      </c>
      <c r="F35" s="178" t="s">
        <v>419</v>
      </c>
      <c r="G35" s="178" t="s">
        <v>420</v>
      </c>
      <c r="H35" s="178" t="s">
        <v>421</v>
      </c>
    </row>
    <row r="36" spans="1:8" ht="16.5" customHeight="1" x14ac:dyDescent="0.45">
      <c r="A36" s="182" t="s">
        <v>742</v>
      </c>
      <c r="B36" s="183">
        <f t="shared" ref="B36:H36" si="7">B7</f>
        <v>20405.9529793765</v>
      </c>
      <c r="C36" s="183">
        <f t="shared" si="7"/>
        <v>29735.548186626656</v>
      </c>
      <c r="D36" s="183">
        <f t="shared" si="7"/>
        <v>29306.144685901811</v>
      </c>
      <c r="E36" s="183">
        <f t="shared" si="7"/>
        <v>33843.675423376713</v>
      </c>
      <c r="F36" s="183">
        <f t="shared" si="7"/>
        <v>33458.532945369276</v>
      </c>
      <c r="G36" s="183">
        <f t="shared" si="7"/>
        <v>32613.462245734841</v>
      </c>
      <c r="H36" s="183">
        <f t="shared" si="7"/>
        <v>33547.098529224568</v>
      </c>
    </row>
    <row r="37" spans="1:8" ht="16.5" customHeight="1" x14ac:dyDescent="0.45">
      <c r="A37" s="182" t="s">
        <v>567</v>
      </c>
      <c r="B37" s="184">
        <f t="shared" ref="B37:H37" si="8">B32</f>
        <v>7.4418255736224986E-2</v>
      </c>
      <c r="C37" s="184">
        <f t="shared" si="8"/>
        <v>8.1801261987580129E-2</v>
      </c>
      <c r="D37" s="184">
        <f t="shared" si="8"/>
        <v>8.1583129687271494E-2</v>
      </c>
      <c r="E37" s="184">
        <f t="shared" si="8"/>
        <v>8.3364417441179436E-2</v>
      </c>
      <c r="F37" s="184">
        <f t="shared" si="8"/>
        <v>8.4799163075882172E-2</v>
      </c>
      <c r="G37" s="184">
        <f t="shared" si="8"/>
        <v>8.5264310444804731E-2</v>
      </c>
      <c r="H37" s="184">
        <f t="shared" si="8"/>
        <v>8.5646173619154581E-2</v>
      </c>
    </row>
    <row r="38" spans="1:8" ht="16.5" customHeight="1" x14ac:dyDescent="0.45">
      <c r="A38" s="182" t="s">
        <v>761</v>
      </c>
      <c r="B38" s="183">
        <f t="shared" ref="B38:H38" si="9">B14</f>
        <v>194356.65000000002</v>
      </c>
      <c r="C38" s="183">
        <f t="shared" si="9"/>
        <v>202860.79999999999</v>
      </c>
      <c r="D38" s="183">
        <f t="shared" si="9"/>
        <v>212630.32</v>
      </c>
      <c r="E38" s="183">
        <f t="shared" si="9"/>
        <v>210816.84</v>
      </c>
      <c r="F38" s="183">
        <f t="shared" si="9"/>
        <v>211361.69</v>
      </c>
      <c r="G38" s="183">
        <f t="shared" si="9"/>
        <v>210315.66999999998</v>
      </c>
      <c r="H38" s="183">
        <f t="shared" si="9"/>
        <v>223180.61</v>
      </c>
    </row>
    <row r="39" spans="1:8" ht="16.5" customHeight="1" x14ac:dyDescent="0.45">
      <c r="A39" s="182" t="s">
        <v>762</v>
      </c>
      <c r="B39" s="183">
        <f t="shared" ref="B39:H39" si="10">B37*B38</f>
        <v>14463.682883735974</v>
      </c>
      <c r="C39" s="183">
        <f t="shared" si="10"/>
        <v>16594.269447810093</v>
      </c>
      <c r="D39" s="183">
        <f t="shared" si="10"/>
        <v>17347.046972006039</v>
      </c>
      <c r="E39" s="183">
        <f t="shared" si="10"/>
        <v>17574.623053390333</v>
      </c>
      <c r="F39" s="183">
        <f t="shared" si="10"/>
        <v>17923.294418304053</v>
      </c>
      <c r="G39" s="183">
        <f t="shared" si="10"/>
        <v>17932.420578287103</v>
      </c>
      <c r="H39" s="183">
        <f t="shared" si="10"/>
        <v>19114.565272488824</v>
      </c>
    </row>
    <row r="40" spans="1:8" ht="16.5" customHeight="1" x14ac:dyDescent="0.45">
      <c r="A40" s="190" t="s">
        <v>763</v>
      </c>
      <c r="B40" s="191">
        <f t="shared" ref="B40:H40" si="11">B36-B39</f>
        <v>5942.2700956405261</v>
      </c>
      <c r="C40" s="191">
        <f t="shared" si="11"/>
        <v>13141.278738816563</v>
      </c>
      <c r="D40" s="191">
        <f t="shared" si="11"/>
        <v>11959.097713895771</v>
      </c>
      <c r="E40" s="191">
        <f t="shared" si="11"/>
        <v>16269.052369986381</v>
      </c>
      <c r="F40" s="191">
        <f t="shared" si="11"/>
        <v>15535.238527065223</v>
      </c>
      <c r="G40" s="191">
        <f t="shared" si="11"/>
        <v>14681.041667447738</v>
      </c>
      <c r="H40" s="191">
        <f t="shared" si="11"/>
        <v>14432.533256735744</v>
      </c>
    </row>
    <row r="41" spans="1:8" ht="16.5" customHeight="1" x14ac:dyDescent="0.45">
      <c r="A41" s="160" t="s">
        <v>764</v>
      </c>
      <c r="B41" s="154" t="str">
        <f t="shared" ref="B41:H41" si="12">IF(B40&gt;0,"Value Created","Value Destroyed")</f>
        <v>Value Created</v>
      </c>
      <c r="C41" s="154" t="str">
        <f t="shared" si="12"/>
        <v>Value Created</v>
      </c>
      <c r="D41" s="154" t="str">
        <f t="shared" si="12"/>
        <v>Value Created</v>
      </c>
      <c r="E41" s="154" t="str">
        <f t="shared" si="12"/>
        <v>Value Created</v>
      </c>
      <c r="F41" s="154" t="str">
        <f t="shared" si="12"/>
        <v>Value Created</v>
      </c>
      <c r="G41" s="154" t="str">
        <f t="shared" si="12"/>
        <v>Value Created</v>
      </c>
      <c r="H41" s="154" t="str">
        <f t="shared" si="12"/>
        <v>Value Created</v>
      </c>
    </row>
    <row r="42" spans="1:8" ht="9.75" customHeight="1" x14ac:dyDescent="0.45"/>
    <row r="43" spans="1:8" ht="13.5" customHeight="1" x14ac:dyDescent="0.45"/>
    <row r="44" spans="1:8" ht="13.5" customHeight="1" x14ac:dyDescent="0.45">
      <c r="A44" s="380" t="s">
        <v>739</v>
      </c>
      <c r="B44" s="380"/>
      <c r="C44" s="380"/>
      <c r="D44" s="380"/>
      <c r="E44" s="380"/>
      <c r="F44" s="380"/>
      <c r="G44" s="380"/>
      <c r="H44" s="380"/>
    </row>
    <row r="45" spans="1:8" ht="13.5" customHeight="1" x14ac:dyDescent="0.45">
      <c r="A45" s="380"/>
      <c r="B45" s="380"/>
      <c r="C45" s="380"/>
      <c r="D45" s="380"/>
      <c r="E45" s="380"/>
      <c r="F45" s="380"/>
      <c r="G45" s="380"/>
      <c r="H45" s="380"/>
    </row>
    <row r="46" spans="1:8" ht="13.5" customHeight="1" x14ac:dyDescent="0.45">
      <c r="A46" s="380"/>
      <c r="B46" s="380"/>
      <c r="C46" s="380"/>
      <c r="D46" s="380"/>
      <c r="E46" s="380"/>
      <c r="F46" s="380"/>
      <c r="G46" s="380"/>
      <c r="H46" s="380"/>
    </row>
    <row r="47" spans="1:8" ht="13.5" customHeight="1" x14ac:dyDescent="0.45">
      <c r="A47" s="380"/>
      <c r="B47" s="380"/>
      <c r="C47" s="380"/>
      <c r="D47" s="380"/>
      <c r="E47" s="380"/>
      <c r="F47" s="380"/>
      <c r="G47" s="380"/>
      <c r="H47" s="380"/>
    </row>
    <row r="48" spans="1:8" ht="13.5" customHeight="1" x14ac:dyDescent="0.45"/>
    <row r="49" ht="13.5" customHeight="1" x14ac:dyDescent="0.45"/>
    <row r="50" ht="13.5" customHeight="1" x14ac:dyDescent="0.45"/>
    <row r="51" ht="13.5" customHeight="1" x14ac:dyDescent="0.45"/>
    <row r="52" ht="13.5" customHeight="1" x14ac:dyDescent="0.45"/>
    <row r="53" ht="16.5" customHeight="1" x14ac:dyDescent="0.45"/>
    <row r="54" ht="16.5" customHeight="1" x14ac:dyDescent="0.45"/>
    <row r="55" ht="16.5" customHeight="1" x14ac:dyDescent="0.45"/>
    <row r="56" ht="16.5" customHeight="1" x14ac:dyDescent="0.45"/>
    <row r="57" ht="16.5" customHeight="1" x14ac:dyDescent="0.45"/>
    <row r="58" ht="16.5" customHeight="1" x14ac:dyDescent="0.45"/>
    <row r="59" ht="16.5" customHeight="1" x14ac:dyDescent="0.45"/>
  </sheetData>
  <mergeCells count="9">
    <mergeCell ref="A1:H1"/>
    <mergeCell ref="A9:H9"/>
    <mergeCell ref="A16:H16"/>
    <mergeCell ref="A44:H47"/>
    <mergeCell ref="A2:B2"/>
    <mergeCell ref="A3:H3"/>
    <mergeCell ref="A17:D17"/>
    <mergeCell ref="A24:H24"/>
    <mergeCell ref="A34:H3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B8BBA-DB5E-4071-A25D-DDCF54F741BF}">
  <dimension ref="A1:M39"/>
  <sheetViews>
    <sheetView workbookViewId="0">
      <selection activeCell="K27" sqref="K27"/>
    </sheetView>
  </sheetViews>
  <sheetFormatPr defaultRowHeight="14.25" x14ac:dyDescent="0.45"/>
  <cols>
    <col min="1" max="1" width="51.9296875" customWidth="1"/>
  </cols>
  <sheetData>
    <row r="1" spans="1:13" ht="22.5" x14ac:dyDescent="0.45">
      <c r="A1" s="386" t="s">
        <v>843</v>
      </c>
      <c r="B1" s="386"/>
      <c r="C1" s="386"/>
      <c r="D1" s="247"/>
      <c r="E1" s="247"/>
      <c r="F1" s="247"/>
      <c r="G1" s="247"/>
      <c r="H1" s="247"/>
      <c r="I1" s="247"/>
      <c r="J1" s="247"/>
      <c r="K1" s="247"/>
      <c r="L1" s="247"/>
      <c r="M1" s="247"/>
    </row>
    <row r="3" spans="1:13" x14ac:dyDescent="0.45">
      <c r="A3" s="391" t="s">
        <v>31</v>
      </c>
      <c r="B3" s="392"/>
      <c r="C3" s="392"/>
      <c r="D3" s="392"/>
      <c r="E3" s="392"/>
      <c r="F3" s="392"/>
      <c r="G3" s="392"/>
      <c r="H3" s="392"/>
      <c r="I3" s="392"/>
      <c r="J3" s="392"/>
      <c r="K3" s="392"/>
      <c r="L3" s="392"/>
      <c r="M3" s="393"/>
    </row>
    <row r="4" spans="1:13" x14ac:dyDescent="0.45">
      <c r="A4" s="248" t="s">
        <v>229</v>
      </c>
      <c r="B4" s="248" t="s">
        <v>415</v>
      </c>
      <c r="C4" s="248" t="s">
        <v>416</v>
      </c>
      <c r="D4" s="248" t="s">
        <v>417</v>
      </c>
      <c r="E4" s="248" t="s">
        <v>418</v>
      </c>
      <c r="F4" s="248" t="s">
        <v>419</v>
      </c>
      <c r="G4" s="248" t="s">
        <v>420</v>
      </c>
      <c r="H4" s="248" t="s">
        <v>421</v>
      </c>
      <c r="I4" s="248" t="s">
        <v>422</v>
      </c>
      <c r="J4" s="248" t="s">
        <v>423</v>
      </c>
      <c r="K4" s="248" t="s">
        <v>424</v>
      </c>
      <c r="L4" s="248" t="s">
        <v>425</v>
      </c>
      <c r="M4" s="248" t="s">
        <v>426</v>
      </c>
    </row>
    <row r="5" spans="1:13" x14ac:dyDescent="0.45">
      <c r="A5" s="75" t="s">
        <v>821</v>
      </c>
      <c r="B5" s="240">
        <f>'Financial Statement'!B18</f>
        <v>18053.53</v>
      </c>
      <c r="C5" s="240">
        <f>'Financial Statement'!C18</f>
        <v>24144.37</v>
      </c>
      <c r="D5" s="240">
        <f>'Financial Statement'!D18</f>
        <v>23525.93</v>
      </c>
      <c r="E5" s="240">
        <f>'Financial Statement'!E18</f>
        <v>28015.759999999998</v>
      </c>
      <c r="F5" s="240">
        <f>'Financial Statement'!F18</f>
        <v>27215.37</v>
      </c>
      <c r="G5" s="240">
        <f>'Financial Statement'!G18</f>
        <v>27153.46</v>
      </c>
      <c r="H5" s="240">
        <f>'Financial Statement'!H18</f>
        <v>28098.75</v>
      </c>
      <c r="I5" s="244">
        <f>'Financial Statement'!I18</f>
        <v>30174.197950000002</v>
      </c>
      <c r="J5" s="244">
        <f>'Financial Statement'!J18</f>
        <v>32350.040292250007</v>
      </c>
      <c r="K5" s="244">
        <f>'Financial Statement'!K18</f>
        <v>34631.325685378753</v>
      </c>
      <c r="L5" s="244">
        <f>'Financial Statement'!L18</f>
        <v>37023.355950224264</v>
      </c>
      <c r="M5" s="244">
        <f>'Financial Statement'!M18</f>
        <v>39531.698771017182</v>
      </c>
    </row>
    <row r="6" spans="1:13" x14ac:dyDescent="0.45">
      <c r="A6" s="75" t="s">
        <v>822</v>
      </c>
      <c r="B6" s="242">
        <f>WACC!G17</f>
        <v>0.25</v>
      </c>
      <c r="C6" s="242">
        <f>B6</f>
        <v>0.25</v>
      </c>
      <c r="D6" s="242">
        <f t="shared" ref="D6:M6" si="0">C6</f>
        <v>0.25</v>
      </c>
      <c r="E6" s="242">
        <f t="shared" si="0"/>
        <v>0.25</v>
      </c>
      <c r="F6" s="242">
        <f t="shared" si="0"/>
        <v>0.25</v>
      </c>
      <c r="G6" s="242">
        <f t="shared" si="0"/>
        <v>0.25</v>
      </c>
      <c r="H6" s="242">
        <f t="shared" si="0"/>
        <v>0.25</v>
      </c>
      <c r="I6" s="245">
        <f t="shared" si="0"/>
        <v>0.25</v>
      </c>
      <c r="J6" s="245">
        <f t="shared" si="0"/>
        <v>0.25</v>
      </c>
      <c r="K6" s="245">
        <f t="shared" si="0"/>
        <v>0.25</v>
      </c>
      <c r="L6" s="245">
        <f>K6</f>
        <v>0.25</v>
      </c>
      <c r="M6" s="245">
        <f t="shared" si="0"/>
        <v>0.25</v>
      </c>
    </row>
    <row r="7" spans="1:13" x14ac:dyDescent="0.45">
      <c r="A7" s="77" t="s">
        <v>823</v>
      </c>
      <c r="B7" s="243">
        <f t="shared" ref="B7:M7" si="1">B5*(1-B6)</f>
        <v>13540.147499999999</v>
      </c>
      <c r="C7" s="243">
        <f t="shared" si="1"/>
        <v>18108.2775</v>
      </c>
      <c r="D7" s="243">
        <f t="shared" si="1"/>
        <v>17644.447500000002</v>
      </c>
      <c r="E7" s="243">
        <f t="shared" si="1"/>
        <v>21011.82</v>
      </c>
      <c r="F7" s="243">
        <f t="shared" si="1"/>
        <v>20411.5275</v>
      </c>
      <c r="G7" s="243">
        <f t="shared" si="1"/>
        <v>20365.095000000001</v>
      </c>
      <c r="H7" s="243">
        <f t="shared" si="1"/>
        <v>21074.0625</v>
      </c>
      <c r="I7" s="243">
        <f t="shared" si="1"/>
        <v>22630.648462500001</v>
      </c>
      <c r="J7" s="243">
        <f t="shared" si="1"/>
        <v>24262.530219187505</v>
      </c>
      <c r="K7" s="243">
        <f t="shared" si="1"/>
        <v>25973.494264034067</v>
      </c>
      <c r="L7" s="243">
        <f t="shared" si="1"/>
        <v>27767.516962668196</v>
      </c>
      <c r="M7" s="243">
        <f t="shared" si="1"/>
        <v>29648.774078262886</v>
      </c>
    </row>
    <row r="8" spans="1:13" x14ac:dyDescent="0.45">
      <c r="A8" s="75" t="s">
        <v>824</v>
      </c>
      <c r="B8" s="240">
        <v>10200.67</v>
      </c>
      <c r="C8" s="240">
        <v>11073.18</v>
      </c>
      <c r="D8" s="240">
        <v>11711.68</v>
      </c>
      <c r="E8" s="240">
        <v>12550.58</v>
      </c>
      <c r="F8" s="240">
        <v>12939.88</v>
      </c>
      <c r="G8" s="240">
        <v>12558.19</v>
      </c>
      <c r="H8" s="240">
        <v>12352.23</v>
      </c>
      <c r="I8" s="241">
        <v>12290.47</v>
      </c>
      <c r="J8" s="241">
        <v>12229.02</v>
      </c>
      <c r="K8" s="241">
        <v>12167.87</v>
      </c>
      <c r="L8" s="241">
        <v>12107.03</v>
      </c>
      <c r="M8" s="241">
        <v>12046.5</v>
      </c>
    </row>
    <row r="9" spans="1:13" x14ac:dyDescent="0.45">
      <c r="A9" s="75" t="s">
        <v>825</v>
      </c>
      <c r="B9" s="240">
        <v>19462.03</v>
      </c>
      <c r="C9" s="240">
        <v>8006.12</v>
      </c>
      <c r="D9" s="240">
        <v>6389.23</v>
      </c>
      <c r="E9" s="240">
        <v>3645.32</v>
      </c>
      <c r="F9" s="240">
        <v>3064.54</v>
      </c>
      <c r="G9" s="240">
        <v>5517.74</v>
      </c>
      <c r="H9" s="240">
        <v>5142.74</v>
      </c>
      <c r="I9" s="241">
        <v>5399.88</v>
      </c>
      <c r="J9" s="241">
        <v>5669.87</v>
      </c>
      <c r="K9" s="241">
        <v>5953.36</v>
      </c>
      <c r="L9" s="241">
        <v>6251.03</v>
      </c>
      <c r="M9" s="241">
        <v>6563.58</v>
      </c>
    </row>
    <row r="10" spans="1:13" x14ac:dyDescent="0.45">
      <c r="A10" s="75" t="s">
        <v>826</v>
      </c>
      <c r="B10" s="240">
        <v>0</v>
      </c>
      <c r="C10" s="240">
        <v>0</v>
      </c>
      <c r="D10" s="240">
        <v>0</v>
      </c>
      <c r="E10" s="240">
        <v>0</v>
      </c>
      <c r="F10" s="240">
        <v>0</v>
      </c>
      <c r="G10" s="240">
        <v>0</v>
      </c>
      <c r="H10" s="240">
        <v>0</v>
      </c>
      <c r="I10" s="241">
        <v>115.38</v>
      </c>
      <c r="J10" s="241">
        <v>113.06</v>
      </c>
      <c r="K10" s="241">
        <v>110.5</v>
      </c>
      <c r="L10" s="241">
        <v>107.71</v>
      </c>
      <c r="M10" s="241">
        <v>104.71</v>
      </c>
    </row>
    <row r="11" spans="1:13" x14ac:dyDescent="0.45">
      <c r="A11" s="249" t="s">
        <v>827</v>
      </c>
      <c r="B11" s="250">
        <f t="shared" ref="B11:M11" si="2">B7+B8-B9-ABS(B10)</f>
        <v>4278.7874999999985</v>
      </c>
      <c r="C11" s="250">
        <f t="shared" si="2"/>
        <v>21175.337500000001</v>
      </c>
      <c r="D11" s="250">
        <f t="shared" si="2"/>
        <v>22966.897500000003</v>
      </c>
      <c r="E11" s="250">
        <f t="shared" si="2"/>
        <v>29917.08</v>
      </c>
      <c r="F11" s="250">
        <f t="shared" si="2"/>
        <v>30286.8675</v>
      </c>
      <c r="G11" s="250">
        <f t="shared" si="2"/>
        <v>27405.545000000006</v>
      </c>
      <c r="H11" s="250">
        <f t="shared" si="2"/>
        <v>28283.552499999998</v>
      </c>
      <c r="I11" s="250">
        <f t="shared" si="2"/>
        <v>29405.8584625</v>
      </c>
      <c r="J11" s="250">
        <f t="shared" si="2"/>
        <v>30708.620219187505</v>
      </c>
      <c r="K11" s="250">
        <f t="shared" si="2"/>
        <v>32077.504264034069</v>
      </c>
      <c r="L11" s="250">
        <f t="shared" si="2"/>
        <v>33515.806962668197</v>
      </c>
      <c r="M11" s="250">
        <f t="shared" si="2"/>
        <v>35026.984078262882</v>
      </c>
    </row>
    <row r="13" spans="1:13" x14ac:dyDescent="0.45">
      <c r="A13" s="384" t="s">
        <v>828</v>
      </c>
      <c r="B13" s="384"/>
      <c r="C13" s="384"/>
      <c r="D13" s="384"/>
      <c r="E13" s="384"/>
      <c r="F13" s="384"/>
      <c r="G13" s="384"/>
      <c r="H13" s="384"/>
      <c r="I13" s="384"/>
      <c r="J13" s="384"/>
      <c r="K13" s="384"/>
      <c r="L13" s="384"/>
      <c r="M13" s="384"/>
    </row>
    <row r="14" spans="1:13" x14ac:dyDescent="0.45">
      <c r="A14" s="248" t="s">
        <v>229</v>
      </c>
      <c r="B14" s="248" t="s">
        <v>605</v>
      </c>
      <c r="C14" s="248" t="s">
        <v>606</v>
      </c>
      <c r="D14" s="248" t="s">
        <v>607</v>
      </c>
      <c r="E14" s="248" t="s">
        <v>608</v>
      </c>
      <c r="F14" s="248" t="s">
        <v>609</v>
      </c>
      <c r="G14" s="3"/>
    </row>
    <row r="15" spans="1:13" x14ac:dyDescent="0.45">
      <c r="A15" s="75" t="s">
        <v>829</v>
      </c>
      <c r="B15" s="246">
        <f>1/(1+WACC!$G$25)^1</f>
        <v>0.92378566854401722</v>
      </c>
      <c r="C15" s="246">
        <f>1/(1+WACC!$G$25)^2</f>
        <v>0.85337996140731687</v>
      </c>
      <c r="D15" s="246">
        <f>1/(1+WACC!$G$25)^3</f>
        <v>0.78834017817072588</v>
      </c>
      <c r="E15" s="246">
        <f>1/(1+WACC!$G$25)^4</f>
        <v>0.72825735853155371</v>
      </c>
      <c r="F15" s="246">
        <f>1/(1+WACC!$G$25)^5</f>
        <v>0.67275371082317137</v>
      </c>
      <c r="G15" s="3"/>
    </row>
    <row r="16" spans="1:13" x14ac:dyDescent="0.45">
      <c r="A16" s="249" t="s">
        <v>830</v>
      </c>
      <c r="B16" s="251">
        <f>B11*B15</f>
        <v>3952.6825712452828</v>
      </c>
      <c r="C16" s="251">
        <f t="shared" ref="C16:F16" si="3">C11*C15</f>
        <v>18070.608698536911</v>
      </c>
      <c r="D16" s="251">
        <f t="shared" si="3"/>
        <v>18105.728067178799</v>
      </c>
      <c r="E16" s="251">
        <f t="shared" si="3"/>
        <v>21787.333655777176</v>
      </c>
      <c r="F16" s="251">
        <f t="shared" si="3"/>
        <v>20375.602499834706</v>
      </c>
      <c r="G16" s="86"/>
    </row>
    <row r="17" spans="1:13" x14ac:dyDescent="0.45">
      <c r="A17" s="252" t="s">
        <v>831</v>
      </c>
      <c r="B17" s="390">
        <f>SUM(B16:G16)</f>
        <v>82291.955492572873</v>
      </c>
      <c r="C17" s="390"/>
      <c r="D17" s="390"/>
      <c r="E17" s="390"/>
      <c r="F17" s="390"/>
      <c r="G17" s="390"/>
    </row>
    <row r="20" spans="1:13" x14ac:dyDescent="0.45">
      <c r="A20" s="384" t="s">
        <v>832</v>
      </c>
      <c r="B20" s="384"/>
      <c r="C20" s="384"/>
      <c r="D20" s="384"/>
      <c r="E20" s="384"/>
      <c r="F20" s="384"/>
      <c r="G20" s="384"/>
      <c r="H20" s="384"/>
      <c r="I20" s="384"/>
      <c r="J20" s="384"/>
      <c r="K20" s="384"/>
      <c r="L20" s="384"/>
      <c r="M20" s="384"/>
    </row>
    <row r="21" spans="1:13" x14ac:dyDescent="0.45">
      <c r="A21" s="75" t="s">
        <v>833</v>
      </c>
      <c r="B21" s="385">
        <f>F16*(1+'DCF valuation'!C6)</f>
        <v>21496.260637325613</v>
      </c>
      <c r="C21" s="385"/>
      <c r="D21" s="385"/>
    </row>
    <row r="22" spans="1:13" x14ac:dyDescent="0.45">
      <c r="A22" s="75" t="s">
        <v>834</v>
      </c>
      <c r="B22" s="385">
        <f>B21/(WACC!G25-'DCF valuation'!C6)</f>
        <v>781620.24541444343</v>
      </c>
      <c r="C22" s="385"/>
      <c r="D22" s="385"/>
    </row>
    <row r="23" spans="1:13" x14ac:dyDescent="0.45">
      <c r="A23" s="75" t="s">
        <v>835</v>
      </c>
      <c r="B23" s="385">
        <f>B22/(1+WACC!G25)^5</f>
        <v>525837.92055708473</v>
      </c>
      <c r="C23" s="385"/>
      <c r="D23" s="385"/>
    </row>
    <row r="24" spans="1:13" x14ac:dyDescent="0.45">
      <c r="A24" s="75" t="s">
        <v>836</v>
      </c>
      <c r="B24" s="385">
        <f>B17</f>
        <v>82291.955492572873</v>
      </c>
      <c r="C24" s="385"/>
      <c r="D24" s="385"/>
    </row>
    <row r="25" spans="1:13" x14ac:dyDescent="0.45">
      <c r="A25" s="249" t="s">
        <v>837</v>
      </c>
      <c r="B25" s="390">
        <f>B23+B24</f>
        <v>608129.87604965759</v>
      </c>
      <c r="C25" s="390"/>
      <c r="D25" s="390"/>
    </row>
    <row r="26" spans="1:13" x14ac:dyDescent="0.45">
      <c r="A26" s="75" t="s">
        <v>838</v>
      </c>
      <c r="B26" s="385">
        <f>'Financial Statement'!H50</f>
        <v>124545.56</v>
      </c>
      <c r="C26" s="385"/>
      <c r="D26" s="385"/>
    </row>
    <row r="27" spans="1:13" x14ac:dyDescent="0.45">
      <c r="A27" s="249" t="s">
        <v>839</v>
      </c>
      <c r="B27" s="390">
        <f>B25-B26</f>
        <v>483584.31604965759</v>
      </c>
      <c r="C27" s="390"/>
      <c r="D27" s="390"/>
    </row>
    <row r="28" spans="1:13" x14ac:dyDescent="0.45">
      <c r="A28" s="75" t="s">
        <v>840</v>
      </c>
      <c r="B28" s="387">
        <v>930.06</v>
      </c>
      <c r="C28" s="387"/>
      <c r="D28" s="387"/>
    </row>
    <row r="29" spans="1:13" ht="15" x14ac:dyDescent="0.45">
      <c r="A29" s="249" t="s">
        <v>841</v>
      </c>
      <c r="B29" s="388">
        <f>B27/B28</f>
        <v>519.94959040240155</v>
      </c>
      <c r="C29" s="388"/>
      <c r="D29" s="388"/>
    </row>
    <row r="30" spans="1:13" x14ac:dyDescent="0.45">
      <c r="A30" s="75" t="s">
        <v>842</v>
      </c>
      <c r="B30" s="387">
        <v>315</v>
      </c>
      <c r="C30" s="387"/>
      <c r="D30" s="387"/>
    </row>
    <row r="31" spans="1:13" x14ac:dyDescent="0.45">
      <c r="A31" s="249" t="s">
        <v>734</v>
      </c>
      <c r="B31" s="389">
        <f>(B29-B30)/B30</f>
        <v>0.65063362032508432</v>
      </c>
      <c r="C31" s="389"/>
      <c r="D31" s="389"/>
    </row>
    <row r="38" spans="1:1" x14ac:dyDescent="0.45">
      <c r="A38" s="332"/>
    </row>
    <row r="39" spans="1:1" x14ac:dyDescent="0.45">
      <c r="A39" s="332"/>
    </row>
  </sheetData>
  <mergeCells count="17">
    <mergeCell ref="B17:G17"/>
    <mergeCell ref="A20:M20"/>
    <mergeCell ref="B21:D21"/>
    <mergeCell ref="A38:A39"/>
    <mergeCell ref="A1:C1"/>
    <mergeCell ref="B28:D28"/>
    <mergeCell ref="B29:D29"/>
    <mergeCell ref="B30:D30"/>
    <mergeCell ref="B31:D31"/>
    <mergeCell ref="B22:D22"/>
    <mergeCell ref="B23:D23"/>
    <mergeCell ref="B24:D24"/>
    <mergeCell ref="B25:D25"/>
    <mergeCell ref="B26:D26"/>
    <mergeCell ref="B27:D27"/>
    <mergeCell ref="A3:M3"/>
    <mergeCell ref="A13:M1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04C87-0005-4C4E-8735-9EB62D8FE764}">
  <dimension ref="B1:K63"/>
  <sheetViews>
    <sheetView workbookViewId="0">
      <selection activeCell="C18" sqref="C18"/>
    </sheetView>
  </sheetViews>
  <sheetFormatPr defaultColWidth="8.6640625" defaultRowHeight="14.25" x14ac:dyDescent="0.45"/>
  <cols>
    <col min="1" max="1" width="3" customWidth="1"/>
    <col min="2" max="2" width="48.59765625" customWidth="1"/>
    <col min="3" max="3" width="14" customWidth="1"/>
    <col min="4" max="5" width="12" customWidth="1"/>
    <col min="6" max="8" width="14" customWidth="1"/>
    <col min="9" max="11" width="12" customWidth="1"/>
  </cols>
  <sheetData>
    <row r="1" spans="2:7" ht="17.649999999999999" x14ac:dyDescent="0.45">
      <c r="B1" s="398" t="s">
        <v>706</v>
      </c>
      <c r="C1" s="398"/>
      <c r="D1" s="398"/>
    </row>
    <row r="3" spans="2:7" x14ac:dyDescent="0.45">
      <c r="B3" s="399" t="s">
        <v>667</v>
      </c>
      <c r="C3" s="399"/>
      <c r="D3" s="399"/>
      <c r="E3" s="399"/>
      <c r="F3" s="399"/>
      <c r="G3" s="399"/>
    </row>
    <row r="4" spans="2:7" x14ac:dyDescent="0.45">
      <c r="B4" s="192" t="s">
        <v>668</v>
      </c>
      <c r="C4" s="192" t="s">
        <v>417</v>
      </c>
      <c r="D4" s="192" t="s">
        <v>418</v>
      </c>
      <c r="E4" s="192" t="s">
        <v>419</v>
      </c>
      <c r="F4" s="192" t="s">
        <v>420</v>
      </c>
      <c r="G4" s="192" t="s">
        <v>421</v>
      </c>
    </row>
    <row r="5" spans="2:7" x14ac:dyDescent="0.45">
      <c r="B5" s="193" t="s">
        <v>669</v>
      </c>
      <c r="C5" s="194">
        <f>'Financial Statement'!D9</f>
        <v>37665.65</v>
      </c>
      <c r="D5" s="194">
        <f>'Financial Statement'!E9</f>
        <v>39933.39</v>
      </c>
      <c r="E5" s="194">
        <f>'Financial Statement'!F9</f>
        <v>43343.05</v>
      </c>
      <c r="F5" s="194">
        <f>'Financial Statement'!G9</f>
        <v>42391.16</v>
      </c>
      <c r="G5" s="194">
        <f>'Financial Statement'!H9</f>
        <v>41431.49</v>
      </c>
    </row>
    <row r="6" spans="2:7" x14ac:dyDescent="0.45">
      <c r="B6" s="195" t="s">
        <v>53</v>
      </c>
      <c r="C6" s="196">
        <f>'Financial Statement'!D11</f>
        <v>41032.47</v>
      </c>
      <c r="D6" s="196">
        <v>46324.76</v>
      </c>
      <c r="E6" s="196">
        <v>47210.64</v>
      </c>
      <c r="F6" s="196">
        <v>45940.17</v>
      </c>
      <c r="G6" s="196">
        <v>46640.03</v>
      </c>
    </row>
    <row r="7" spans="2:7" x14ac:dyDescent="0.45">
      <c r="B7" s="193" t="s">
        <v>88</v>
      </c>
      <c r="C7" s="194">
        <v>5794.86</v>
      </c>
      <c r="D7" s="194">
        <v>5758.42</v>
      </c>
      <c r="E7" s="194">
        <v>7055.39</v>
      </c>
      <c r="F7" s="194">
        <v>6228.52</v>
      </c>
      <c r="G7" s="194">
        <v>6189.05</v>
      </c>
    </row>
    <row r="8" spans="2:7" x14ac:dyDescent="0.45">
      <c r="B8" s="195" t="s">
        <v>670</v>
      </c>
      <c r="C8" s="196">
        <v>35237.61</v>
      </c>
      <c r="D8" s="196">
        <v>40566.339999999997</v>
      </c>
      <c r="E8" s="196">
        <v>40155.25</v>
      </c>
      <c r="F8" s="196">
        <v>39711.65</v>
      </c>
      <c r="G8" s="196">
        <v>40450.980000000003</v>
      </c>
    </row>
    <row r="9" spans="2:7" x14ac:dyDescent="0.45">
      <c r="B9" s="193" t="s">
        <v>125</v>
      </c>
      <c r="C9" s="194">
        <v>8501.01</v>
      </c>
      <c r="D9" s="194">
        <v>8210.94</v>
      </c>
      <c r="E9" s="194">
        <v>9744.25</v>
      </c>
      <c r="F9" s="194">
        <v>9046.8700000000008</v>
      </c>
      <c r="G9" s="194">
        <v>9479.32</v>
      </c>
    </row>
    <row r="10" spans="2:7" x14ac:dyDescent="0.45">
      <c r="B10" s="195" t="s">
        <v>99</v>
      </c>
      <c r="C10" s="196">
        <v>11711.68</v>
      </c>
      <c r="D10" s="196">
        <v>12550.58</v>
      </c>
      <c r="E10" s="196">
        <v>12939.88</v>
      </c>
      <c r="F10" s="196">
        <v>12558.19</v>
      </c>
      <c r="G10" s="196">
        <v>12352.23</v>
      </c>
    </row>
    <row r="11" spans="2:7" x14ac:dyDescent="0.45">
      <c r="B11" s="193" t="s">
        <v>100</v>
      </c>
      <c r="C11" s="194">
        <v>15024.92</v>
      </c>
      <c r="D11" s="194">
        <v>19804.82</v>
      </c>
      <c r="E11" s="194">
        <v>17471.12</v>
      </c>
      <c r="F11" s="194">
        <v>18106.59</v>
      </c>
      <c r="G11" s="194">
        <v>18619.43</v>
      </c>
    </row>
    <row r="12" spans="2:7" x14ac:dyDescent="0.45">
      <c r="B12" s="195" t="s">
        <v>104</v>
      </c>
      <c r="C12" s="196">
        <v>11935.78</v>
      </c>
      <c r="D12" s="196">
        <v>17093.759999999998</v>
      </c>
      <c r="E12" s="196">
        <v>15333.02</v>
      </c>
      <c r="F12" s="196">
        <v>15474.61</v>
      </c>
      <c r="G12" s="196">
        <v>15353.57</v>
      </c>
    </row>
    <row r="13" spans="2:7" x14ac:dyDescent="0.45">
      <c r="B13" s="193" t="s">
        <v>671</v>
      </c>
      <c r="C13" s="197">
        <v>12</v>
      </c>
      <c r="D13" s="197">
        <v>14.75</v>
      </c>
      <c r="E13" s="197">
        <v>14.75</v>
      </c>
      <c r="F13" s="197">
        <v>11.25</v>
      </c>
      <c r="G13" s="197">
        <v>9</v>
      </c>
    </row>
    <row r="14" spans="2:7" x14ac:dyDescent="0.45">
      <c r="B14" s="195" t="s">
        <v>672</v>
      </c>
      <c r="C14" s="198">
        <v>22.81</v>
      </c>
      <c r="D14" s="198">
        <v>24.51</v>
      </c>
      <c r="E14" s="198">
        <v>21.98</v>
      </c>
      <c r="F14" s="198">
        <v>16.64</v>
      </c>
      <c r="G14" s="198">
        <v>16.510000000000002</v>
      </c>
    </row>
    <row r="16" spans="2:7" x14ac:dyDescent="0.45">
      <c r="B16" s="404" t="s">
        <v>673</v>
      </c>
      <c r="C16" s="404"/>
      <c r="D16" s="404"/>
    </row>
    <row r="17" spans="2:11" x14ac:dyDescent="0.45">
      <c r="B17" s="149" t="s">
        <v>674</v>
      </c>
      <c r="C17" s="199">
        <v>0.13</v>
      </c>
      <c r="D17" s="201" t="s">
        <v>675</v>
      </c>
    </row>
    <row r="18" spans="2:11" x14ac:dyDescent="0.45">
      <c r="B18" s="149" t="s">
        <v>676</v>
      </c>
      <c r="C18" s="199">
        <v>0.12</v>
      </c>
      <c r="D18" s="201" t="s">
        <v>677</v>
      </c>
    </row>
    <row r="19" spans="2:11" x14ac:dyDescent="0.45">
      <c r="B19" s="149" t="s">
        <v>678</v>
      </c>
      <c r="C19" s="199">
        <v>0.06</v>
      </c>
      <c r="D19" s="201" t="s">
        <v>679</v>
      </c>
    </row>
    <row r="20" spans="2:11" x14ac:dyDescent="0.45">
      <c r="B20" s="149" t="s">
        <v>680</v>
      </c>
      <c r="C20" s="200">
        <v>9</v>
      </c>
      <c r="D20" s="201" t="s">
        <v>681</v>
      </c>
    </row>
    <row r="21" spans="2:11" x14ac:dyDescent="0.45">
      <c r="B21" s="149" t="s">
        <v>682</v>
      </c>
      <c r="C21" s="200">
        <v>10</v>
      </c>
      <c r="D21" s="201" t="s">
        <v>683</v>
      </c>
    </row>
    <row r="23" spans="2:11" x14ac:dyDescent="0.45">
      <c r="B23" s="394" t="s">
        <v>684</v>
      </c>
      <c r="C23" s="394"/>
      <c r="D23" s="394"/>
      <c r="E23" s="394"/>
      <c r="F23" s="394"/>
      <c r="G23" s="394"/>
      <c r="H23" s="394"/>
      <c r="I23" s="394"/>
      <c r="J23" s="394"/>
      <c r="K23" s="394"/>
    </row>
    <row r="24" spans="2:11" x14ac:dyDescent="0.45">
      <c r="B24" s="395" t="s">
        <v>685</v>
      </c>
      <c r="C24" s="395"/>
      <c r="D24" s="395"/>
      <c r="E24" s="395"/>
      <c r="F24" s="395"/>
      <c r="G24" s="395"/>
      <c r="H24" s="395"/>
      <c r="I24" s="395"/>
      <c r="J24" s="395"/>
      <c r="K24" s="395"/>
    </row>
    <row r="25" spans="2:11" x14ac:dyDescent="0.45">
      <c r="B25" s="396" t="s">
        <v>686</v>
      </c>
      <c r="C25" s="396"/>
      <c r="D25" s="396"/>
      <c r="E25" s="396"/>
      <c r="F25" s="396"/>
      <c r="G25" s="396"/>
      <c r="H25" s="396"/>
      <c r="I25" s="396"/>
      <c r="J25" s="396"/>
      <c r="K25" s="396"/>
    </row>
    <row r="27" spans="2:11" x14ac:dyDescent="0.45">
      <c r="B27" s="401" t="s">
        <v>687</v>
      </c>
      <c r="C27" s="401"/>
      <c r="D27" s="401"/>
      <c r="E27" s="401"/>
      <c r="F27" s="401"/>
      <c r="G27" s="401"/>
      <c r="H27" s="401"/>
      <c r="I27" s="401"/>
      <c r="J27" s="401"/>
      <c r="K27" s="401"/>
    </row>
    <row r="28" spans="2:11" x14ac:dyDescent="0.45">
      <c r="B28" s="193" t="s">
        <v>688</v>
      </c>
      <c r="C28" s="206">
        <f>C22/2</f>
        <v>0</v>
      </c>
    </row>
    <row r="29" spans="2:11" x14ac:dyDescent="0.45">
      <c r="B29" s="195" t="s">
        <v>689</v>
      </c>
      <c r="C29" s="207">
        <f>C21*(1+C19)</f>
        <v>10.600000000000001</v>
      </c>
    </row>
    <row r="30" spans="2:11" x14ac:dyDescent="0.45">
      <c r="B30" s="193" t="s">
        <v>690</v>
      </c>
      <c r="C30" s="206">
        <f>C17-C19</f>
        <v>7.0000000000000007E-2</v>
      </c>
    </row>
    <row r="31" spans="2:11" x14ac:dyDescent="0.45">
      <c r="B31" s="195" t="s">
        <v>691</v>
      </c>
      <c r="C31" s="207">
        <f>C21*(1+C19)/(C17-C19)</f>
        <v>151.42857142857144</v>
      </c>
    </row>
    <row r="32" spans="2:11" x14ac:dyDescent="0.45">
      <c r="B32" s="193" t="s">
        <v>692</v>
      </c>
      <c r="C32" s="206">
        <f>C21*(C22/2)*(C18-C19)/(C17-C19)</f>
        <v>0</v>
      </c>
    </row>
    <row r="33" spans="2:11" x14ac:dyDescent="0.45">
      <c r="B33" s="208" t="s">
        <v>693</v>
      </c>
      <c r="C33" s="209">
        <f>C31+C32</f>
        <v>151.42857142857144</v>
      </c>
    </row>
    <row r="36" spans="2:11" x14ac:dyDescent="0.45">
      <c r="B36" s="394" t="s">
        <v>694</v>
      </c>
      <c r="C36" s="394"/>
      <c r="D36" s="394"/>
      <c r="E36" s="394"/>
      <c r="F36" s="394"/>
      <c r="G36" s="394"/>
      <c r="H36" s="394"/>
      <c r="I36" s="394"/>
      <c r="J36" s="394"/>
      <c r="K36" s="394"/>
    </row>
    <row r="37" spans="2:11" x14ac:dyDescent="0.45">
      <c r="B37" s="192" t="s">
        <v>695</v>
      </c>
      <c r="C37" s="210">
        <v>0.1</v>
      </c>
      <c r="D37" s="210">
        <v>0.11</v>
      </c>
      <c r="E37" s="210">
        <v>0.12</v>
      </c>
      <c r="F37" s="210">
        <v>0.13</v>
      </c>
      <c r="G37" s="210">
        <v>0.14000000000000001</v>
      </c>
      <c r="H37" s="210">
        <v>0.15</v>
      </c>
      <c r="I37" s="210">
        <v>0.16</v>
      </c>
      <c r="J37" s="210">
        <v>0.18</v>
      </c>
      <c r="K37" s="210">
        <v>0.2</v>
      </c>
    </row>
    <row r="38" spans="2:11" x14ac:dyDescent="0.45">
      <c r="B38" s="211">
        <v>0.18</v>
      </c>
      <c r="C38" s="212">
        <f>IF(0.1=C19,"N/A",C21*(1+C19)/(0.1-C19)+C21*(C22/2)*(0.18-C19)/(0.1-C19))</f>
        <v>265</v>
      </c>
      <c r="D38" s="212">
        <f>IF(0.11=C19,"N/A",C21*(1+C19)/(0.11-C19)+C21*(C22/2)*(0.18-C19)/(0.11-C19))</f>
        <v>212.00000000000003</v>
      </c>
      <c r="E38" s="212">
        <f>IF(0.12=C19,"N/A",C21*(1+C19)/(0.12-C19)+C21*(C22/2)*(0.18-C19)/(0.12-C19))</f>
        <v>176.66666666666669</v>
      </c>
      <c r="F38" s="212">
        <f>IF(0.13=C19,"N/A",C21*(1+C19)/(0.13-C19)+C21*(C22/2)*(0.18-C19)/(0.13-C19))</f>
        <v>151.42857142857144</v>
      </c>
      <c r="G38" s="212">
        <f>IF(0.14=C19,"N/A",C21*(1+C19)/(0.14-C19)+C21*(C22/2)*(0.18-C19)/(0.14-C19))</f>
        <v>132.5</v>
      </c>
      <c r="H38" s="212">
        <f>IF(0.15=C19,"N/A",C21*(1+C19)/(0.15-C19)+C21*(C22/2)*(0.18-C19)/(0.15-C19))</f>
        <v>117.7777777777778</v>
      </c>
      <c r="I38" s="212">
        <f>IF(0.16=C19,"N/A",C21*(1+C19)/(0.16-C19)+C21*(C22/2)*(0.18-C19)/(0.16-C19))</f>
        <v>106.00000000000001</v>
      </c>
      <c r="J38" s="212">
        <f>IF(0.18=C19,"N/A",C21*(1+C19)/(0.18-C19)+C21*(C22/2)*(0.18-C19)/(0.18-C19))</f>
        <v>88.333333333333343</v>
      </c>
      <c r="K38" s="212">
        <f>IF(0.2=C19,"N/A",C21*(1+C19)/(0.2-C19)+C21*(C22/2)*(0.18-C19)/(0.2-C19))</f>
        <v>75.714285714285722</v>
      </c>
    </row>
    <row r="39" spans="2:11" x14ac:dyDescent="0.45">
      <c r="B39" s="211">
        <v>0.15</v>
      </c>
      <c r="C39" s="213">
        <f>IF(0.1=C19,"N/A",C21*(1+C19)/(0.1-C19)+C21*(C22/2)*(0.15-C19)/(0.1-C19))</f>
        <v>265</v>
      </c>
      <c r="D39" s="213">
        <f>IF(0.11=C19,"N/A",C21*(1+C19)/(0.11-C19)+C21*(C22/2)*(0.15-C19)/(0.11-C19))</f>
        <v>212.00000000000003</v>
      </c>
      <c r="E39" s="213">
        <f>IF(0.12=C19,"N/A",C21*(1+C19)/(0.12-C19)+C21*(C22/2)*(0.15-C19)/(0.12-C19))</f>
        <v>176.66666666666669</v>
      </c>
      <c r="F39" s="213">
        <f>IF(0.13=C19,"N/A",C21*(1+C19)/(0.13-C19)+C21*(C22/2)*(0.15-C19)/(0.13-C19))</f>
        <v>151.42857142857144</v>
      </c>
      <c r="G39" s="213">
        <f>IF(0.14=C19,"N/A",C21*(1+C19)/(0.14-C19)+C21*(C22/2)*(0.15-C19)/(0.14-C19))</f>
        <v>132.5</v>
      </c>
      <c r="H39" s="213">
        <f>IF(0.15=C19,"N/A",C21*(1+C19)/(0.15-C19)+C21*(C22/2)*(0.15-C19)/(0.15-C19))</f>
        <v>117.7777777777778</v>
      </c>
      <c r="I39" s="213">
        <f>IF(0.16=C19,"N/A",C21*(1+C19)/(0.16-C19)+C21*(C22/2)*(0.15-C19)/(0.16-C19))</f>
        <v>106.00000000000001</v>
      </c>
      <c r="J39" s="213">
        <f>IF(0.18=C19,"N/A",C21*(1+C19)/(0.18-C19)+C21*(C22/2)*(0.15-C19)/(0.18-C19))</f>
        <v>88.333333333333343</v>
      </c>
      <c r="K39" s="213">
        <f>IF(0.2=C19,"N/A",C21*(1+C19)/(0.2-C19)+C21*(C22/2)*(0.15-C19)/(0.2-C19))</f>
        <v>75.714285714285722</v>
      </c>
    </row>
    <row r="40" spans="2:11" x14ac:dyDescent="0.45">
      <c r="B40" s="211">
        <v>0.12</v>
      </c>
      <c r="C40" s="212">
        <f>IF(0.1=C19,"N/A",C21*(1+C19)/(0.1-C19)+C21*(C22/2)*(0.12-C19)/(0.1-C19))</f>
        <v>265</v>
      </c>
      <c r="D40" s="212">
        <f>IF(0.11=C19,"N/A",C21*(1+C19)/(0.11-C19)+C21*(C22/2)*(0.12-C19)/(0.11-C19))</f>
        <v>212.00000000000003</v>
      </c>
      <c r="E40" s="212">
        <f>IF(0.12=C19,"N/A",C21*(1+C19)/(0.12-C19)+C21*(C22/2)*(0.12-C19)/(0.12-C19))</f>
        <v>176.66666666666669</v>
      </c>
      <c r="F40" s="150">
        <f>IF(0.13=C19,"N/A",C21*(1+C19)/(0.13-C19)+C21*(C22/2)*(0.12-C19)/(0.13-C19))</f>
        <v>151.42857142857144</v>
      </c>
      <c r="G40" s="212">
        <f>IF(0.14=C19,"N/A",C21*(1+C19)/(0.14-C19)+C21*(C22/2)*(0.12-C19)/(0.14-C19))</f>
        <v>132.5</v>
      </c>
      <c r="H40" s="212">
        <f>IF(0.15=C19,"N/A",C21*(1+C19)/(0.15-C19)+C21*(C22/2)*(0.12-C19)/(0.15-C19))</f>
        <v>117.7777777777778</v>
      </c>
      <c r="I40" s="212">
        <f>IF(0.16=C19,"N/A",C21*(1+C19)/(0.16-C19)+C21*(C22/2)*(0.12-C19)/(0.16-C19))</f>
        <v>106.00000000000001</v>
      </c>
      <c r="J40" s="212">
        <f>IF(0.18=C19,"N/A",C21*(1+C19)/(0.18-C19)+C21*(C22/2)*(0.12-C19)/(0.18-C19))</f>
        <v>88.333333333333343</v>
      </c>
      <c r="K40" s="212">
        <f>IF(0.2=C19,"N/A",C21*(1+C19)/(0.2-C19)+C21*(C22/2)*(0.12-C19)/(0.2-C19))</f>
        <v>75.714285714285722</v>
      </c>
    </row>
    <row r="41" spans="2:11" x14ac:dyDescent="0.45">
      <c r="B41" s="211">
        <v>0.1</v>
      </c>
      <c r="C41" s="213">
        <f>IF(0.1=C19,"N/A",C21*(1+C19)/(0.1-C19)+C21*(C22/2)*(0.1-C19)/(0.1-C19))</f>
        <v>265</v>
      </c>
      <c r="D41" s="213">
        <f>IF(0.11=C19,"N/A",C21*(1+C19)/(0.11-C19)+C21*(C22/2)*(0.1-C19)/(0.11-C19))</f>
        <v>212.00000000000003</v>
      </c>
      <c r="E41" s="213">
        <f>IF(0.12=C19,"N/A",C21*(1+C19)/(0.12-C19)+C21*(C22/2)*(0.1-C19)/(0.12-C19))</f>
        <v>176.66666666666669</v>
      </c>
      <c r="F41" s="213">
        <f>IF(0.13=C19,"N/A",C21*(1+C19)/(0.13-C19)+C21*(C22/2)*(0.1-C19)/(0.13-C19))</f>
        <v>151.42857142857144</v>
      </c>
      <c r="G41" s="213">
        <f>IF(0.14=C19,"N/A",C21*(1+C19)/(0.14-C19)+C21*(C22/2)*(0.1-C19)/(0.14-C19))</f>
        <v>132.5</v>
      </c>
      <c r="H41" s="213">
        <f>IF(0.15=C19,"N/A",C21*(1+C19)/(0.15-C19)+C21*(C22/2)*(0.1-C19)/(0.15-C19))</f>
        <v>117.7777777777778</v>
      </c>
      <c r="I41" s="213">
        <f>IF(0.16=C19,"N/A",C21*(1+C19)/(0.16-C19)+C21*(C22/2)*(0.1-C19)/(0.16-C19))</f>
        <v>106.00000000000001</v>
      </c>
      <c r="J41" s="213">
        <f>IF(0.18=C19,"N/A",C21*(1+C19)/(0.18-C19)+C21*(C22/2)*(0.1-C19)/(0.18-C19))</f>
        <v>88.333333333333343</v>
      </c>
      <c r="K41" s="213">
        <f>IF(0.2=C19,"N/A",C21*(1+C19)/(0.2-C19)+C21*(C22/2)*(0.1-C19)/(0.2-C19))</f>
        <v>75.714285714285722</v>
      </c>
    </row>
    <row r="42" spans="2:11" x14ac:dyDescent="0.45">
      <c r="B42" s="211">
        <v>0.08</v>
      </c>
      <c r="C42" s="212">
        <f>IF(0.1=C19,"N/A",C21*(1+C19)/(0.1-C19)+C21*(C22/2)*(0.08-C19)/(0.1-C19))</f>
        <v>265</v>
      </c>
      <c r="D42" s="212">
        <f>IF(0.11=C19,"N/A",C21*(1+C19)/(0.11-C19)+C21*(C22/2)*(0.08-C19)/(0.11-C19))</f>
        <v>212.00000000000003</v>
      </c>
      <c r="E42" s="212">
        <f>IF(0.12=C19,"N/A",C21*(1+C19)/(0.12-C19)+C21*(C22/2)*(0.08-C19)/(0.12-C19))</f>
        <v>176.66666666666669</v>
      </c>
      <c r="F42" s="212">
        <f>IF(0.13=C19,"N/A",C21*(1+C19)/(0.13-C19)+C21*(C22/2)*(0.08-C19)/(0.13-C19))</f>
        <v>151.42857142857144</v>
      </c>
      <c r="G42" s="212">
        <f>IF(0.14=C19,"N/A",C21*(1+C19)/(0.14-C19)+C21*(C22/2)*(0.08-C19)/(0.14-C19))</f>
        <v>132.5</v>
      </c>
      <c r="H42" s="212">
        <f>IF(0.15=C19,"N/A",C21*(1+C19)/(0.15-C19)+C21*(C22/2)*(0.08-C19)/(0.15-C19))</f>
        <v>117.7777777777778</v>
      </c>
      <c r="I42" s="212">
        <f>IF(0.16=C19,"N/A",C21*(1+C19)/(0.16-C19)+C21*(C22/2)*(0.08-C19)/(0.16-C19))</f>
        <v>106.00000000000001</v>
      </c>
      <c r="J42" s="212">
        <f>IF(0.18=C19,"N/A",C21*(1+C19)/(0.18-C19)+C21*(C22/2)*(0.08-C19)/(0.18-C19))</f>
        <v>88.333333333333343</v>
      </c>
      <c r="K42" s="212">
        <f>IF(0.2=C19,"N/A",C21*(1+C19)/(0.2-C19)+C21*(C22/2)*(0.08-C19)/(0.2-C19))</f>
        <v>75.714285714285722</v>
      </c>
    </row>
    <row r="45" spans="2:11" x14ac:dyDescent="0.45">
      <c r="B45" s="402" t="s">
        <v>696</v>
      </c>
      <c r="C45" s="402"/>
      <c r="D45" s="402"/>
      <c r="E45" s="402"/>
      <c r="F45" s="402"/>
      <c r="G45" s="402"/>
      <c r="H45" s="402"/>
      <c r="I45" s="402"/>
      <c r="J45" s="402"/>
      <c r="K45" s="402"/>
    </row>
    <row r="46" spans="2:11" x14ac:dyDescent="0.45">
      <c r="B46" s="192" t="s">
        <v>695</v>
      </c>
      <c r="C46" s="210">
        <v>0.1</v>
      </c>
      <c r="D46" s="210">
        <v>0.11</v>
      </c>
      <c r="E46" s="210">
        <v>0.12</v>
      </c>
      <c r="F46" s="210">
        <v>0.13</v>
      </c>
      <c r="G46" s="210">
        <v>0.14000000000000001</v>
      </c>
      <c r="H46" s="210">
        <v>0.15</v>
      </c>
      <c r="I46" s="210">
        <v>0.16</v>
      </c>
      <c r="J46" s="210">
        <v>0.18</v>
      </c>
      <c r="K46" s="210">
        <v>0.2</v>
      </c>
    </row>
    <row r="47" spans="2:11" x14ac:dyDescent="0.45">
      <c r="B47" s="216">
        <v>0.08</v>
      </c>
      <c r="C47" s="214">
        <f>IF(0.1=0.08,"N/A",C21*(1+0.08)/(0.1-0.08)+C21*(C22/2)*(C18-0.08)/(0.1-0.08))</f>
        <v>539.99999999999989</v>
      </c>
      <c r="D47" s="214">
        <f>IF(0.11=0.08,"N/A",C21*(1+0.08)/(0.11-0.08)+C21*(C22/2)*(C18-0.08)/(0.11-0.08))</f>
        <v>360.00000000000006</v>
      </c>
      <c r="E47" s="214">
        <f>IF(0.12=0.08,"N/A",C21*(1+0.08)/(0.12-0.08)+C21*(C22/2)*(C18-0.08)/(0.12-0.08))</f>
        <v>270.00000000000006</v>
      </c>
      <c r="F47" s="214">
        <f>IF(0.13=0.08,"N/A",C21*(1+0.08)/(0.13-0.08)+C21*(C22/2)*(C18-0.08)/(0.13-0.08))</f>
        <v>216</v>
      </c>
      <c r="G47" s="214">
        <f>IF(0.14=0.08,"N/A",C21*(1+0.08)/(0.14-0.08)+C21*(C22/2)*(C18-0.08)/(0.14-0.08))</f>
        <v>179.99999999999997</v>
      </c>
      <c r="H47" s="214">
        <f>IF(0.15=0.08,"N/A",C21*(1+0.08)/(0.15-0.08)+C21*(C22/2)*(C18-0.08)/(0.15-0.08))</f>
        <v>154.28571428571431</v>
      </c>
      <c r="I47" s="214">
        <f>IF(0.16=0.08,"N/A",C21*(1+0.08)/(0.16-0.08)+C21*(C22/2)*(C18-0.08)/(0.16-0.08))</f>
        <v>135</v>
      </c>
      <c r="J47" s="214">
        <f>IF(0.18=0.08,"N/A",C21*(1+0.08)/(0.18-0.08)+C21*(C22/2)*(C18-0.08)/(0.18-0.08))</f>
        <v>108.00000000000001</v>
      </c>
      <c r="K47" s="214">
        <f>IF(0.2=0.08,"N/A",C21*(1+0.08)/(0.2-0.08)+C21*(C22/2)*(C18-0.08)/(0.2-0.08))</f>
        <v>90</v>
      </c>
    </row>
    <row r="48" spans="2:11" x14ac:dyDescent="0.45">
      <c r="B48" s="216">
        <v>7.0000000000000007E-2</v>
      </c>
      <c r="C48" s="215">
        <f>IF(0.1=0.07,"N/A",C21*(1+0.07)/(0.1-0.07)+C21*(C22/2)*(C18-0.07)/(0.1-0.07))</f>
        <v>356.66666666666674</v>
      </c>
      <c r="D48" s="215">
        <f>IF(0.11=0.07,"N/A",C21*(1+0.07)/(0.11-0.07)+C21*(C22/2)*(C18-0.07)/(0.11-0.07))</f>
        <v>267.50000000000006</v>
      </c>
      <c r="E48" s="215">
        <f>IF(0.12=0.07,"N/A",C21*(1+0.07)/(0.12-0.07)+C21*(C22/2)*(C18-0.07)/(0.12-0.07))</f>
        <v>214.00000000000006</v>
      </c>
      <c r="F48" s="215">
        <f>IF(0.13=0.07,"N/A",C21*(1+0.07)/(0.13-0.07)+C21*(C22/2)*(C18-0.07)/(0.13-0.07))</f>
        <v>178.33333333333337</v>
      </c>
      <c r="G48" s="215">
        <f>IF(0.14=0.07,"N/A",C21*(1+0.07)/(0.14-0.07)+C21*(C22/2)*(C18-0.07)/(0.14-0.07))</f>
        <v>152.85714285714286</v>
      </c>
      <c r="H48" s="215">
        <f>IF(0.15=0.07,"N/A",C21*(1+0.07)/(0.15-0.07)+C21*(C22/2)*(C18-0.07)/(0.15-0.07))</f>
        <v>133.75000000000003</v>
      </c>
      <c r="I48" s="215">
        <f>IF(0.16=0.07,"N/A",C21*(1+0.07)/(0.16-0.07)+C21*(C22/2)*(C18-0.07)/(0.16-0.07))</f>
        <v>118.8888888888889</v>
      </c>
      <c r="J48" s="215">
        <f>IF(0.18=0.07,"N/A",C21*(1+0.07)/(0.18-0.07)+C21*(C22/2)*(C18-0.07)/(0.18-0.07))</f>
        <v>97.272727272727295</v>
      </c>
      <c r="K48" s="215">
        <f>IF(0.2=0.07,"N/A",C21*(1+0.07)/(0.2-0.07)+C21*(C22/2)*(C18-0.07)/(0.2-0.07))</f>
        <v>82.307692307692307</v>
      </c>
    </row>
    <row r="49" spans="2:11" x14ac:dyDescent="0.45">
      <c r="B49" s="216">
        <v>0.06</v>
      </c>
      <c r="C49" s="214">
        <f>IF(0.1=0.06,"N/A",C21*(1+0.06)/(0.1-0.06)+C21*(C22/2)*(C18-0.06)/(0.1-0.06))</f>
        <v>265</v>
      </c>
      <c r="D49" s="214">
        <f>IF(0.11=0.06,"N/A",C21*(1+0.06)/(0.11-0.06)+C21*(C22/2)*(C18-0.06)/(0.11-0.06))</f>
        <v>212.00000000000003</v>
      </c>
      <c r="E49" s="214">
        <f>IF(0.12=0.06,"N/A",C21*(1+0.06)/(0.12-0.06)+C21*(C22/2)*(C18-0.06)/(0.12-0.06))</f>
        <v>176.66666666666669</v>
      </c>
      <c r="F49" s="150">
        <f>IF(0.13=0.06,"N/A",C21*(1+0.06)/(0.13-0.06)+C21*(C22/2)*(C18-0.06)/(0.13-0.06))</f>
        <v>151.42857142857144</v>
      </c>
      <c r="G49" s="214">
        <f>IF(0.14=0.06,"N/A",C21*(1+0.06)/(0.14-0.06)+C21*(C22/2)*(C18-0.06)/(0.14-0.06))</f>
        <v>132.5</v>
      </c>
      <c r="H49" s="214">
        <f>IF(0.15=0.06,"N/A",C21*(1+0.06)/(0.15-0.06)+C21*(C22/2)*(C18-0.06)/(0.15-0.06))</f>
        <v>117.7777777777778</v>
      </c>
      <c r="I49" s="214">
        <f>IF(0.16=0.06,"N/A",C21*(1+0.06)/(0.16-0.06)+C21*(C22/2)*(C18-0.06)/(0.16-0.06))</f>
        <v>106.00000000000001</v>
      </c>
      <c r="J49" s="214">
        <f>IF(0.18=0.06,"N/A",C21*(1+0.06)/(0.18-0.06)+C21*(C22/2)*(C18-0.06)/(0.18-0.06))</f>
        <v>88.333333333333343</v>
      </c>
      <c r="K49" s="214">
        <f>IF(0.2=0.06,"N/A",C21*(1+0.06)/(0.2-0.06)+C21*(C22/2)*(C18-0.06)/(0.2-0.06))</f>
        <v>75.714285714285722</v>
      </c>
    </row>
    <row r="50" spans="2:11" x14ac:dyDescent="0.45">
      <c r="B50" s="216">
        <v>0.05</v>
      </c>
      <c r="C50" s="215">
        <f>IF(0.1=0.05,"N/A",C21*(1+0.05)/(0.1-0.05)+C21*(C22/2)*(C18-0.05)/(0.1-0.05))</f>
        <v>210</v>
      </c>
      <c r="D50" s="215">
        <f>IF(0.11=0.05,"N/A",C21*(1+0.05)/(0.11-0.05)+C21*(C22/2)*(C18-0.05)/(0.11-0.05))</f>
        <v>175</v>
      </c>
      <c r="E50" s="215">
        <f>IF(0.12=0.05,"N/A",C21*(1+0.05)/(0.12-0.05)+C21*(C22/2)*(C18-0.05)/(0.12-0.05))</f>
        <v>150.00000000000003</v>
      </c>
      <c r="F50" s="215">
        <f>IF(0.13=0.05,"N/A",C21*(1+0.05)/(0.13-0.05)+C21*(C22/2)*(C18-0.05)/(0.13-0.05))</f>
        <v>131.25</v>
      </c>
      <c r="G50" s="215">
        <f>IF(0.14=0.05,"N/A",C21*(1+0.05)/(0.14-0.05)+C21*(C22/2)*(C18-0.05)/(0.14-0.05))</f>
        <v>116.66666666666666</v>
      </c>
      <c r="H50" s="215">
        <f>IF(0.15=0.05,"N/A",C21*(1+0.05)/(0.15-0.05)+C21*(C22/2)*(C18-0.05)/(0.15-0.05))</f>
        <v>105.00000000000001</v>
      </c>
      <c r="I50" s="215">
        <f>IF(0.16=0.05,"N/A",C21*(1+0.05)/(0.16-0.05)+C21*(C22/2)*(C18-0.05)/(0.16-0.05))</f>
        <v>95.454545454545453</v>
      </c>
      <c r="J50" s="215">
        <f>IF(0.18=0.05,"N/A",C21*(1+0.05)/(0.18-0.05)+C21*(C22/2)*(C18-0.05)/(0.18-0.05))</f>
        <v>80.769230769230759</v>
      </c>
      <c r="K50" s="215">
        <f>IF(0.2=0.05,"N/A",C21*(1+0.05)/(0.2-0.05)+C21*(C22/2)*(C18-0.05)/(0.2-0.05))</f>
        <v>69.999999999999986</v>
      </c>
    </row>
    <row r="51" spans="2:11" x14ac:dyDescent="0.45">
      <c r="B51" s="216">
        <v>0.04</v>
      </c>
      <c r="C51" s="214">
        <f>IF(0.1=0.04,"N/A",C21*(1+0.04)/(0.1-0.04)+C21*(C22/2)*(C18-0.04)/(0.1-0.04))</f>
        <v>173.33333333333331</v>
      </c>
      <c r="D51" s="214">
        <f>IF(0.11=0.04,"N/A",C21*(1+0.04)/(0.11-0.04)+C21*(C22/2)*(C18-0.04)/(0.11-0.04))</f>
        <v>148.57142857142856</v>
      </c>
      <c r="E51" s="214">
        <f>IF(0.12=0.04,"N/A",C21*(1+0.04)/(0.12-0.04)+C21*(C22/2)*(C18-0.04)/(0.12-0.04))</f>
        <v>130.00000000000003</v>
      </c>
      <c r="F51" s="214">
        <f>IF(0.13=0.04,"N/A",C21*(1+0.04)/(0.13-0.04)+C21*(C22/2)*(C18-0.04)/(0.13-0.04))</f>
        <v>115.55555555555556</v>
      </c>
      <c r="G51" s="214">
        <f>IF(0.14=0.04,"N/A",C21*(1+0.04)/(0.14-0.04)+C21*(C22/2)*(C18-0.04)/(0.14-0.04))</f>
        <v>104</v>
      </c>
      <c r="H51" s="214">
        <f>IF(0.15=0.04,"N/A",C21*(1+0.04)/(0.15-0.04)+C21*(C22/2)*(C18-0.04)/(0.15-0.04))</f>
        <v>94.545454545454561</v>
      </c>
      <c r="I51" s="214">
        <f>IF(0.16=0.04,"N/A",C21*(1+0.04)/(0.16-0.04)+C21*(C22/2)*(C18-0.04)/(0.16-0.04))</f>
        <v>86.666666666666671</v>
      </c>
      <c r="J51" s="214">
        <f>IF(0.18=0.04,"N/A",C21*(1+0.04)/(0.18-0.04)+C21*(C22/2)*(C18-0.04)/(0.18-0.04))</f>
        <v>74.285714285714292</v>
      </c>
      <c r="K51" s="214">
        <f>IF(0.2=0.04,"N/A",C21*(1+0.04)/(0.2-0.04)+C21*(C22/2)*(C18-0.04)/(0.2-0.04))</f>
        <v>65</v>
      </c>
    </row>
    <row r="52" spans="2:11" x14ac:dyDescent="0.45">
      <c r="F52" s="217" t="s">
        <v>771</v>
      </c>
    </row>
    <row r="54" spans="2:11" x14ac:dyDescent="0.45">
      <c r="B54" s="403" t="s">
        <v>697</v>
      </c>
      <c r="C54" s="403"/>
      <c r="D54" s="403"/>
      <c r="E54" s="403"/>
      <c r="F54" s="403"/>
      <c r="G54" s="403"/>
      <c r="H54" s="403"/>
      <c r="I54" s="403"/>
      <c r="J54" s="403"/>
      <c r="K54" s="403"/>
    </row>
    <row r="55" spans="2:11" x14ac:dyDescent="0.45">
      <c r="B55" s="397" t="s">
        <v>770</v>
      </c>
      <c r="C55" s="397"/>
      <c r="D55" s="397"/>
      <c r="E55" s="397"/>
      <c r="F55" s="397"/>
      <c r="G55" s="397"/>
      <c r="H55" s="397"/>
      <c r="I55" s="397"/>
      <c r="J55" s="397"/>
      <c r="K55" s="397"/>
    </row>
    <row r="56" spans="2:11" x14ac:dyDescent="0.45">
      <c r="B56" s="400" t="s">
        <v>698</v>
      </c>
      <c r="C56" s="400"/>
      <c r="D56" s="400"/>
      <c r="E56" s="400"/>
      <c r="F56" s="400"/>
      <c r="G56" s="400"/>
      <c r="H56" s="400"/>
      <c r="I56" s="400"/>
      <c r="J56" s="400"/>
      <c r="K56" s="400"/>
    </row>
    <row r="57" spans="2:11" x14ac:dyDescent="0.45">
      <c r="B57" s="397" t="s">
        <v>699</v>
      </c>
      <c r="C57" s="397"/>
      <c r="D57" s="397"/>
      <c r="E57" s="397"/>
      <c r="F57" s="397"/>
      <c r="G57" s="397"/>
      <c r="H57" s="397"/>
      <c r="I57" s="397"/>
      <c r="J57" s="397"/>
      <c r="K57" s="397"/>
    </row>
    <row r="58" spans="2:11" x14ac:dyDescent="0.45">
      <c r="B58" s="400" t="s">
        <v>700</v>
      </c>
      <c r="C58" s="400"/>
      <c r="D58" s="400"/>
      <c r="E58" s="400"/>
      <c r="F58" s="400"/>
      <c r="G58" s="400"/>
      <c r="H58" s="400"/>
      <c r="I58" s="400"/>
      <c r="J58" s="400"/>
      <c r="K58" s="400"/>
    </row>
    <row r="59" spans="2:11" x14ac:dyDescent="0.45">
      <c r="B59" s="397" t="s">
        <v>701</v>
      </c>
      <c r="C59" s="397"/>
      <c r="D59" s="397"/>
      <c r="E59" s="397"/>
      <c r="F59" s="397"/>
      <c r="G59" s="397"/>
      <c r="H59" s="397"/>
      <c r="I59" s="397"/>
      <c r="J59" s="397"/>
      <c r="K59" s="397"/>
    </row>
    <row r="60" spans="2:11" x14ac:dyDescent="0.45">
      <c r="B60" s="400" t="s">
        <v>702</v>
      </c>
      <c r="C60" s="400"/>
      <c r="D60" s="400"/>
      <c r="E60" s="400"/>
      <c r="F60" s="400"/>
      <c r="G60" s="400"/>
      <c r="H60" s="400"/>
      <c r="I60" s="400"/>
      <c r="J60" s="400"/>
      <c r="K60" s="400"/>
    </row>
    <row r="61" spans="2:11" x14ac:dyDescent="0.45">
      <c r="B61" s="397" t="s">
        <v>703</v>
      </c>
      <c r="C61" s="397"/>
      <c r="D61" s="397"/>
      <c r="E61" s="397"/>
      <c r="F61" s="397"/>
      <c r="G61" s="397"/>
      <c r="H61" s="397"/>
      <c r="I61" s="397"/>
      <c r="J61" s="397"/>
      <c r="K61" s="397"/>
    </row>
    <row r="62" spans="2:11" x14ac:dyDescent="0.45">
      <c r="B62" s="400" t="s">
        <v>704</v>
      </c>
      <c r="C62" s="400"/>
      <c r="D62" s="400"/>
      <c r="E62" s="400"/>
      <c r="F62" s="400"/>
      <c r="G62" s="400"/>
      <c r="H62" s="400"/>
      <c r="I62" s="400"/>
      <c r="J62" s="400"/>
      <c r="K62" s="400"/>
    </row>
    <row r="63" spans="2:11" x14ac:dyDescent="0.45">
      <c r="B63" s="397" t="s">
        <v>705</v>
      </c>
      <c r="C63" s="397"/>
      <c r="D63" s="397"/>
      <c r="E63" s="397"/>
      <c r="F63" s="397"/>
      <c r="G63" s="397"/>
      <c r="H63" s="397"/>
      <c r="I63" s="397"/>
      <c r="J63" s="397"/>
      <c r="K63" s="397"/>
    </row>
  </sheetData>
  <mergeCells count="19">
    <mergeCell ref="B55:K55"/>
    <mergeCell ref="B56:K56"/>
    <mergeCell ref="B16:D16"/>
    <mergeCell ref="B23:K23"/>
    <mergeCell ref="B24:K24"/>
    <mergeCell ref="B25:K25"/>
    <mergeCell ref="B63:K63"/>
    <mergeCell ref="B1:D1"/>
    <mergeCell ref="B3:G3"/>
    <mergeCell ref="B57:K57"/>
    <mergeCell ref="B58:K58"/>
    <mergeCell ref="B59:K59"/>
    <mergeCell ref="B60:K60"/>
    <mergeCell ref="B61:K61"/>
    <mergeCell ref="B62:K62"/>
    <mergeCell ref="B27:K27"/>
    <mergeCell ref="B36:K36"/>
    <mergeCell ref="B45:K45"/>
    <mergeCell ref="B54:K5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6B29-5C20-4D16-A822-0CF5CAD78587}">
  <dimension ref="A1:U24"/>
  <sheetViews>
    <sheetView zoomScale="93" workbookViewId="0">
      <selection activeCell="F19" sqref="F19"/>
    </sheetView>
  </sheetViews>
  <sheetFormatPr defaultColWidth="8.6640625" defaultRowHeight="14.25" x14ac:dyDescent="0.45"/>
  <cols>
    <col min="1" max="1" width="30" customWidth="1"/>
    <col min="2" max="2" width="12" customWidth="1"/>
    <col min="3" max="3" width="18" customWidth="1"/>
    <col min="4" max="4" width="16" customWidth="1"/>
    <col min="5" max="5" width="20" customWidth="1"/>
    <col min="6" max="8" width="16" customWidth="1"/>
    <col min="9" max="9" width="12" customWidth="1"/>
    <col min="10" max="11" width="10" customWidth="1"/>
    <col min="12" max="12" width="12" customWidth="1"/>
    <col min="13" max="13" width="10" customWidth="1"/>
    <col min="14" max="15" width="14" hidden="1" customWidth="1"/>
    <col min="17" max="21" width="14" hidden="1" customWidth="1"/>
  </cols>
  <sheetData>
    <row r="1" spans="1:21" ht="16.899999999999999" x14ac:dyDescent="0.45">
      <c r="A1" s="405" t="s">
        <v>641</v>
      </c>
      <c r="B1" s="405"/>
      <c r="C1" s="405"/>
      <c r="D1" s="405"/>
      <c r="E1" s="405"/>
      <c r="F1" s="405"/>
      <c r="G1" s="405"/>
      <c r="H1" s="405"/>
      <c r="I1" s="405"/>
      <c r="J1" s="405"/>
      <c r="K1" s="405"/>
      <c r="L1" s="405"/>
      <c r="M1" s="405"/>
      <c r="Q1" t="s">
        <v>11</v>
      </c>
      <c r="R1" t="s">
        <v>347</v>
      </c>
      <c r="S1" t="s">
        <v>642</v>
      </c>
      <c r="T1" t="s">
        <v>643</v>
      </c>
      <c r="U1" t="s">
        <v>644</v>
      </c>
    </row>
    <row r="2" spans="1:21" ht="9.75" customHeight="1" x14ac:dyDescent="0.45">
      <c r="Q2" t="s">
        <v>645</v>
      </c>
      <c r="R2" s="143">
        <f t="shared" ref="R2:U6" si="0">J5</f>
        <v>116.92307692307692</v>
      </c>
      <c r="S2" s="143">
        <f t="shared" si="0"/>
        <v>167.58461538461538</v>
      </c>
      <c r="T2" s="143">
        <f t="shared" si="0"/>
        <v>300.49655172413793</v>
      </c>
      <c r="U2" s="143">
        <f t="shared" si="0"/>
        <v>484.13333333333333</v>
      </c>
    </row>
    <row r="3" spans="1:21" x14ac:dyDescent="0.45">
      <c r="A3" s="218" t="s">
        <v>11</v>
      </c>
      <c r="B3" s="406" t="s">
        <v>646</v>
      </c>
      <c r="C3" s="406"/>
      <c r="D3" s="406"/>
      <c r="E3" s="406"/>
      <c r="F3" s="406" t="s">
        <v>647</v>
      </c>
      <c r="G3" s="406"/>
      <c r="H3" s="406"/>
      <c r="I3" s="406"/>
      <c r="J3" s="406" t="s">
        <v>648</v>
      </c>
      <c r="K3" s="406"/>
      <c r="L3" s="406"/>
      <c r="M3" s="406"/>
      <c r="Q3" t="s">
        <v>649</v>
      </c>
      <c r="R3" s="143">
        <f t="shared" si="0"/>
        <v>11.25</v>
      </c>
      <c r="S3" s="143">
        <f t="shared" si="0"/>
        <v>137.35897435897436</v>
      </c>
      <c r="T3" s="143">
        <f t="shared" si="0"/>
        <v>155.72674418604652</v>
      </c>
      <c r="U3" s="143">
        <f t="shared" si="0"/>
        <v>243.5</v>
      </c>
    </row>
    <row r="4" spans="1:21" ht="23.25" x14ac:dyDescent="0.45">
      <c r="A4" s="219" t="s">
        <v>11</v>
      </c>
      <c r="B4" s="219" t="s">
        <v>650</v>
      </c>
      <c r="C4" s="219" t="s">
        <v>651</v>
      </c>
      <c r="D4" s="219" t="s">
        <v>652</v>
      </c>
      <c r="E4" s="219" t="s">
        <v>653</v>
      </c>
      <c r="F4" s="219" t="s">
        <v>654</v>
      </c>
      <c r="G4" s="219" t="s">
        <v>655</v>
      </c>
      <c r="H4" s="219" t="s">
        <v>656</v>
      </c>
      <c r="I4" s="219" t="s">
        <v>657</v>
      </c>
      <c r="J4" s="219" t="s">
        <v>347</v>
      </c>
      <c r="K4" s="219" t="s">
        <v>642</v>
      </c>
      <c r="L4" s="219" t="s">
        <v>643</v>
      </c>
      <c r="M4" s="219" t="s">
        <v>644</v>
      </c>
      <c r="Q4" t="s">
        <v>658</v>
      </c>
      <c r="R4" s="143">
        <f t="shared" si="0"/>
        <v>8</v>
      </c>
      <c r="S4" s="143">
        <f t="shared" si="0"/>
        <v>94.266666666666666</v>
      </c>
      <c r="T4" s="143">
        <f t="shared" si="0"/>
        <v>103.97058823529412</v>
      </c>
      <c r="U4" s="143">
        <f t="shared" si="0"/>
        <v>164.41860465116278</v>
      </c>
    </row>
    <row r="5" spans="1:21" ht="18" customHeight="1" x14ac:dyDescent="0.45">
      <c r="A5" s="3" t="s">
        <v>16</v>
      </c>
      <c r="B5" s="3">
        <v>760</v>
      </c>
      <c r="C5" s="3">
        <v>1114</v>
      </c>
      <c r="D5" s="3">
        <f>B5*C5</f>
        <v>846640</v>
      </c>
      <c r="E5" s="3">
        <f>D5+N5-O5</f>
        <v>871440</v>
      </c>
      <c r="F5" s="3">
        <v>5200</v>
      </c>
      <c r="G5" s="3">
        <v>2900</v>
      </c>
      <c r="H5" s="3">
        <v>1800</v>
      </c>
      <c r="I5" s="3">
        <v>6.5</v>
      </c>
      <c r="J5" s="3">
        <f>B5/I5</f>
        <v>116.92307692307692</v>
      </c>
      <c r="K5" s="3">
        <f>E5/F5</f>
        <v>167.58461538461538</v>
      </c>
      <c r="L5" s="3">
        <f>E5/G5</f>
        <v>300.49655172413793</v>
      </c>
      <c r="M5" s="3">
        <f>E5/H5</f>
        <v>484.13333333333333</v>
      </c>
      <c r="N5">
        <v>27000</v>
      </c>
      <c r="O5">
        <v>2200</v>
      </c>
      <c r="Q5" t="s">
        <v>659</v>
      </c>
      <c r="R5" s="143">
        <f t="shared" si="0"/>
        <v>11.875</v>
      </c>
      <c r="S5" s="143">
        <f t="shared" si="0"/>
        <v>175.71428571428572</v>
      </c>
      <c r="T5" s="143">
        <f t="shared" si="0"/>
        <v>196.8</v>
      </c>
      <c r="U5" s="143">
        <f t="shared" si="0"/>
        <v>273.33333333333331</v>
      </c>
    </row>
    <row r="6" spans="1:21" ht="18" customHeight="1" x14ac:dyDescent="0.45">
      <c r="A6" s="3" t="s">
        <v>649</v>
      </c>
      <c r="B6" s="3">
        <v>135</v>
      </c>
      <c r="C6" s="3">
        <v>1890</v>
      </c>
      <c r="D6" s="3">
        <f>B6*C6</f>
        <v>255150</v>
      </c>
      <c r="E6" s="3">
        <f>D6+N6-O6</f>
        <v>267850</v>
      </c>
      <c r="F6" s="3">
        <v>1950</v>
      </c>
      <c r="G6" s="3">
        <v>1720</v>
      </c>
      <c r="H6" s="3">
        <v>1100</v>
      </c>
      <c r="I6" s="3">
        <v>12</v>
      </c>
      <c r="J6" s="3">
        <f>B6/I6</f>
        <v>11.25</v>
      </c>
      <c r="K6" s="3">
        <f>E6/F6</f>
        <v>137.35897435897436</v>
      </c>
      <c r="L6" s="3">
        <f>E6/G6</f>
        <v>155.72674418604652</v>
      </c>
      <c r="M6" s="3">
        <f>E6/H6</f>
        <v>243.5</v>
      </c>
      <c r="N6">
        <v>13500</v>
      </c>
      <c r="O6">
        <v>800</v>
      </c>
      <c r="Q6" t="s">
        <v>660</v>
      </c>
      <c r="R6" s="143">
        <f t="shared" si="0"/>
        <v>19.98788612961841</v>
      </c>
      <c r="S6" s="143">
        <f t="shared" si="0"/>
        <v>10.413947458804886</v>
      </c>
      <c r="T6" s="143">
        <f t="shared" si="0"/>
        <v>10.666375944414696</v>
      </c>
      <c r="U6" s="143">
        <f t="shared" si="0"/>
        <v>15.355322211842163</v>
      </c>
    </row>
    <row r="7" spans="1:21" ht="18" customHeight="1" x14ac:dyDescent="0.45">
      <c r="A7" s="3" t="s">
        <v>661</v>
      </c>
      <c r="B7" s="3">
        <v>100</v>
      </c>
      <c r="C7" s="3">
        <v>683</v>
      </c>
      <c r="D7" s="3">
        <f>B7*C7</f>
        <v>68300</v>
      </c>
      <c r="E7" s="3">
        <f>D7+N7-O7</f>
        <v>70700</v>
      </c>
      <c r="F7" s="3">
        <v>750</v>
      </c>
      <c r="G7" s="3">
        <v>680</v>
      </c>
      <c r="H7" s="3">
        <v>430</v>
      </c>
      <c r="I7" s="3">
        <v>12.5</v>
      </c>
      <c r="J7" s="3">
        <f>B7/I7</f>
        <v>8</v>
      </c>
      <c r="K7" s="3">
        <f>E7/F7</f>
        <v>94.266666666666666</v>
      </c>
      <c r="L7" s="3">
        <f>E7/G7</f>
        <v>103.97058823529412</v>
      </c>
      <c r="M7" s="3">
        <f>E7/H7</f>
        <v>164.41860465116278</v>
      </c>
      <c r="N7">
        <v>2600</v>
      </c>
      <c r="O7">
        <v>200</v>
      </c>
    </row>
    <row r="8" spans="1:21" ht="18" customHeight="1" x14ac:dyDescent="0.45">
      <c r="A8" s="3" t="s">
        <v>662</v>
      </c>
      <c r="B8" s="3">
        <v>95</v>
      </c>
      <c r="C8" s="3">
        <v>500</v>
      </c>
      <c r="D8" s="3">
        <f>B8*C8</f>
        <v>47500</v>
      </c>
      <c r="E8" s="3">
        <f>D8+N8-O8</f>
        <v>49200</v>
      </c>
      <c r="F8" s="3">
        <v>280</v>
      </c>
      <c r="G8" s="3">
        <v>250</v>
      </c>
      <c r="H8" s="3">
        <v>180</v>
      </c>
      <c r="I8" s="3">
        <v>8</v>
      </c>
      <c r="J8" s="3">
        <f>B8/I8</f>
        <v>11.875</v>
      </c>
      <c r="K8" s="3">
        <f>E8/F8</f>
        <v>175.71428571428572</v>
      </c>
      <c r="L8" s="3">
        <f>E8/G8</f>
        <v>196.8</v>
      </c>
      <c r="M8" s="3">
        <f>E8/H8</f>
        <v>273.33333333333331</v>
      </c>
      <c r="N8">
        <v>1800</v>
      </c>
      <c r="O8">
        <v>100</v>
      </c>
    </row>
    <row r="9" spans="1:21" ht="18" customHeight="1" x14ac:dyDescent="0.45">
      <c r="A9" s="145" t="s">
        <v>234</v>
      </c>
      <c r="B9" s="146">
        <v>330</v>
      </c>
      <c r="C9" s="146">
        <v>930.06</v>
      </c>
      <c r="D9" s="147">
        <f>B9*C9</f>
        <v>306919.8</v>
      </c>
      <c r="E9" s="147">
        <f>D9+N9-O9</f>
        <v>431465.36</v>
      </c>
      <c r="F9" s="147">
        <v>41431.49</v>
      </c>
      <c r="G9" s="147">
        <v>40450.980000000003</v>
      </c>
      <c r="H9" s="147">
        <v>28098.75</v>
      </c>
      <c r="I9" s="146">
        <v>16.510000000000002</v>
      </c>
      <c r="J9" s="148">
        <f>B9/I9</f>
        <v>19.98788612961841</v>
      </c>
      <c r="K9" s="148">
        <f>E9/F9</f>
        <v>10.413947458804886</v>
      </c>
      <c r="L9" s="148">
        <f>E9/G9</f>
        <v>10.666375944414696</v>
      </c>
      <c r="M9" s="148">
        <f>E9/H9</f>
        <v>15.355322211842163</v>
      </c>
      <c r="N9">
        <v>130964.96</v>
      </c>
      <c r="O9">
        <v>6419.4</v>
      </c>
    </row>
    <row r="10" spans="1:21" ht="18" customHeight="1" x14ac:dyDescent="0.45">
      <c r="A10" s="407" t="s">
        <v>663</v>
      </c>
      <c r="B10" s="407"/>
      <c r="C10" s="407"/>
      <c r="D10" s="407"/>
      <c r="E10" s="407"/>
      <c r="F10" s="407"/>
      <c r="G10" s="407"/>
      <c r="H10" s="407"/>
      <c r="I10" s="407"/>
      <c r="J10" s="144">
        <f>AVERAGE(J5:J9)</f>
        <v>33.607192610539059</v>
      </c>
      <c r="K10" s="144">
        <f>AVERAGE(K5:K9)</f>
        <v>117.06769791666939</v>
      </c>
      <c r="L10" s="144">
        <f>AVERAGE(L5:L9)</f>
        <v>153.53205201797866</v>
      </c>
      <c r="M10" s="144">
        <f>AVERAGE(M5:M9)</f>
        <v>236.14811870593431</v>
      </c>
    </row>
    <row r="11" spans="1:21" ht="18" customHeight="1" x14ac:dyDescent="0.45">
      <c r="A11" s="407" t="s">
        <v>664</v>
      </c>
      <c r="B11" s="407"/>
      <c r="C11" s="407"/>
      <c r="D11" s="407"/>
      <c r="E11" s="407"/>
      <c r="F11" s="407"/>
      <c r="G11" s="407"/>
      <c r="H11" s="407"/>
      <c r="I11" s="407"/>
      <c r="J11" s="144">
        <f>MEDIAN(J5:J9)</f>
        <v>11.875</v>
      </c>
      <c r="K11" s="144">
        <f>MEDIAN(K5:K9)</f>
        <v>137.35897435897436</v>
      </c>
      <c r="L11" s="144">
        <f>MEDIAN(L5:L9)</f>
        <v>155.72674418604652</v>
      </c>
      <c r="M11" s="144">
        <f>MEDIAN(M5:M9)</f>
        <v>243.5</v>
      </c>
    </row>
    <row r="12" spans="1:21" ht="18" customHeight="1" x14ac:dyDescent="0.45"/>
    <row r="13" spans="1:21" ht="13.5" customHeight="1" x14ac:dyDescent="0.45">
      <c r="A13" s="341" t="s">
        <v>665</v>
      </c>
      <c r="B13" s="341"/>
      <c r="C13" s="341"/>
      <c r="D13" s="341"/>
      <c r="E13" s="341"/>
      <c r="F13" s="341"/>
      <c r="G13" s="341"/>
      <c r="H13" s="341"/>
      <c r="I13" s="341"/>
      <c r="J13" s="341"/>
      <c r="K13" s="341"/>
      <c r="L13" s="341"/>
      <c r="M13" s="341"/>
    </row>
    <row r="14" spans="1:21" ht="13.5" customHeight="1" x14ac:dyDescent="0.45">
      <c r="A14" s="341" t="s">
        <v>666</v>
      </c>
      <c r="B14" s="341"/>
      <c r="C14" s="341"/>
      <c r="D14" s="341"/>
      <c r="E14" s="341"/>
      <c r="F14" s="341"/>
      <c r="G14" s="341"/>
      <c r="H14" s="341"/>
      <c r="I14" s="341"/>
      <c r="J14" s="341"/>
      <c r="K14" s="341"/>
      <c r="L14" s="341"/>
      <c r="M14" s="341"/>
    </row>
    <row r="15" spans="1:21" ht="18" customHeight="1" x14ac:dyDescent="0.45"/>
    <row r="16" spans="1:21" ht="18" customHeight="1" x14ac:dyDescent="0.45"/>
    <row r="17" ht="18" customHeight="1" x14ac:dyDescent="0.45"/>
    <row r="18" ht="18" customHeight="1" x14ac:dyDescent="0.45"/>
    <row r="19" ht="18" customHeight="1" x14ac:dyDescent="0.45"/>
    <row r="20" ht="18" customHeight="1" x14ac:dyDescent="0.45"/>
    <row r="21" ht="18" customHeight="1" x14ac:dyDescent="0.45"/>
    <row r="22" ht="18" customHeight="1" x14ac:dyDescent="0.45"/>
    <row r="23" ht="18" customHeight="1" x14ac:dyDescent="0.45"/>
    <row r="24" ht="18" customHeight="1" x14ac:dyDescent="0.45"/>
  </sheetData>
  <mergeCells count="8">
    <mergeCell ref="A13:M13"/>
    <mergeCell ref="A14:M14"/>
    <mergeCell ref="A1:M1"/>
    <mergeCell ref="B3:E3"/>
    <mergeCell ref="F3:I3"/>
    <mergeCell ref="J3:M3"/>
    <mergeCell ref="A10:I10"/>
    <mergeCell ref="A11:I1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196A1-CC18-4E4B-943C-6D50F7F48502}">
  <dimension ref="A2:H34"/>
  <sheetViews>
    <sheetView tabSelected="1" topLeftCell="A2" workbookViewId="0">
      <selection activeCell="D10" sqref="D10"/>
    </sheetView>
  </sheetViews>
  <sheetFormatPr defaultRowHeight="13.5" x14ac:dyDescent="0.35"/>
  <cols>
    <col min="1" max="1" width="21.9296875" style="220" customWidth="1"/>
    <col min="2" max="7" width="14.1328125" style="220" bestFit="1" customWidth="1"/>
    <col min="8" max="8" width="14.1328125" style="220" customWidth="1"/>
    <col min="9" max="10" width="12.06640625" style="220" bestFit="1" customWidth="1"/>
    <col min="11" max="16384" width="9.06640625" style="220"/>
  </cols>
  <sheetData>
    <row r="2" spans="1:8" ht="25.15" x14ac:dyDescent="0.7">
      <c r="A2" s="408" t="s">
        <v>819</v>
      </c>
      <c r="B2" s="408"/>
      <c r="C2" s="408"/>
      <c r="D2" s="408"/>
    </row>
    <row r="3" spans="1:8" ht="13.9" x14ac:dyDescent="0.4">
      <c r="A3" s="231" t="s">
        <v>594</v>
      </c>
      <c r="B3" s="231" t="s">
        <v>794</v>
      </c>
      <c r="C3" s="231" t="s">
        <v>605</v>
      </c>
      <c r="D3" s="231" t="s">
        <v>606</v>
      </c>
      <c r="E3" s="231" t="s">
        <v>607</v>
      </c>
      <c r="F3" s="231" t="s">
        <v>608</v>
      </c>
      <c r="G3" s="231" t="s">
        <v>609</v>
      </c>
      <c r="H3" s="231" t="s">
        <v>479</v>
      </c>
    </row>
    <row r="4" spans="1:8" ht="14.25" x14ac:dyDescent="0.45">
      <c r="A4" s="1" t="s">
        <v>713</v>
      </c>
      <c r="B4" s="253">
        <f>('Financial Statement'!H11-'Financial Statement'!G11)/'Financial Statement'!G11</f>
        <v>1.523416217223403E-2</v>
      </c>
      <c r="C4" s="254">
        <f>('Financial Statement'!I11-'Financial Statement'!H11)/'Financial Statement'!H11</f>
        <v>4.7766493717949984E-2</v>
      </c>
      <c r="D4" s="254">
        <f>('Financial Statement'!J11-'Financial Statement'!I11)/'Financial Statement'!I11</f>
        <v>4.7804366254977124E-2</v>
      </c>
      <c r="E4" s="254">
        <f>('Financial Statement'!K11-'Financial Statement'!J11)/'Financial Statement'!J11</f>
        <v>4.7841674619608102E-2</v>
      </c>
      <c r="F4" s="254">
        <f>('Financial Statement'!L11-'Financial Statement'!K11)/'Financial Statement'!K11</f>
        <v>4.7878424579161118E-2</v>
      </c>
      <c r="G4" s="254">
        <f>('Financial Statement'!M11-'Financial Statement'!L11)/'Financial Statement'!L11</f>
        <v>4.7914621933034189E-2</v>
      </c>
      <c r="H4" s="254"/>
    </row>
    <row r="5" spans="1:8" ht="14.25" x14ac:dyDescent="0.45">
      <c r="A5" s="1" t="s">
        <v>803</v>
      </c>
      <c r="B5" s="255">
        <f>'Financial Statement'!H9</f>
        <v>41431.49</v>
      </c>
      <c r="C5" s="256">
        <f>'Financial Statement'!I9</f>
        <v>43503.0645</v>
      </c>
      <c r="D5" s="256">
        <f>'Financial Statement'!J9</f>
        <v>45678.217725000002</v>
      </c>
      <c r="E5" s="256">
        <f>'Financial Statement'!K9</f>
        <v>47962.128611250002</v>
      </c>
      <c r="F5" s="256">
        <f>'Financial Statement'!L9</f>
        <v>50360.235041812506</v>
      </c>
      <c r="G5" s="256">
        <f>'Financial Statement'!M9</f>
        <v>52878.246793903134</v>
      </c>
      <c r="H5" s="254"/>
    </row>
    <row r="6" spans="1:8" ht="14.25" x14ac:dyDescent="0.45">
      <c r="A6" s="1" t="s">
        <v>799</v>
      </c>
      <c r="B6" s="255">
        <f>'Financial Statement'!H15</f>
        <v>40450.980000000003</v>
      </c>
      <c r="C6" s="256">
        <f>'Financial Statement'!I15</f>
        <v>42464.666799999999</v>
      </c>
      <c r="D6" s="256">
        <f>'Financial Statement'!J15</f>
        <v>44579.056798000005</v>
      </c>
      <c r="E6" s="256">
        <f>'Financial Statement'!K15</f>
        <v>46799.197108600005</v>
      </c>
      <c r="F6" s="256">
        <f>'Financial Statement'!L15</f>
        <v>49130.388016329409</v>
      </c>
      <c r="G6" s="256">
        <f>'Financial Statement'!M15</f>
        <v>51578.195676791802</v>
      </c>
      <c r="H6" s="254"/>
    </row>
    <row r="7" spans="1:8" ht="14.25" x14ac:dyDescent="0.45">
      <c r="A7" s="1" t="s">
        <v>800</v>
      </c>
      <c r="B7" s="253">
        <f>('Financial Statement'!H25-'Financial Statement'!G25)/'Financial Statement'!G25</f>
        <v>-7.8218449447191793E-3</v>
      </c>
      <c r="C7" s="254">
        <f>('Financial Statement'!I25-'Financial Statement'!H25)/'Financial Statement'!H25</f>
        <v>2.017630183077954E-2</v>
      </c>
      <c r="D7" s="254">
        <f>('Financial Statement'!J25-'Financial Statement'!I25)/'Financial Statement'!I25</f>
        <v>0.11308104314631399</v>
      </c>
      <c r="E7" s="254">
        <f>('Financial Statement'!K25-'Financial Statement'!J25)/'Financial Statement'!J25</f>
        <v>0.10596891638256097</v>
      </c>
      <c r="F7" s="254">
        <f>('Financial Statement'!L25-'Financial Statement'!K25)/'Financial Statement'!K25</f>
        <v>9.9981365394045396E-2</v>
      </c>
      <c r="G7" s="254">
        <f>('Financial Statement'!M25-'Financial Statement'!L25)/'Financial Statement'!L25</f>
        <v>9.4880397324985016E-2</v>
      </c>
      <c r="H7" s="254"/>
    </row>
    <row r="8" spans="1:8" ht="14.25" x14ac:dyDescent="0.45">
      <c r="A8" s="1" t="s">
        <v>801</v>
      </c>
      <c r="B8" s="253">
        <f>('Financial Statement'!H27-'Financial Statement'!G27)/'Financial Statement'!G27</f>
        <v>-7.8124999999999402E-3</v>
      </c>
      <c r="C8" s="254">
        <f>('Financial Statement'!I27-'Financial Statement'!H27)/'Financial Statement'!H27</f>
        <v>2.0061988439346135E-2</v>
      </c>
      <c r="D8" s="254">
        <f>('Financial Statement'!J27-'Financial Statement'!I27)/'Financial Statement'!I27</f>
        <v>0.11308104314631395</v>
      </c>
      <c r="E8" s="254">
        <f>('Financial Statement'!K27-'Financial Statement'!J27)/'Financial Statement'!J27</f>
        <v>0.10596891638256101</v>
      </c>
      <c r="F8" s="254">
        <f>('Financial Statement'!L27-'Financial Statement'!K27)/'Financial Statement'!K27</f>
        <v>9.9981365394045438E-2</v>
      </c>
      <c r="G8" s="254">
        <f>('Financial Statement'!M27-'Financial Statement'!L27)/'Financial Statement'!L27</f>
        <v>9.4880397324985086E-2</v>
      </c>
      <c r="H8" s="254"/>
    </row>
    <row r="9" spans="1:8" ht="14.25" x14ac:dyDescent="0.45">
      <c r="A9" s="1"/>
      <c r="B9" s="222"/>
      <c r="C9" s="228"/>
      <c r="D9" s="228"/>
      <c r="E9" s="228"/>
      <c r="F9" s="228"/>
      <c r="G9" s="228"/>
      <c r="H9" s="411"/>
    </row>
    <row r="10" spans="1:8" ht="14.25" x14ac:dyDescent="0.45">
      <c r="A10" s="1" t="s">
        <v>802</v>
      </c>
      <c r="B10" s="222"/>
      <c r="C10" s="228"/>
      <c r="D10" s="228"/>
      <c r="E10" s="228"/>
      <c r="F10" s="228"/>
      <c r="G10" s="228"/>
      <c r="H10" s="411"/>
    </row>
    <row r="11" spans="1:8" ht="14.25" x14ac:dyDescent="0.45">
      <c r="A11" s="1" t="s">
        <v>795</v>
      </c>
      <c r="B11" s="253">
        <f>('Financial Statement'!H15-'Financial Statement'!G15)/'Financial Statement'!G15</f>
        <v>1.8617458604716794E-2</v>
      </c>
      <c r="C11" s="254">
        <f>('Financial Statement'!I15-'Financial Statement'!H15)/'Financial Statement'!H15</f>
        <v>4.9780915073009246E-2</v>
      </c>
      <c r="D11" s="254">
        <f>('Financial Statement'!J15-'Financial Statement'!I15)/'Financial Statement'!I15</f>
        <v>4.9791748230554961E-2</v>
      </c>
      <c r="E11" s="254">
        <f>('Financial Statement'!K15-'Financial Statement'!J15)/'Financial Statement'!J15</f>
        <v>4.9802316829179842E-2</v>
      </c>
      <c r="F11" s="254">
        <f>('Financial Statement'!L15-'Financial Statement'!K15)/'Financial Statement'!K15</f>
        <v>4.9812626108087975E-2</v>
      </c>
      <c r="G11" s="254">
        <f>('Financial Statement'!M15-'Financial Statement'!L15)/'Financial Statement'!L15</f>
        <v>4.9822681222237E-2</v>
      </c>
      <c r="H11" s="254"/>
    </row>
    <row r="12" spans="1:8" ht="14.25" x14ac:dyDescent="0.45">
      <c r="A12" s="1" t="s">
        <v>798</v>
      </c>
      <c r="B12" s="253">
        <f>('Financial Statement'!H9-'Financial Statement'!G9)/'Financial Statement'!G9</f>
        <v>-2.2638446317581436E-2</v>
      </c>
      <c r="C12" s="254">
        <f>('Financial Statement'!I9-'Financial Statement'!H9)/'Financial Statement'!H9</f>
        <v>5.0000000000000058E-2</v>
      </c>
      <c r="D12" s="254">
        <f>('Financial Statement'!J9-'Financial Statement'!I9)/'Financial Statement'!I9</f>
        <v>5.0000000000000044E-2</v>
      </c>
      <c r="E12" s="254">
        <f>('Financial Statement'!K9-'Financial Statement'!J9)/'Financial Statement'!J9</f>
        <v>4.9999999999999989E-2</v>
      </c>
      <c r="F12" s="254">
        <f>('Financial Statement'!L9-'Financial Statement'!K9)/'Financial Statement'!K9</f>
        <v>5.0000000000000086E-2</v>
      </c>
      <c r="G12" s="254">
        <f>('Financial Statement'!M9-'Financial Statement'!L9)/'Financial Statement'!L9</f>
        <v>5.0000000000000051E-2</v>
      </c>
      <c r="H12" s="254"/>
    </row>
    <row r="13" spans="1:8" ht="14.25" x14ac:dyDescent="0.45">
      <c r="A13" s="1" t="s">
        <v>804</v>
      </c>
      <c r="B13" s="257">
        <f>('Financial Statement'!H18-'Financial Statement'!G18)/'Financial Statement'!G18</f>
        <v>3.4812874676008174E-2</v>
      </c>
      <c r="C13" s="254">
        <f>('Financial Statement'!I18-'Financial Statement'!H18)/'Financial Statement'!H18</f>
        <v>7.3862643356021232E-2</v>
      </c>
      <c r="D13" s="254">
        <f>('Financial Statement'!J18-'Financial Statement'!I18)/'Financial Statement'!I18</f>
        <v>7.2109367939306085E-2</v>
      </c>
      <c r="E13" s="254">
        <f>('Financial Statement'!K18-'Financial Statement'!J18)/'Financial Statement'!J18</f>
        <v>7.0518780580167209E-2</v>
      </c>
      <c r="F13" s="254">
        <f>('Financial Statement'!L18-'Financial Statement'!K18)/'Financial Statement'!K18</f>
        <v>6.907128784432931E-2</v>
      </c>
      <c r="G13" s="254">
        <f>('Financial Statement'!M18-'Financial Statement'!L18)/'Financial Statement'!L18</f>
        <v>6.7750282393774286E-2</v>
      </c>
      <c r="H13" s="254"/>
    </row>
    <row r="14" spans="1:8" ht="14.25" x14ac:dyDescent="0.45">
      <c r="A14" s="1" t="s">
        <v>22</v>
      </c>
      <c r="B14" s="260">
        <f>'Financial Statement'!H25</f>
        <v>15353.57</v>
      </c>
      <c r="C14" s="261">
        <f>'Financial Statement'!I25</f>
        <v>15663.348262500002</v>
      </c>
      <c r="D14" s="261">
        <f>'Financial Statement'!J25</f>
        <v>17434.576023187507</v>
      </c>
      <c r="E14" s="261">
        <f>'Financial Statement'!K25</f>
        <v>19282.099151954066</v>
      </c>
      <c r="F14" s="261">
        <f>'Financial Statement'!L25</f>
        <v>21209.949752829798</v>
      </c>
      <c r="G14" s="261">
        <f>'Financial Statement'!M25</f>
        <v>23222.358212621257</v>
      </c>
      <c r="H14" s="254"/>
    </row>
    <row r="15" spans="1:8" ht="14.25" x14ac:dyDescent="0.45">
      <c r="A15" s="1" t="s">
        <v>805</v>
      </c>
      <c r="B15" s="253">
        <f>('Financial Statement'!H25-'Financial Statement'!G25)/'Financial Statement'!G25</f>
        <v>-7.8218449447191793E-3</v>
      </c>
      <c r="C15" s="254">
        <f>('Financial Statement'!I25-'Financial Statement'!H25)/'Financial Statement'!H25</f>
        <v>2.017630183077954E-2</v>
      </c>
      <c r="D15" s="254">
        <f>('Financial Statement'!J25-'Financial Statement'!I25)/'Financial Statement'!I25</f>
        <v>0.11308104314631399</v>
      </c>
      <c r="E15" s="254">
        <f>('Financial Statement'!K25-'Financial Statement'!J25)/'Financial Statement'!J25</f>
        <v>0.10596891638256097</v>
      </c>
      <c r="F15" s="254">
        <f>('Financial Statement'!L25-'Financial Statement'!K25)/'Financial Statement'!K25</f>
        <v>9.9981365394045396E-2</v>
      </c>
      <c r="G15" s="254">
        <f>('Financial Statement'!M25-'Financial Statement'!L25)/'Financial Statement'!L25</f>
        <v>9.4880397324985016E-2</v>
      </c>
      <c r="H15" s="254"/>
    </row>
    <row r="16" spans="1:8" ht="14.25" x14ac:dyDescent="0.45">
      <c r="A16" s="1" t="s">
        <v>797</v>
      </c>
      <c r="B16" s="253">
        <f>'Financial Statement'!H25/'Financial Statement'!H37</f>
        <v>0.16649635934898252</v>
      </c>
      <c r="C16" s="254">
        <f>'Financial Statement'!I25/'Financial Statement'!I37</f>
        <v>0.15462278037086299</v>
      </c>
      <c r="D16" s="254">
        <f>'Financial Statement'!J25/'Financial Statement'!J37</f>
        <v>0.15648678972344601</v>
      </c>
      <c r="E16" s="254">
        <f>'Financial Statement'!K25/'Financial Statement'!K37</f>
        <v>0.15728155200673311</v>
      </c>
      <c r="F16" s="254">
        <f>'Financial Statement'!L25/'Financial Statement'!L37</f>
        <v>0.15722972751365294</v>
      </c>
      <c r="G16" s="254">
        <f>'Financial Statement'!M25/'Financial Statement'!M37</f>
        <v>0.15651990786428274</v>
      </c>
      <c r="H16" s="254"/>
    </row>
    <row r="17" spans="1:8" ht="14.25" x14ac:dyDescent="0.45">
      <c r="A17" s="1" t="s">
        <v>796</v>
      </c>
      <c r="B17" s="253">
        <f>'Financial Statement'!H18/('Financial Statement'!H65-'Financial Statement'!H49)</f>
        <v>0.13103698140040834</v>
      </c>
      <c r="C17" s="254">
        <f>'Financial Statement'!I18/('Financial Statement'!I65-'Financial Statement'!I49)</f>
        <v>0.14030224630039018</v>
      </c>
      <c r="D17" s="254">
        <f>'Financial Statement'!J18/('Financial Statement'!J65-'Financial Statement'!J49)</f>
        <v>0.14958450273709198</v>
      </c>
      <c r="E17" s="254">
        <f>'Financial Statement'!K18/('Financial Statement'!K65-'Financial Statement'!K49)</f>
        <v>0.15880301374073619</v>
      </c>
      <c r="F17" s="254">
        <f>'Financial Statement'!L18/('Financial Statement'!L65-'Financial Statement'!L49)</f>
        <v>0.16787092835285705</v>
      </c>
      <c r="G17" s="254">
        <f>'Financial Statement'!M18/('Financial Statement'!M65-'Financial Statement'!M49)</f>
        <v>0.1766970328428123</v>
      </c>
      <c r="H17" s="254"/>
    </row>
    <row r="18" spans="1:8" ht="14.25" x14ac:dyDescent="0.45">
      <c r="A18" s="1"/>
      <c r="B18" s="222"/>
      <c r="C18" s="228"/>
      <c r="D18" s="228"/>
      <c r="E18" s="228"/>
      <c r="F18" s="228"/>
      <c r="G18" s="228"/>
      <c r="H18" s="411"/>
    </row>
    <row r="19" spans="1:8" ht="14.25" x14ac:dyDescent="0.45">
      <c r="A19" s="1" t="s">
        <v>806</v>
      </c>
      <c r="B19" s="222"/>
      <c r="C19" s="222"/>
      <c r="D19" s="222"/>
      <c r="E19" s="222"/>
      <c r="F19" s="222"/>
      <c r="G19" s="222"/>
      <c r="H19" s="411"/>
    </row>
    <row r="20" spans="1:8" ht="14.25" x14ac:dyDescent="0.45">
      <c r="A20" s="1" t="s">
        <v>807</v>
      </c>
      <c r="B20" s="260">
        <f>'DCF valuation'!$C$9/'Financial Statement'!H27</f>
        <v>19.98788612961841</v>
      </c>
      <c r="C20" s="261">
        <f>'DCF valuation'!$C$9/'Financial Statement'!I27</f>
        <v>19.594775960820847</v>
      </c>
      <c r="D20" s="261">
        <f>'DCF valuation'!$C$9/'Financial Statement'!J27</f>
        <v>17.604087394600541</v>
      </c>
      <c r="E20" s="261">
        <f>'DCF valuation'!$C$9/'Financial Statement'!K27</f>
        <v>15.917343728050296</v>
      </c>
      <c r="F20" s="261">
        <f>'DCF valuation'!$C$9/'Financial Statement'!L27</f>
        <v>14.470557619263159</v>
      </c>
      <c r="G20" s="261">
        <f>'DCF valuation'!$C$9/'Financial Statement'!M27</f>
        <v>13.216564708453696</v>
      </c>
      <c r="H20" s="254"/>
    </row>
    <row r="21" spans="1:8" ht="14.25" x14ac:dyDescent="0.45">
      <c r="A21" s="1" t="s">
        <v>808</v>
      </c>
      <c r="B21" s="258">
        <f>'DCF valuation'!$C$9/('Financial Statement'!H37/'Financial Statement'!H35)</f>
        <v>33.282832144001596</v>
      </c>
      <c r="C21" s="259">
        <f>'DCF valuation'!$C$9/('Financial Statement'!I37/'Financial Statement'!I35)</f>
        <v>30.297987398062677</v>
      </c>
      <c r="D21" s="259">
        <f>'DCF valuation'!$C$9/('Financial Statement'!J37/'Financial Statement'!J35)</f>
        <v>27.548071223920214</v>
      </c>
      <c r="E21" s="259">
        <f>'DCF valuation'!$C$9/('Financial Statement'!K37/'Financial Statement'!K35)</f>
        <v>25.035045253723901</v>
      </c>
      <c r="F21" s="259">
        <f>'DCF valuation'!$C$9/('Financial Statement'!L37/'Financial Statement'!L35)</f>
        <v>22.752018314473613</v>
      </c>
      <c r="G21" s="259">
        <f>'DCF valuation'!$C$9/('Financial Statement'!M37/'Financial Statement'!M35)</f>
        <v>20.686554904495036</v>
      </c>
      <c r="H21" s="254"/>
    </row>
    <row r="22" spans="1:8" ht="14.25" x14ac:dyDescent="0.45">
      <c r="A22" s="1" t="s">
        <v>809</v>
      </c>
      <c r="B22" s="260">
        <f>'DCF valuation'!$K$19/'Financial Statement'!H15</f>
        <v>24.948583786000597</v>
      </c>
      <c r="C22" s="261">
        <f>'DCF valuation'!$K$19/'Financial Statement'!I15</f>
        <v>23.765514716244862</v>
      </c>
      <c r="D22" s="261">
        <f>'DCF valuation'!$K$19/'Financial Statement'!J15</f>
        <v>22.63831350960999</v>
      </c>
      <c r="E22" s="261">
        <f>'DCF valuation'!$K$19/'Financial Statement'!K15</f>
        <v>21.564358495594384</v>
      </c>
      <c r="F22" s="261">
        <f>'DCF valuation'!$K$19/'Financial Statement'!L15</f>
        <v>20.541149876943976</v>
      </c>
      <c r="G22" s="261">
        <f>'DCF valuation'!$K$19/'Financial Statement'!M15</f>
        <v>19.566304142933276</v>
      </c>
      <c r="H22" s="254"/>
    </row>
    <row r="23" spans="1:8" ht="14.25" x14ac:dyDescent="0.45">
      <c r="A23" s="1" t="s">
        <v>642</v>
      </c>
      <c r="B23" s="260">
        <f>'DCF valuation'!$K$19/'Financial Statement'!H11</f>
        <v>21.6379505706972</v>
      </c>
      <c r="C23" s="261">
        <f>'DCF valuation'!$K$19/'Financial Statement'!I11</f>
        <v>20.651500788039094</v>
      </c>
      <c r="D23" s="261">
        <f>'DCF valuation'!$K$19/'Financial Statement'!J11</f>
        <v>19.709309727206911</v>
      </c>
      <c r="E23" s="261">
        <f>'DCF valuation'!$K$19/'Financial Statement'!K11</f>
        <v>18.809434864634362</v>
      </c>
      <c r="F23" s="261">
        <f>'DCF valuation'!$K$19/'Financial Statement'!L11</f>
        <v>17.950016360140658</v>
      </c>
      <c r="G23" s="261">
        <f>'DCF valuation'!$K$19/'Financial Statement'!M11</f>
        <v>17.129273687420437</v>
      </c>
      <c r="H23" s="254"/>
    </row>
    <row r="24" spans="1:8" ht="14.25" x14ac:dyDescent="0.45">
      <c r="A24" s="1" t="s">
        <v>810</v>
      </c>
      <c r="B24" s="253">
        <f>Assumptions!H41</f>
        <v>0.46946540771950801</v>
      </c>
      <c r="C24" s="254">
        <f>Assumptions!I41</f>
        <v>0.42</v>
      </c>
      <c r="D24" s="254">
        <f>Assumptions!J41</f>
        <v>0.42</v>
      </c>
      <c r="E24" s="254">
        <f>Assumptions!K41</f>
        <v>0.42</v>
      </c>
      <c r="F24" s="254">
        <f>Assumptions!L41</f>
        <v>0.42000000000000004</v>
      </c>
      <c r="G24" s="254">
        <f>Assumptions!M41</f>
        <v>0.41999999999999993</v>
      </c>
      <c r="H24" s="254"/>
    </row>
    <row r="25" spans="1:8" ht="14.25" x14ac:dyDescent="0.45">
      <c r="A25" s="1" t="s">
        <v>811</v>
      </c>
      <c r="B25" s="262">
        <f>('Financial Statement'!H28/'Financial Statement'!H36)/'DCF valuation'!$C$9</f>
        <v>2.6343026185636183E-4</v>
      </c>
      <c r="C25" s="263">
        <f>('Financial Statement'!I28/'Financial Statement'!I36)/'DCF valuation'!$C$9</f>
        <v>2.1668712596207193E-4</v>
      </c>
      <c r="D25" s="263">
        <f>('Financial Statement'!J28/'Financial Statement'!J36)/'DCF valuation'!$C$9</f>
        <v>2.1730544734765571E-4</v>
      </c>
      <c r="E25" s="263">
        <f>('Financial Statement'!K28/'Financial Statement'!K36)/'DCF valuation'!$C$9</f>
        <v>2.1660932121786542E-4</v>
      </c>
      <c r="F25" s="263">
        <f>('Financial Statement'!L28/'Financial Statement'!L36)/'DCF valuation'!$C$9</f>
        <v>2.1492894825041913E-4</v>
      </c>
      <c r="G25" s="263">
        <f>('Financial Statement'!M28/'Financial Statement'!M36)/'DCF valuation'!$C$9</f>
        <v>2.1252991858372366E-4</v>
      </c>
      <c r="H25" s="254"/>
    </row>
    <row r="26" spans="1:8" ht="14.25" x14ac:dyDescent="0.45">
      <c r="A26" s="1"/>
      <c r="B26" s="222"/>
      <c r="C26" s="222"/>
      <c r="D26" s="222"/>
      <c r="E26" s="222"/>
      <c r="F26" s="222"/>
      <c r="G26" s="222"/>
      <c r="H26" s="411"/>
    </row>
    <row r="27" spans="1:8" ht="14.25" x14ac:dyDescent="0.45">
      <c r="A27" s="1" t="s">
        <v>812</v>
      </c>
      <c r="B27" s="222"/>
      <c r="C27" s="222"/>
      <c r="D27" s="222"/>
      <c r="E27" s="222"/>
      <c r="F27" s="222"/>
      <c r="G27" s="222"/>
      <c r="H27" s="411"/>
    </row>
    <row r="28" spans="1:8" ht="14.25" x14ac:dyDescent="0.45">
      <c r="A28" s="1" t="s">
        <v>813</v>
      </c>
      <c r="B28" s="3" t="s">
        <v>716</v>
      </c>
      <c r="C28" s="86" t="s">
        <v>716</v>
      </c>
      <c r="D28" s="86" t="s">
        <v>716</v>
      </c>
      <c r="E28" s="86" t="s">
        <v>716</v>
      </c>
      <c r="F28" s="86" t="s">
        <v>716</v>
      </c>
      <c r="G28" s="86" t="s">
        <v>716</v>
      </c>
      <c r="H28" s="254"/>
    </row>
    <row r="29" spans="1:8" ht="14.25" x14ac:dyDescent="0.45">
      <c r="A29" s="1" t="s">
        <v>814</v>
      </c>
      <c r="B29" s="260">
        <f>('Financial Statement'!H60/'Financial Statement'!H11)*365</f>
        <v>56.919694305513957</v>
      </c>
      <c r="C29" s="261">
        <f>('Financial Statement'!I60/'Financial Statement'!I11)*365</f>
        <v>51.06530220996558</v>
      </c>
      <c r="D29" s="261">
        <f>('Financial Statement'!J60/'Financial Statement'!J11)*365</f>
        <v>45.811399172664622</v>
      </c>
      <c r="E29" s="261">
        <f>('Financial Statement'!K60/'Financial Statement'!K11)*365</f>
        <v>41.096585739384295</v>
      </c>
      <c r="F29" s="261">
        <f>('Financial Statement'!L60/'Financial Statement'!L11)*365</f>
        <v>36.86571809180608</v>
      </c>
      <c r="G29" s="261">
        <f>('Financial Statement'!M60/'Financial Statement'!M11)*365</f>
        <v>33.069273279509808</v>
      </c>
      <c r="H29" s="254"/>
    </row>
    <row r="30" spans="1:8" ht="14.25" x14ac:dyDescent="0.45">
      <c r="A30" s="1" t="s">
        <v>815</v>
      </c>
      <c r="B30" s="260">
        <f>Assumptions!H55</f>
        <v>64.075326520962705</v>
      </c>
      <c r="C30" s="261">
        <f>Assumptions!I55</f>
        <v>64.075326520962705</v>
      </c>
      <c r="D30" s="261">
        <f>Assumptions!J55</f>
        <v>64.075326520962705</v>
      </c>
      <c r="E30" s="261">
        <f>Assumptions!K55</f>
        <v>64.075326520962705</v>
      </c>
      <c r="F30" s="261">
        <f>Assumptions!L55</f>
        <v>64.075326520962705</v>
      </c>
      <c r="G30" s="261">
        <f>Assumptions!M55</f>
        <v>64.075326520962705</v>
      </c>
      <c r="H30" s="254"/>
    </row>
    <row r="31" spans="1:8" ht="14.25" x14ac:dyDescent="0.45">
      <c r="A31" s="1" t="s">
        <v>816</v>
      </c>
      <c r="B31" s="260">
        <f>'Financial Statement'!H11/('Financial Statement'!H65+'Financial Statement'!G65)/2</f>
        <v>4.8267280265107244E-2</v>
      </c>
      <c r="C31" s="261">
        <f>'Financial Statement'!I11/('Financial Statement'!I65+'Financial Statement'!H65)/2</f>
        <v>4.9202360596643437E-2</v>
      </c>
      <c r="D31" s="261">
        <f>'Financial Statement'!J11/('Financial Statement'!J65+'Financial Statement'!I65)/2</f>
        <v>5.1337532306756785E-2</v>
      </c>
      <c r="E31" s="261">
        <f>'Financial Statement'!K11/('Financial Statement'!K65+'Financial Statement'!J65)/2</f>
        <v>5.3432215842393466E-2</v>
      </c>
      <c r="F31" s="261">
        <f>'Financial Statement'!L11/('Financial Statement'!L65+'Financial Statement'!K65)/2</f>
        <v>5.5467257783979526E-2</v>
      </c>
      <c r="G31" s="261">
        <f>'Financial Statement'!M11/('Financial Statement'!M65+'Financial Statement'!L65)/2</f>
        <v>5.7422845082107973E-2</v>
      </c>
      <c r="H31" s="254"/>
    </row>
    <row r="32" spans="1:8" ht="14.25" x14ac:dyDescent="0.45">
      <c r="A32" s="1" t="s">
        <v>817</v>
      </c>
      <c r="B32" s="260">
        <f>'Financial Statement'!H63/'Financial Statement'!H49</f>
        <v>0.74435025128238497</v>
      </c>
      <c r="C32" s="261">
        <f>'Financial Statement'!I63/'Financial Statement'!I49</f>
        <v>0.75092161625836307</v>
      </c>
      <c r="D32" s="261">
        <f>'Financial Statement'!J63/'Financial Statement'!J49</f>
        <v>0.75849816819843952</v>
      </c>
      <c r="E32" s="261">
        <f>'Financial Statement'!K63/'Financial Statement'!K49</f>
        <v>0.76710369962244684</v>
      </c>
      <c r="F32" s="261">
        <f>'Financial Statement'!L63/'Financial Statement'!L49</f>
        <v>0.77676212177484072</v>
      </c>
      <c r="G32" s="261">
        <f>'Financial Statement'!M63/'Financial Statement'!M49</f>
        <v>0.7874977294957376</v>
      </c>
      <c r="H32" s="254"/>
    </row>
    <row r="33" spans="1:8" ht="14.25" x14ac:dyDescent="0.45">
      <c r="A33" s="1" t="s">
        <v>782</v>
      </c>
      <c r="B33" s="260">
        <f>'Financial Statement'!H50/'Financial Statement'!H37</f>
        <v>1.3505902739936226</v>
      </c>
      <c r="C33" s="261">
        <f>'Financial Statement'!I50/'Financial Statement'!I37</f>
        <v>1.1764250705872616</v>
      </c>
      <c r="D33" s="261">
        <f>'Financial Statement'!J50/'Financial Statement'!J37</f>
        <v>1.0236884893117879</v>
      </c>
      <c r="E33" s="261">
        <f>'Financial Statement'!K50/'Financial Statement'!K37</f>
        <v>0.89046141600758721</v>
      </c>
      <c r="F33" s="261">
        <f>'Financial Statement'!L50/'Financial Statement'!L37</f>
        <v>0.7746795209191355</v>
      </c>
      <c r="G33" s="261">
        <f>'Financial Statement'!M50/'Financial Statement'!M37</f>
        <v>0.67429230038569898</v>
      </c>
      <c r="H33" s="254"/>
    </row>
    <row r="34" spans="1:8" ht="14.25" x14ac:dyDescent="0.45">
      <c r="A34" s="1" t="s">
        <v>818</v>
      </c>
      <c r="B34" s="260">
        <f>'Financial Statement'!H18/'Financial Statement'!H20</f>
        <v>2.9642157876303363</v>
      </c>
      <c r="C34" s="261">
        <f>'Financial Statement'!I18/'Financial Statement'!I20</f>
        <v>3.2481230624309831</v>
      </c>
      <c r="D34" s="261">
        <f>'Financial Statement'!J18/'Financial Statement'!J20</f>
        <v>3.5534113912775149</v>
      </c>
      <c r="E34" s="261">
        <f>'Financial Statement'!K18/'Financial Statement'!K20</f>
        <v>3.8816261525408988</v>
      </c>
      <c r="F34" s="261">
        <f>'Financial Statement'!L18/'Financial Statement'!L20</f>
        <v>4.2344235406399262</v>
      </c>
      <c r="G34" s="261">
        <f>'Financial Statement'!M18/'Financial Statement'!M20</f>
        <v>4.6135785013195179</v>
      </c>
      <c r="H34" s="254"/>
    </row>
  </sheetData>
  <mergeCells count="1">
    <mergeCell ref="A2:D2"/>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B2DFF538-6C13-4050-B2F5-F69D86548F31}">
          <x14:colorSeries rgb="FF376092"/>
          <x14:colorNegative rgb="FFD00000"/>
          <x14:colorAxis rgb="FF000000"/>
          <x14:colorMarkers rgb="FFD00000"/>
          <x14:colorFirst rgb="FFD00000"/>
          <x14:colorLast rgb="FFD00000"/>
          <x14:colorHigh rgb="FFD00000"/>
          <x14:colorLow rgb="FFD00000"/>
          <x14:sparklines>
            <x14:sparkline>
              <xm:f>'All ratios forecasted'!B4:G4</xm:f>
              <xm:sqref>H4</xm:sqref>
            </x14:sparkline>
            <x14:sparkline>
              <xm:f>'All ratios forecasted'!B5:G5</xm:f>
              <xm:sqref>H5</xm:sqref>
            </x14:sparkline>
            <x14:sparkline>
              <xm:f>'All ratios forecasted'!B6:G6</xm:f>
              <xm:sqref>H6</xm:sqref>
            </x14:sparkline>
            <x14:sparkline>
              <xm:f>'All ratios forecasted'!B7:G7</xm:f>
              <xm:sqref>H7</xm:sqref>
            </x14:sparkline>
            <x14:sparkline>
              <xm:f>'All ratios forecasted'!B8:G8</xm:f>
              <xm:sqref>H8</xm:sqref>
            </x14:sparkline>
            <x14:sparkline>
              <xm:f>'All ratios forecasted'!B9:G9</xm:f>
              <xm:sqref>H9</xm:sqref>
            </x14:sparkline>
            <x14:sparkline>
              <xm:f>'All ratios forecasted'!B10:G10</xm:f>
              <xm:sqref>H10</xm:sqref>
            </x14:sparkline>
            <x14:sparkline>
              <xm:f>'All ratios forecasted'!B11:G11</xm:f>
              <xm:sqref>H11</xm:sqref>
            </x14:sparkline>
            <x14:sparkline>
              <xm:f>'All ratios forecasted'!B12:G12</xm:f>
              <xm:sqref>H12</xm:sqref>
            </x14:sparkline>
            <x14:sparkline>
              <xm:f>'All ratios forecasted'!B13:G13</xm:f>
              <xm:sqref>H13</xm:sqref>
            </x14:sparkline>
            <x14:sparkline>
              <xm:f>'All ratios forecasted'!B14:G14</xm:f>
              <xm:sqref>H14</xm:sqref>
            </x14:sparkline>
            <x14:sparkline>
              <xm:f>'All ratios forecasted'!B15:G15</xm:f>
              <xm:sqref>H15</xm:sqref>
            </x14:sparkline>
            <x14:sparkline>
              <xm:f>'All ratios forecasted'!B16:G16</xm:f>
              <xm:sqref>H16</xm:sqref>
            </x14:sparkline>
            <x14:sparkline>
              <xm:f>'All ratios forecasted'!B17:G17</xm:f>
              <xm:sqref>H17</xm:sqref>
            </x14:sparkline>
            <x14:sparkline>
              <xm:f>'All ratios forecasted'!B18:G18</xm:f>
              <xm:sqref>H18</xm:sqref>
            </x14:sparkline>
            <x14:sparkline>
              <xm:f>'All ratios forecasted'!B19:G19</xm:f>
              <xm:sqref>H19</xm:sqref>
            </x14:sparkline>
            <x14:sparkline>
              <xm:f>'All ratios forecasted'!B20:G20</xm:f>
              <xm:sqref>H20</xm:sqref>
            </x14:sparkline>
            <x14:sparkline>
              <xm:f>'All ratios forecasted'!B21:G21</xm:f>
              <xm:sqref>H21</xm:sqref>
            </x14:sparkline>
            <x14:sparkline>
              <xm:f>'All ratios forecasted'!B22:G22</xm:f>
              <xm:sqref>H22</xm:sqref>
            </x14:sparkline>
            <x14:sparkline>
              <xm:f>'All ratios forecasted'!B23:G23</xm:f>
              <xm:sqref>H23</xm:sqref>
            </x14:sparkline>
            <x14:sparkline>
              <xm:f>'All ratios forecasted'!B24:G24</xm:f>
              <xm:sqref>H24</xm:sqref>
            </x14:sparkline>
            <x14:sparkline>
              <xm:f>'All ratios forecasted'!B25:G25</xm:f>
              <xm:sqref>H25</xm:sqref>
            </x14:sparkline>
            <x14:sparkline>
              <xm:f>'All ratios forecasted'!B26:G26</xm:f>
              <xm:sqref>H26</xm:sqref>
            </x14:sparkline>
            <x14:sparkline>
              <xm:f>'All ratios forecasted'!B27:G27</xm:f>
              <xm:sqref>H27</xm:sqref>
            </x14:sparkline>
            <x14:sparkline>
              <xm:f>'All ratios forecasted'!B28:G28</xm:f>
              <xm:sqref>H28</xm:sqref>
            </x14:sparkline>
            <x14:sparkline>
              <xm:f>'All ratios forecasted'!B29:G29</xm:f>
              <xm:sqref>H29</xm:sqref>
            </x14:sparkline>
            <x14:sparkline>
              <xm:f>'All ratios forecasted'!B30:G30</xm:f>
              <xm:sqref>H30</xm:sqref>
            </x14:sparkline>
            <x14:sparkline>
              <xm:f>'All ratios forecasted'!B31:G31</xm:f>
              <xm:sqref>H31</xm:sqref>
            </x14:sparkline>
            <x14:sparkline>
              <xm:f>'All ratios forecasted'!B32:G32</xm:f>
              <xm:sqref>H32</xm:sqref>
            </x14:sparkline>
            <x14:sparkline>
              <xm:f>'All ratios forecasted'!B33:G33</xm:f>
              <xm:sqref>H33</xm:sqref>
            </x14:sparkline>
            <x14:sparkline>
              <xm:f>'All ratios forecasted'!B34:G34</xm:f>
              <xm:sqref>H34</xm:sqref>
            </x14:sparkline>
          </x14:sparklines>
        </x14:sparklineGroup>
      </x14:sparklineGroup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07D12-EFA7-46E5-A5A1-F91DF36E40F8}">
  <dimension ref="A1:J31"/>
  <sheetViews>
    <sheetView zoomScale="80" zoomScaleNormal="80" workbookViewId="0">
      <selection sqref="A1:B1"/>
    </sheetView>
  </sheetViews>
  <sheetFormatPr defaultRowHeight="14.25" x14ac:dyDescent="0.45"/>
  <cols>
    <col min="1" max="1" width="29.265625" customWidth="1"/>
    <col min="2" max="2" width="14.86328125" customWidth="1"/>
    <col min="3" max="3" width="19.59765625" customWidth="1"/>
    <col min="4" max="4" width="15.06640625" customWidth="1"/>
    <col min="5" max="5" width="14.796875" customWidth="1"/>
    <col min="6" max="6" width="14.53125" customWidth="1"/>
    <col min="7" max="7" width="14.19921875" customWidth="1"/>
    <col min="8" max="8" width="13.796875" customWidth="1"/>
    <col min="9" max="9" width="14.19921875" customWidth="1"/>
    <col min="10" max="10" width="15.1328125" customWidth="1"/>
  </cols>
  <sheetData>
    <row r="1" spans="1:10" s="234" customFormat="1" ht="25.15" x14ac:dyDescent="0.7">
      <c r="A1" s="408" t="s">
        <v>220</v>
      </c>
      <c r="B1" s="408"/>
    </row>
    <row r="2" spans="1:10" ht="28.5" customHeight="1" x14ac:dyDescent="0.45">
      <c r="A2" s="410" t="s">
        <v>772</v>
      </c>
      <c r="B2" s="221" t="s">
        <v>25</v>
      </c>
      <c r="C2" s="221" t="s">
        <v>774</v>
      </c>
      <c r="D2" s="221" t="s">
        <v>435</v>
      </c>
      <c r="E2" s="221" t="s">
        <v>777</v>
      </c>
      <c r="F2" s="221" t="s">
        <v>777</v>
      </c>
      <c r="G2" s="221" t="s">
        <v>780</v>
      </c>
      <c r="H2" s="221" t="s">
        <v>782</v>
      </c>
      <c r="I2" s="221" t="s">
        <v>783</v>
      </c>
      <c r="J2" s="221" t="s">
        <v>784</v>
      </c>
    </row>
    <row r="3" spans="1:10" ht="28.15" customHeight="1" x14ac:dyDescent="0.45">
      <c r="A3" s="410"/>
      <c r="B3" s="229" t="s">
        <v>773</v>
      </c>
      <c r="C3" s="229" t="s">
        <v>775</v>
      </c>
      <c r="D3" s="229" t="s">
        <v>776</v>
      </c>
      <c r="E3" s="229" t="s">
        <v>778</v>
      </c>
      <c r="F3" s="229" t="s">
        <v>779</v>
      </c>
      <c r="G3" s="229" t="s">
        <v>781</v>
      </c>
      <c r="H3" s="229" t="s">
        <v>781</v>
      </c>
      <c r="I3" s="229" t="s">
        <v>781</v>
      </c>
      <c r="J3" s="229" t="s">
        <v>785</v>
      </c>
    </row>
    <row r="4" spans="1:10" ht="21" customHeight="1" x14ac:dyDescent="0.45">
      <c r="A4" s="223" t="s">
        <v>786</v>
      </c>
      <c r="B4" s="224">
        <v>2019</v>
      </c>
      <c r="C4" s="225" t="s">
        <v>787</v>
      </c>
      <c r="D4" s="226">
        <v>0.39550000000000002</v>
      </c>
      <c r="E4" s="226">
        <v>3.9699999999999999E-2</v>
      </c>
      <c r="F4" s="226">
        <v>0.13170000000000001</v>
      </c>
      <c r="G4" s="224">
        <v>0.71</v>
      </c>
      <c r="H4" s="224">
        <v>2.7</v>
      </c>
      <c r="I4" s="224">
        <v>1.39</v>
      </c>
      <c r="J4" s="224">
        <v>0.24</v>
      </c>
    </row>
    <row r="5" spans="1:10" ht="21" customHeight="1" x14ac:dyDescent="0.45">
      <c r="A5" s="223" t="s">
        <v>786</v>
      </c>
      <c r="B5" s="224">
        <v>2020</v>
      </c>
      <c r="C5" s="226">
        <v>-0.1305</v>
      </c>
      <c r="D5" s="224" t="s">
        <v>716</v>
      </c>
      <c r="E5" s="224" t="s">
        <v>716</v>
      </c>
      <c r="F5" s="224" t="s">
        <v>716</v>
      </c>
      <c r="G5" s="224" t="s">
        <v>716</v>
      </c>
      <c r="H5" s="224" t="s">
        <v>716</v>
      </c>
      <c r="I5" s="224" t="s">
        <v>716</v>
      </c>
      <c r="J5" s="224" t="s">
        <v>716</v>
      </c>
    </row>
    <row r="6" spans="1:10" ht="22.15" customHeight="1" x14ac:dyDescent="0.45">
      <c r="A6" s="223" t="s">
        <v>786</v>
      </c>
      <c r="B6" s="224">
        <v>2021</v>
      </c>
      <c r="C6" s="226">
        <v>0.1341</v>
      </c>
      <c r="D6" s="226">
        <v>0.39550000000000002</v>
      </c>
      <c r="E6" s="226">
        <v>3.9699999999999999E-2</v>
      </c>
      <c r="F6" s="226">
        <v>0.13170000000000001</v>
      </c>
      <c r="G6" s="224">
        <v>0.71</v>
      </c>
      <c r="H6" s="224">
        <v>2.7</v>
      </c>
      <c r="I6" s="224">
        <v>1.39</v>
      </c>
      <c r="J6" s="224">
        <v>0.24</v>
      </c>
    </row>
    <row r="7" spans="1:10" ht="22.5" customHeight="1" x14ac:dyDescent="0.45">
      <c r="A7" s="223" t="s">
        <v>786</v>
      </c>
      <c r="B7" s="224">
        <v>2022</v>
      </c>
      <c r="C7" s="226">
        <v>0.18079999999999999</v>
      </c>
      <c r="D7" s="226">
        <v>0.37090000000000001</v>
      </c>
      <c r="E7" s="226">
        <v>3.8600000000000002E-2</v>
      </c>
      <c r="F7" s="226">
        <v>0.11749999999999999</v>
      </c>
      <c r="G7" s="224">
        <v>0.77</v>
      </c>
      <c r="H7" s="224">
        <v>2.72</v>
      </c>
      <c r="I7" s="224">
        <v>1.19</v>
      </c>
      <c r="J7" s="224">
        <v>0.25</v>
      </c>
    </row>
    <row r="8" spans="1:10" ht="24.4" customHeight="1" x14ac:dyDescent="0.45">
      <c r="A8" s="223" t="s">
        <v>786</v>
      </c>
      <c r="B8" s="224">
        <v>2023</v>
      </c>
      <c r="C8" s="226">
        <v>0.24940000000000001</v>
      </c>
      <c r="D8" s="226">
        <v>0.35139999999999999</v>
      </c>
      <c r="E8" s="226">
        <v>3.85E-2</v>
      </c>
      <c r="F8" s="226">
        <v>0.1072</v>
      </c>
      <c r="G8" s="224">
        <v>0.99</v>
      </c>
      <c r="H8" s="224">
        <v>2.66</v>
      </c>
      <c r="I8" s="224">
        <v>1.1399999999999999</v>
      </c>
      <c r="J8" s="224">
        <v>0.26</v>
      </c>
    </row>
    <row r="9" spans="1:10" ht="21.75" customHeight="1" x14ac:dyDescent="0.45">
      <c r="A9" s="223" t="s">
        <v>786</v>
      </c>
      <c r="B9" s="224">
        <v>2024</v>
      </c>
      <c r="C9" s="226">
        <v>0.43099999999999999</v>
      </c>
      <c r="D9" s="226">
        <v>0.36930000000000002</v>
      </c>
      <c r="E9" s="226">
        <v>4.9200000000000001E-2</v>
      </c>
      <c r="F9" s="226">
        <v>0.09</v>
      </c>
      <c r="G9" s="224">
        <v>1.01</v>
      </c>
      <c r="H9" s="224">
        <v>2.71</v>
      </c>
      <c r="I9" s="224">
        <v>1.64</v>
      </c>
      <c r="J9" s="224">
        <v>0.3</v>
      </c>
    </row>
    <row r="10" spans="1:10" ht="24.4" customHeight="1" x14ac:dyDescent="0.45">
      <c r="A10" s="223" t="s">
        <v>786</v>
      </c>
      <c r="B10" s="224">
        <v>2025</v>
      </c>
      <c r="C10" s="226">
        <v>0.2</v>
      </c>
      <c r="D10" s="226">
        <v>0.3528</v>
      </c>
      <c r="E10" s="226">
        <v>6.1800000000000001E-2</v>
      </c>
      <c r="F10" s="226">
        <v>5.0200000000000002E-2</v>
      </c>
      <c r="G10" s="224">
        <v>1.37</v>
      </c>
      <c r="H10" s="224">
        <v>1.75</v>
      </c>
      <c r="I10" s="224">
        <v>2.09</v>
      </c>
      <c r="J10" s="224">
        <v>0.36</v>
      </c>
    </row>
    <row r="11" spans="1:10" ht="23.65" customHeight="1" x14ac:dyDescent="0.45">
      <c r="A11" s="223" t="s">
        <v>649</v>
      </c>
      <c r="B11" s="224">
        <v>2019</v>
      </c>
      <c r="C11" s="226">
        <v>0.48720000000000002</v>
      </c>
      <c r="D11" s="227">
        <v>0.84</v>
      </c>
      <c r="E11" s="226">
        <v>2.8799999999999999E-2</v>
      </c>
      <c r="F11" s="225" t="s">
        <v>788</v>
      </c>
      <c r="G11" s="225" t="s">
        <v>788</v>
      </c>
      <c r="H11" s="224">
        <v>0.98</v>
      </c>
      <c r="I11" s="224">
        <v>2.42</v>
      </c>
      <c r="J11" s="224">
        <v>0.12</v>
      </c>
    </row>
    <row r="12" spans="1:10" ht="21" customHeight="1" x14ac:dyDescent="0.45">
      <c r="A12" s="223" t="s">
        <v>649</v>
      </c>
      <c r="B12" s="224">
        <v>2020</v>
      </c>
      <c r="C12" s="226">
        <v>0.8679</v>
      </c>
      <c r="D12" s="227">
        <v>0.96</v>
      </c>
      <c r="E12" s="226">
        <v>4.2900000000000001E-2</v>
      </c>
      <c r="F12" s="225" t="s">
        <v>788</v>
      </c>
      <c r="G12" s="225" t="s">
        <v>788</v>
      </c>
      <c r="H12" s="224">
        <v>1.52</v>
      </c>
      <c r="I12" s="224">
        <v>2.87</v>
      </c>
      <c r="J12" s="224">
        <v>0.11</v>
      </c>
    </row>
    <row r="13" spans="1:10" ht="22.15" customHeight="1" x14ac:dyDescent="0.45">
      <c r="A13" s="223" t="s">
        <v>649</v>
      </c>
      <c r="B13" s="224">
        <v>2021</v>
      </c>
      <c r="C13" s="226">
        <v>0.34920000000000001</v>
      </c>
      <c r="D13" s="227">
        <v>0.85</v>
      </c>
      <c r="E13" s="226">
        <v>1.67E-2</v>
      </c>
      <c r="F13" s="226">
        <v>6.8000000000000005E-2</v>
      </c>
      <c r="G13" s="225" t="s">
        <v>788</v>
      </c>
      <c r="H13" s="224">
        <v>2.88</v>
      </c>
      <c r="I13" s="224">
        <v>2.0699999999999998</v>
      </c>
      <c r="J13" s="224">
        <v>0.08</v>
      </c>
    </row>
    <row r="14" spans="1:10" ht="26.25" customHeight="1" x14ac:dyDescent="0.45">
      <c r="A14" s="223" t="s">
        <v>649</v>
      </c>
      <c r="B14" s="224">
        <v>2022</v>
      </c>
      <c r="C14" s="226">
        <v>0.32529999999999998</v>
      </c>
      <c r="D14" s="227">
        <v>0.91</v>
      </c>
      <c r="E14" s="226">
        <v>1.7500000000000002E-2</v>
      </c>
      <c r="F14" s="226">
        <v>6.7000000000000004E-2</v>
      </c>
      <c r="G14" s="225" t="s">
        <v>788</v>
      </c>
      <c r="H14" s="224">
        <v>2.64</v>
      </c>
      <c r="I14" s="224">
        <v>1.92</v>
      </c>
      <c r="J14" s="224">
        <v>0.11</v>
      </c>
    </row>
    <row r="15" spans="1:10" ht="22.5" customHeight="1" x14ac:dyDescent="0.45">
      <c r="A15" s="223" t="s">
        <v>649</v>
      </c>
      <c r="B15" s="224">
        <v>2023</v>
      </c>
      <c r="C15" s="226">
        <v>4.9500000000000002E-2</v>
      </c>
      <c r="D15" s="227">
        <v>0.9</v>
      </c>
      <c r="E15" s="226">
        <v>2.3099999999999999E-2</v>
      </c>
      <c r="F15" s="226">
        <v>9.5000000000000001E-2</v>
      </c>
      <c r="G15" s="225" t="s">
        <v>788</v>
      </c>
      <c r="H15" s="224">
        <v>3.3</v>
      </c>
      <c r="I15" s="224">
        <v>2.08</v>
      </c>
      <c r="J15" s="224">
        <v>0.12</v>
      </c>
    </row>
    <row r="16" spans="1:10" ht="23.25" customHeight="1" x14ac:dyDescent="0.45">
      <c r="A16" s="223" t="s">
        <v>649</v>
      </c>
      <c r="B16" s="224">
        <v>2024</v>
      </c>
      <c r="C16" s="226">
        <v>0.2278</v>
      </c>
      <c r="D16" s="227">
        <v>0.85</v>
      </c>
      <c r="E16" s="226">
        <v>1.15E-2</v>
      </c>
      <c r="F16" s="226">
        <v>5.8000000000000003E-2</v>
      </c>
      <c r="G16" s="225" t="s">
        <v>788</v>
      </c>
      <c r="H16" s="224">
        <v>4.1900000000000004</v>
      </c>
      <c r="I16" s="224">
        <v>1.86</v>
      </c>
      <c r="J16" s="224">
        <v>0.11</v>
      </c>
    </row>
    <row r="17" spans="1:10" ht="20.25" customHeight="1" x14ac:dyDescent="0.45">
      <c r="A17" s="223" t="s">
        <v>649</v>
      </c>
      <c r="B17" s="224">
        <v>2025</v>
      </c>
      <c r="C17" s="226">
        <v>0.14810000000000001</v>
      </c>
      <c r="D17" s="227">
        <v>0.88</v>
      </c>
      <c r="E17" s="226">
        <v>1.55E-2</v>
      </c>
      <c r="F17" s="226">
        <v>6.6000000000000003E-2</v>
      </c>
      <c r="G17" s="225" t="s">
        <v>788</v>
      </c>
      <c r="H17" s="224">
        <v>3.96</v>
      </c>
      <c r="I17" s="224">
        <v>1.93</v>
      </c>
      <c r="J17" s="224">
        <v>0.12</v>
      </c>
    </row>
    <row r="18" spans="1:10" ht="28.5" customHeight="1" x14ac:dyDescent="0.45">
      <c r="A18" s="223" t="s">
        <v>661</v>
      </c>
      <c r="B18" s="224">
        <v>2019</v>
      </c>
      <c r="C18" s="409" t="s">
        <v>789</v>
      </c>
      <c r="D18" s="409"/>
      <c r="E18" s="409"/>
      <c r="F18" s="409"/>
      <c r="G18" s="409"/>
      <c r="H18" s="409"/>
      <c r="I18" s="409"/>
      <c r="J18" s="409"/>
    </row>
    <row r="19" spans="1:10" ht="25.15" customHeight="1" x14ac:dyDescent="0.45">
      <c r="A19" s="223" t="s">
        <v>661</v>
      </c>
      <c r="B19" s="224">
        <v>2020</v>
      </c>
      <c r="C19" s="409" t="s">
        <v>789</v>
      </c>
      <c r="D19" s="409"/>
      <c r="E19" s="409"/>
      <c r="F19" s="409"/>
      <c r="G19" s="409"/>
      <c r="H19" s="409"/>
      <c r="I19" s="409"/>
      <c r="J19" s="409"/>
    </row>
    <row r="20" spans="1:10" ht="23.65" customHeight="1" x14ac:dyDescent="0.45">
      <c r="A20" s="223" t="s">
        <v>661</v>
      </c>
      <c r="B20" s="224">
        <v>2021</v>
      </c>
      <c r="C20" s="409" t="s">
        <v>789</v>
      </c>
      <c r="D20" s="409"/>
      <c r="E20" s="409"/>
      <c r="F20" s="409"/>
      <c r="G20" s="409"/>
      <c r="H20" s="409"/>
      <c r="I20" s="409"/>
      <c r="J20" s="409"/>
    </row>
    <row r="21" spans="1:10" ht="23.65" customHeight="1" x14ac:dyDescent="0.45">
      <c r="A21" s="223" t="s">
        <v>661</v>
      </c>
      <c r="B21" s="224">
        <v>2022</v>
      </c>
      <c r="C21" s="225" t="s">
        <v>790</v>
      </c>
      <c r="D21" s="227">
        <v>0.63</v>
      </c>
      <c r="E21" s="226">
        <v>3.9100000000000003E-2</v>
      </c>
      <c r="F21" s="226">
        <v>5.0999999999999997E-2</v>
      </c>
      <c r="G21" s="224">
        <v>30.36</v>
      </c>
      <c r="H21" s="224">
        <v>0.06</v>
      </c>
      <c r="I21" s="224">
        <v>64.3</v>
      </c>
      <c r="J21" s="224">
        <v>0.1</v>
      </c>
    </row>
    <row r="22" spans="1:10" ht="23.65" customHeight="1" x14ac:dyDescent="0.45">
      <c r="A22" s="223" t="s">
        <v>661</v>
      </c>
      <c r="B22" s="224">
        <v>2023</v>
      </c>
      <c r="C22" s="226">
        <v>5.67E-2</v>
      </c>
      <c r="D22" s="227">
        <v>-0.24</v>
      </c>
      <c r="E22" s="226">
        <v>-4.4400000000000002E-2</v>
      </c>
      <c r="F22" s="226">
        <v>-5.8000000000000003E-2</v>
      </c>
      <c r="G22" s="224">
        <v>30.36</v>
      </c>
      <c r="H22" s="224">
        <v>7.0000000000000007E-2</v>
      </c>
      <c r="I22" s="224">
        <v>-15.6</v>
      </c>
      <c r="J22" s="224">
        <v>0.13</v>
      </c>
    </row>
    <row r="23" spans="1:10" ht="22.9" customHeight="1" x14ac:dyDescent="0.45">
      <c r="A23" s="223" t="s">
        <v>661</v>
      </c>
      <c r="B23" s="224">
        <v>2024</v>
      </c>
      <c r="C23" s="226">
        <v>-1.6299999999999999E-2</v>
      </c>
      <c r="D23" s="227">
        <v>1.1299999999999999</v>
      </c>
      <c r="E23" s="226">
        <v>9.8299999999999998E-2</v>
      </c>
      <c r="F23" s="226">
        <v>0.126</v>
      </c>
      <c r="G23" s="224">
        <v>30.36</v>
      </c>
      <c r="H23" s="224">
        <v>0.06</v>
      </c>
      <c r="I23" s="224">
        <v>23.3</v>
      </c>
      <c r="J23" s="224">
        <v>0.13</v>
      </c>
    </row>
    <row r="24" spans="1:10" ht="25.15" customHeight="1" x14ac:dyDescent="0.45">
      <c r="A24" s="223" t="s">
        <v>661</v>
      </c>
      <c r="B24" s="224">
        <v>2025</v>
      </c>
      <c r="C24" s="226">
        <v>8.0000000000000004E-4</v>
      </c>
      <c r="D24" s="227">
        <v>1.33</v>
      </c>
      <c r="E24" s="226">
        <v>0.11509999999999999</v>
      </c>
      <c r="F24" s="226">
        <v>0.154</v>
      </c>
      <c r="G24" s="224">
        <v>30.36</v>
      </c>
      <c r="H24" s="224">
        <v>0.14000000000000001</v>
      </c>
      <c r="I24" s="224">
        <v>24.1</v>
      </c>
      <c r="J24" s="224">
        <v>0.12</v>
      </c>
    </row>
    <row r="25" spans="1:10" ht="21.75" customHeight="1" x14ac:dyDescent="0.45">
      <c r="A25" s="223" t="s">
        <v>791</v>
      </c>
      <c r="B25" s="224">
        <v>2019</v>
      </c>
      <c r="C25" s="409" t="s">
        <v>792</v>
      </c>
      <c r="D25" s="409"/>
      <c r="E25" s="409"/>
      <c r="F25" s="409"/>
      <c r="G25" s="409"/>
      <c r="H25" s="409"/>
      <c r="I25" s="409"/>
      <c r="J25" s="409"/>
    </row>
    <row r="26" spans="1:10" ht="22.5" customHeight="1" x14ac:dyDescent="0.45">
      <c r="A26" s="223" t="s">
        <v>791</v>
      </c>
      <c r="B26" s="224">
        <v>2020</v>
      </c>
      <c r="C26" s="409" t="s">
        <v>792</v>
      </c>
      <c r="D26" s="409"/>
      <c r="E26" s="409"/>
      <c r="F26" s="409"/>
      <c r="G26" s="409"/>
      <c r="H26" s="409"/>
      <c r="I26" s="409"/>
      <c r="J26" s="409"/>
    </row>
    <row r="27" spans="1:10" ht="24.4" customHeight="1" x14ac:dyDescent="0.45">
      <c r="A27" s="223" t="s">
        <v>791</v>
      </c>
      <c r="B27" s="224">
        <v>2021</v>
      </c>
      <c r="C27" s="409" t="s">
        <v>792</v>
      </c>
      <c r="D27" s="409"/>
      <c r="E27" s="409"/>
      <c r="F27" s="409"/>
      <c r="G27" s="409"/>
      <c r="H27" s="409"/>
      <c r="I27" s="409"/>
      <c r="J27" s="409"/>
    </row>
    <row r="28" spans="1:10" ht="27.4" customHeight="1" x14ac:dyDescent="0.45">
      <c r="A28" s="223" t="s">
        <v>791</v>
      </c>
      <c r="B28" s="224">
        <v>2022</v>
      </c>
      <c r="C28" s="409" t="s">
        <v>792</v>
      </c>
      <c r="D28" s="409"/>
      <c r="E28" s="409"/>
      <c r="F28" s="409"/>
      <c r="G28" s="409"/>
      <c r="H28" s="409"/>
      <c r="I28" s="409"/>
      <c r="J28" s="409"/>
    </row>
    <row r="29" spans="1:10" ht="26.65" customHeight="1" x14ac:dyDescent="0.45">
      <c r="A29" s="223" t="s">
        <v>791</v>
      </c>
      <c r="B29" s="224">
        <v>2023</v>
      </c>
      <c r="C29" s="225" t="s">
        <v>793</v>
      </c>
      <c r="D29" s="227">
        <v>0.84</v>
      </c>
      <c r="E29" s="226">
        <v>-1.38E-2</v>
      </c>
      <c r="F29" s="226">
        <v>-2.1000000000000001E-2</v>
      </c>
      <c r="G29" s="224">
        <v>1.32</v>
      </c>
      <c r="H29" s="224">
        <v>0.49</v>
      </c>
      <c r="I29" s="224">
        <v>1.8</v>
      </c>
      <c r="J29" s="224">
        <v>0.04</v>
      </c>
    </row>
    <row r="30" spans="1:10" ht="30.4" customHeight="1" x14ac:dyDescent="0.45">
      <c r="A30" s="223" t="s">
        <v>791</v>
      </c>
      <c r="B30" s="224">
        <v>2024</v>
      </c>
      <c r="C30" s="226">
        <v>1.585</v>
      </c>
      <c r="D30" s="227">
        <v>0.88</v>
      </c>
      <c r="E30" s="226">
        <v>-1.43E-2</v>
      </c>
      <c r="F30" s="226">
        <v>-1.8800000000000001E-2</v>
      </c>
      <c r="G30" s="224">
        <v>5.0999999999999996</v>
      </c>
      <c r="H30" s="224">
        <v>0.48</v>
      </c>
      <c r="I30" s="224">
        <v>3.33</v>
      </c>
      <c r="J30" s="224">
        <v>0.12</v>
      </c>
    </row>
    <row r="31" spans="1:10" ht="33" customHeight="1" x14ac:dyDescent="0.45">
      <c r="A31" s="223" t="s">
        <v>791</v>
      </c>
      <c r="B31" s="224">
        <v>2025</v>
      </c>
      <c r="C31" s="226">
        <v>5.8599999999999999E-2</v>
      </c>
      <c r="D31" s="227">
        <v>0.87</v>
      </c>
      <c r="E31" s="226">
        <v>-6.1000000000000004E-3</v>
      </c>
      <c r="F31" s="226">
        <v>-1.6500000000000001E-2</v>
      </c>
      <c r="G31" s="224">
        <v>2.4</v>
      </c>
      <c r="H31" s="224">
        <v>1.24</v>
      </c>
      <c r="I31" s="228"/>
      <c r="J31" s="228"/>
    </row>
  </sheetData>
  <mergeCells count="9">
    <mergeCell ref="C27:J27"/>
    <mergeCell ref="C28:J28"/>
    <mergeCell ref="A1:B1"/>
    <mergeCell ref="A2:A3"/>
    <mergeCell ref="C18:J18"/>
    <mergeCell ref="C19:J19"/>
    <mergeCell ref="C20:J20"/>
    <mergeCell ref="C25:J25"/>
    <mergeCell ref="C26:J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Introduction</vt:lpstr>
      <vt:lpstr>Sources</vt:lpstr>
      <vt:lpstr>Industry analysis</vt:lpstr>
      <vt:lpstr>About Company</vt:lpstr>
      <vt:lpstr>Economic analysis</vt:lpstr>
      <vt:lpstr>Company Beta</vt:lpstr>
      <vt:lpstr>Income Statement</vt:lpstr>
      <vt:lpstr>Balance Sheet</vt:lpstr>
      <vt:lpstr>CashFlow Statement</vt:lpstr>
      <vt:lpstr>Assumptions</vt:lpstr>
      <vt:lpstr>Financial Statement</vt:lpstr>
      <vt:lpstr>PPE schedule </vt:lpstr>
      <vt:lpstr>WACC</vt:lpstr>
      <vt:lpstr>DCF valuation</vt:lpstr>
      <vt:lpstr>DDM Model</vt:lpstr>
      <vt:lpstr>EVA Model</vt:lpstr>
      <vt:lpstr>FCFF</vt:lpstr>
      <vt:lpstr>H Model</vt:lpstr>
      <vt:lpstr>Relative Valuation</vt:lpstr>
      <vt:lpstr>All ratios forecasted</vt:lpstr>
      <vt:lpstr>Peer Master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a.saini2002@gmail.com</cp:lastModifiedBy>
  <dcterms:created xsi:type="dcterms:W3CDTF">2015-06-05T18:17:20Z</dcterms:created>
  <dcterms:modified xsi:type="dcterms:W3CDTF">2026-08-08T18:19:38Z</dcterms:modified>
</cp:coreProperties>
</file>